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9.xml" ContentType="application/vnd.openxmlformats-officedocument.drawing+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RUI\Documents\GitHub\DigiLab\"/>
    </mc:Choice>
  </mc:AlternateContent>
  <xr:revisionPtr revIDLastSave="0" documentId="8_{65C9B5A6-583C-4BE5-A24E-96BA57688B34}" xr6:coauthVersionLast="47" xr6:coauthVersionMax="47" xr10:uidLastSave="{00000000-0000-0000-0000-000000000000}"/>
  <workbookProtection workbookAlgorithmName="SHA-512" workbookHashValue="e0J8VhLxu5dgobUbFdl/IMKPc/cu1AVrHGfnbCPoONS4hrlObzPXwi7G8t/WbwiS7TDKUBm9WfVrdr+EYO8Emw==" workbookSaltValue="7zuenBUTO2vn+0bS7Nse/w==" workbookSpinCount="100000" lockStructure="1"/>
  <bookViews>
    <workbookView xWindow="-120" yWindow="-120" windowWidth="29040" windowHeight="17640" tabRatio="706" firstSheet="2" activeTab="7" xr2:uid="{00000000-000D-0000-FFFF-FFFF00000000}"/>
  </bookViews>
  <sheets>
    <sheet name="ventilatie overige ruimten" sheetId="16" r:id="rId1"/>
    <sheet name="Grote dakkapellen" sheetId="57" r:id="rId2"/>
    <sheet name="Grote dakkapellen klein kantoor" sheetId="61" r:id="rId3"/>
    <sheet name="Kleine dakkapellen" sheetId="60" r:id="rId4"/>
    <sheet name="Klein voor, groot achter" sheetId="63" r:id="rId5"/>
    <sheet name="Klein voor, groot achter (2)" sheetId="64" r:id="rId6"/>
    <sheet name="1 grote dakkapel achter" sheetId="62" r:id="rId7"/>
    <sheet name="Twee dakkapellen achter" sheetId="65" r:id="rId8"/>
    <sheet name="Woningtype B" sheetId="58" r:id="rId9"/>
    <sheet name="Hulp daglicht" sheetId="43" r:id="rId10"/>
    <sheet name="Raam A" sheetId="44" r:id="rId11"/>
    <sheet name="Things to do" sheetId="14" r:id="rId12"/>
    <sheet name="datablad tbv Cb factor" sheetId="45" state="hidden" r:id="rId13"/>
    <sheet name="Gegevensblad" sheetId="13" r:id="rId14"/>
    <sheet name="data roosters" sheetId="25" state="hidden" r:id="rId15"/>
    <sheet name="verzamelblad" sheetId="10" r:id="rId16"/>
    <sheet name="data pulldown" sheetId="46" state="hidden" r:id="rId17"/>
  </sheets>
  <functionGroups builtInGroupCount="19"/>
  <definedNames>
    <definedName name="_xlnm._FilterDatabase" localSheetId="6" hidden="1">'1 grote dakkapel achter'!$B$76:$P$83</definedName>
    <definedName name="_xlnm._FilterDatabase" localSheetId="14" hidden="1">'data roosters'!$F$1:$J$431</definedName>
    <definedName name="_xlnm._FilterDatabase" localSheetId="1" hidden="1">'Grote dakkapellen'!$B$83:$P$90</definedName>
    <definedName name="_xlnm._FilterDatabase" localSheetId="2" hidden="1">'Grote dakkapellen klein kantoor'!$B$83:$P$90</definedName>
    <definedName name="_xlnm._FilterDatabase" localSheetId="4" hidden="1">'Klein voor, groot achter'!$B$83:$P$90</definedName>
    <definedName name="_xlnm._FilterDatabase" localSheetId="5" hidden="1">'Klein voor, groot achter (2)'!$B$83:$P$90</definedName>
    <definedName name="_xlnm._FilterDatabase" localSheetId="3" hidden="1">'Kleine dakkapellen'!$B$83:$P$90</definedName>
    <definedName name="_xlnm._FilterDatabase" localSheetId="11" hidden="1">'Things to do'!$A$1:$H$533</definedName>
    <definedName name="_xlnm._FilterDatabase" localSheetId="7" hidden="1">'Twee dakkapellen achter'!$B$76:$P$83</definedName>
    <definedName name="_xlnm._FilterDatabase" localSheetId="8" hidden="1">'Woningtype B'!$B$66:$P$73</definedName>
    <definedName name="Alusta">'data roosters'!$B$2:$B$205</definedName>
    <definedName name="Buva">'data roosters'!$C$2:$C$82</definedName>
    <definedName name="Duco">'data roosters'!$D$2:$D$215</definedName>
    <definedName name="PD_70procent">'data pulldown'!$D$2:$D$3</definedName>
    <definedName name="PD_RoosterFabrikant">'data pulldown'!$B$2:$B$6</definedName>
    <definedName name="PD_TypeVentilatie">'data pulldown'!$A$2:$A$5</definedName>
    <definedName name="PD_Uitgangspunten">'data pulldown'!$C$2:$C$3</definedName>
    <definedName name="_xlnm.Print_Area" localSheetId="6">'1 grote dakkapel achter'!$C$1:$P$184</definedName>
    <definedName name="_xlnm.Print_Area" localSheetId="12">'datablad tbv Cb factor'!$A$1:$BB$73</definedName>
    <definedName name="_xlnm.Print_Area" localSheetId="13">Gegevensblad!$A$1:$AH$36</definedName>
    <definedName name="_xlnm.Print_Area" localSheetId="1">'Grote dakkapellen'!$C$1:$P$212</definedName>
    <definedName name="_xlnm.Print_Area" localSheetId="2">'Grote dakkapellen klein kantoor'!$C$1:$P$212</definedName>
    <definedName name="_xlnm.Print_Area" localSheetId="4">'Klein voor, groot achter'!$C$1:$P$212</definedName>
    <definedName name="_xlnm.Print_Area" localSheetId="5">'Klein voor, groot achter (2)'!$C$1:$P$212</definedName>
    <definedName name="_xlnm.Print_Area" localSheetId="3">'Kleine dakkapellen'!$C$1:$P$212</definedName>
    <definedName name="_xlnm.Print_Area" localSheetId="7">'Twee dakkapellen achter'!$C$1:$P$184</definedName>
    <definedName name="_xlnm.Print_Area" localSheetId="0">'ventilatie overige ruimten'!$C$1:$O$20</definedName>
    <definedName name="_xlnm.Print_Area" localSheetId="15">verzamelblad!$A$1:$BB$73</definedName>
    <definedName name="_xlnm.Print_Area" localSheetId="8">'Woningtype B'!$C$1:$P$153</definedName>
    <definedName name="_xlnm.Print_Titles" localSheetId="6">'1 grote dakkapel achter'!$1:$12</definedName>
    <definedName name="_xlnm.Print_Titles" localSheetId="12">'datablad tbv Cb factor'!$A:$D</definedName>
    <definedName name="_xlnm.Print_Titles" localSheetId="1">'Grote dakkapellen'!$1:$12</definedName>
    <definedName name="_xlnm.Print_Titles" localSheetId="2">'Grote dakkapellen klein kantoor'!$1:$12</definedName>
    <definedName name="_xlnm.Print_Titles" localSheetId="4">'Klein voor, groot achter'!$1:$12</definedName>
    <definedName name="_xlnm.Print_Titles" localSheetId="5">'Klein voor, groot achter (2)'!$1:$12</definedName>
    <definedName name="_xlnm.Print_Titles" localSheetId="3">'Kleine dakkapellen'!$1:$12</definedName>
    <definedName name="_xlnm.Print_Titles" localSheetId="7">'Twee dakkapellen achter'!$1:$12</definedName>
    <definedName name="_xlnm.Print_Titles" localSheetId="0">'ventilatie overige ruimten'!$1:$12</definedName>
    <definedName name="_xlnm.Print_Titles" localSheetId="15">verzamelblad!$A:$D</definedName>
    <definedName name="_xlnm.Print_Titles" localSheetId="8">'Woningtype B'!$1:$12</definedName>
    <definedName name="vs_vkr_outflow" localSheetId="6">'1 grote dakkapel achter'!#REF!</definedName>
    <definedName name="vs_vkr_outflow" localSheetId="1">'Grote dakkapellen'!#REF!</definedName>
    <definedName name="vs_vkr_outflow" localSheetId="2">'Grote dakkapellen klein kantoor'!#REF!</definedName>
    <definedName name="vs_vkr_outflow" localSheetId="4">'Klein voor, groot achter'!#REF!</definedName>
    <definedName name="vs_vkr_outflow" localSheetId="5">'Klein voor, groot achter (2)'!#REF!</definedName>
    <definedName name="vs_vkr_outflow" localSheetId="3">'Kleine dakkapellen'!#REF!</definedName>
    <definedName name="vs_vkr_outflow" localSheetId="7">'Twee dakkapellen achter'!#REF!</definedName>
    <definedName name="vs_vkr_outflow" localSheetId="8">'Woningtype B'!#REF!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82" i="65" l="1"/>
  <c r="H181" i="65"/>
  <c r="H180" i="65"/>
  <c r="H179" i="65"/>
  <c r="C179" i="65"/>
  <c r="H178" i="65"/>
  <c r="C178" i="65"/>
  <c r="H177" i="65"/>
  <c r="C177" i="65"/>
  <c r="H175" i="65"/>
  <c r="B175" i="65"/>
  <c r="B182" i="65" s="1"/>
  <c r="H174" i="65"/>
  <c r="H173" i="65"/>
  <c r="H172" i="65"/>
  <c r="H171" i="65"/>
  <c r="C171" i="65"/>
  <c r="W170" i="65"/>
  <c r="W171" i="65" s="1"/>
  <c r="W172" i="65" s="1"/>
  <c r="W173" i="65" s="1"/>
  <c r="W174" i="65" s="1"/>
  <c r="W175" i="65" s="1"/>
  <c r="W176" i="65" s="1"/>
  <c r="W177" i="65" s="1"/>
  <c r="W178" i="65" s="1"/>
  <c r="W179" i="65" s="1"/>
  <c r="W180" i="65" s="1"/>
  <c r="W181" i="65" s="1"/>
  <c r="W182" i="65" s="1"/>
  <c r="W183" i="65" s="1"/>
  <c r="H170" i="65"/>
  <c r="C170" i="65"/>
  <c r="H168" i="65"/>
  <c r="C168" i="65"/>
  <c r="H167" i="65"/>
  <c r="H166" i="65"/>
  <c r="H165" i="65"/>
  <c r="H164" i="65"/>
  <c r="H163" i="65"/>
  <c r="C163" i="65"/>
  <c r="K156" i="65"/>
  <c r="Q155" i="65"/>
  <c r="I155" i="65"/>
  <c r="K155" i="65" s="1"/>
  <c r="Q154" i="65"/>
  <c r="K154" i="65"/>
  <c r="I154" i="65"/>
  <c r="Q153" i="65"/>
  <c r="I153" i="65"/>
  <c r="K153" i="65" s="1"/>
  <c r="Q152" i="65"/>
  <c r="K152" i="65"/>
  <c r="I152" i="65"/>
  <c r="E151" i="65"/>
  <c r="Q149" i="65"/>
  <c r="Q150" i="65" s="1"/>
  <c r="K149" i="65"/>
  <c r="C149" i="65"/>
  <c r="B149" i="65"/>
  <c r="Q148" i="65"/>
  <c r="K148" i="65"/>
  <c r="I148" i="65"/>
  <c r="Q147" i="65"/>
  <c r="K147" i="65"/>
  <c r="I147" i="65"/>
  <c r="Q146" i="65"/>
  <c r="K146" i="65"/>
  <c r="I146" i="65"/>
  <c r="C146" i="65"/>
  <c r="Q145" i="65"/>
  <c r="I145" i="65"/>
  <c r="K145" i="65" s="1"/>
  <c r="C145" i="65"/>
  <c r="Q144" i="65"/>
  <c r="K144" i="65"/>
  <c r="I144" i="65"/>
  <c r="C144" i="65"/>
  <c r="Q142" i="65"/>
  <c r="Q143" i="65" s="1"/>
  <c r="K142" i="65"/>
  <c r="C142" i="65"/>
  <c r="B142" i="65"/>
  <c r="Q141" i="65"/>
  <c r="I141" i="65"/>
  <c r="K141" i="65" s="1"/>
  <c r="Q140" i="65"/>
  <c r="K140" i="65"/>
  <c r="I140" i="65"/>
  <c r="Q139" i="65"/>
  <c r="I139" i="65"/>
  <c r="K139" i="65" s="1"/>
  <c r="Q138" i="65"/>
  <c r="K138" i="65"/>
  <c r="I138" i="65"/>
  <c r="Z137" i="65"/>
  <c r="Z138" i="65" s="1"/>
  <c r="Z139" i="65" s="1"/>
  <c r="Z140" i="65" s="1"/>
  <c r="Z141" i="65" s="1"/>
  <c r="Z142" i="65" s="1"/>
  <c r="Z143" i="65" s="1"/>
  <c r="Z144" i="65" s="1"/>
  <c r="Z145" i="65" s="1"/>
  <c r="Z146" i="65" s="1"/>
  <c r="Z147" i="65" s="1"/>
  <c r="Z148" i="65" s="1"/>
  <c r="Z149" i="65" s="1"/>
  <c r="Z150" i="65" s="1"/>
  <c r="Q137" i="65"/>
  <c r="I137" i="65"/>
  <c r="K137" i="65" s="1"/>
  <c r="E137" i="65"/>
  <c r="C137" i="65"/>
  <c r="Q136" i="65"/>
  <c r="Q135" i="65"/>
  <c r="K135" i="65"/>
  <c r="C135" i="65"/>
  <c r="Q134" i="65"/>
  <c r="I134" i="65"/>
  <c r="K134" i="65" s="1"/>
  <c r="Q133" i="65"/>
  <c r="K133" i="65"/>
  <c r="I133" i="65"/>
  <c r="Q132" i="65"/>
  <c r="I132" i="65"/>
  <c r="K132" i="65" s="1"/>
  <c r="Q131" i="65"/>
  <c r="K131" i="65"/>
  <c r="I131" i="65"/>
  <c r="C131" i="65"/>
  <c r="Q130" i="65"/>
  <c r="K130" i="65"/>
  <c r="I130" i="65"/>
  <c r="E130" i="65"/>
  <c r="C130" i="65"/>
  <c r="Q129" i="65"/>
  <c r="Q127" i="65"/>
  <c r="Q126" i="65"/>
  <c r="Q125" i="65"/>
  <c r="Q124" i="65"/>
  <c r="Q123" i="65"/>
  <c r="Q122" i="65"/>
  <c r="H121" i="65"/>
  <c r="Q121" i="65" s="1"/>
  <c r="G121" i="65"/>
  <c r="G120" i="65"/>
  <c r="H119" i="65"/>
  <c r="G119" i="65"/>
  <c r="Q118" i="65"/>
  <c r="H118" i="65"/>
  <c r="Q116" i="65"/>
  <c r="R113" i="65"/>
  <c r="H113" i="65"/>
  <c r="H114" i="65" s="1"/>
  <c r="Q112" i="65"/>
  <c r="Q111" i="65"/>
  <c r="Q110" i="65"/>
  <c r="Q109" i="65"/>
  <c r="G109" i="65"/>
  <c r="Q108" i="65"/>
  <c r="G108" i="65"/>
  <c r="Q107" i="65"/>
  <c r="G107" i="65"/>
  <c r="P102" i="65"/>
  <c r="F102" i="65"/>
  <c r="P101" i="65"/>
  <c r="F101" i="65"/>
  <c r="P100" i="65"/>
  <c r="F100" i="65"/>
  <c r="P99" i="65"/>
  <c r="F99" i="65"/>
  <c r="E98" i="65"/>
  <c r="B96" i="65"/>
  <c r="P95" i="65"/>
  <c r="F95" i="65"/>
  <c r="P94" i="65"/>
  <c r="F94" i="65"/>
  <c r="C94" i="65"/>
  <c r="P93" i="65"/>
  <c r="F93" i="65"/>
  <c r="C93" i="65"/>
  <c r="P92" i="65"/>
  <c r="F92" i="65"/>
  <c r="C92" i="65"/>
  <c r="V91" i="65"/>
  <c r="V92" i="65" s="1"/>
  <c r="V93" i="65" s="1"/>
  <c r="V94" i="65" s="1"/>
  <c r="V95" i="65" s="1"/>
  <c r="V96" i="65" s="1"/>
  <c r="V97" i="65" s="1"/>
  <c r="P91" i="65"/>
  <c r="F91" i="65"/>
  <c r="C91" i="65"/>
  <c r="V90" i="65"/>
  <c r="AF89" i="65"/>
  <c r="C89" i="65"/>
  <c r="B89" i="65"/>
  <c r="P88" i="65"/>
  <c r="F88" i="65"/>
  <c r="P87" i="65"/>
  <c r="F87" i="65"/>
  <c r="P86" i="65"/>
  <c r="F86" i="65"/>
  <c r="C86" i="65"/>
  <c r="P85" i="65"/>
  <c r="E85" i="65"/>
  <c r="AF85" i="65" s="1"/>
  <c r="D85" i="65"/>
  <c r="C85" i="65"/>
  <c r="V84" i="65"/>
  <c r="V85" i="65" s="1"/>
  <c r="V86" i="65" s="1"/>
  <c r="V87" i="65" s="1"/>
  <c r="V88" i="65" s="1"/>
  <c r="V89" i="65" s="1"/>
  <c r="P84" i="65"/>
  <c r="L84" i="65"/>
  <c r="F84" i="65"/>
  <c r="C84" i="65"/>
  <c r="AF82" i="65"/>
  <c r="C82" i="65"/>
  <c r="P81" i="65"/>
  <c r="F81" i="65"/>
  <c r="P80" i="65"/>
  <c r="F80" i="65"/>
  <c r="P79" i="65"/>
  <c r="F79" i="65"/>
  <c r="P78" i="65"/>
  <c r="E78" i="65"/>
  <c r="AF78" i="65" s="1"/>
  <c r="D78" i="65"/>
  <c r="C78" i="65"/>
  <c r="P77" i="65"/>
  <c r="L77" i="65"/>
  <c r="F77" i="65"/>
  <c r="C77" i="65"/>
  <c r="K76" i="65"/>
  <c r="I76" i="65"/>
  <c r="F76" i="65"/>
  <c r="C73" i="65"/>
  <c r="O70" i="65"/>
  <c r="N70" i="65"/>
  <c r="H70" i="65"/>
  <c r="Q68" i="65"/>
  <c r="Q60" i="65"/>
  <c r="M60" i="65"/>
  <c r="N60" i="65" s="1"/>
  <c r="Q59" i="65"/>
  <c r="M59" i="65"/>
  <c r="N59" i="65" s="1"/>
  <c r="C59" i="65"/>
  <c r="Q58" i="65"/>
  <c r="N58" i="65"/>
  <c r="M58" i="65"/>
  <c r="C58" i="65"/>
  <c r="Q57" i="65"/>
  <c r="N57" i="65"/>
  <c r="M57" i="65"/>
  <c r="C57" i="65"/>
  <c r="Q56" i="65"/>
  <c r="M56" i="65"/>
  <c r="N56" i="65" s="1"/>
  <c r="C56" i="65"/>
  <c r="U55" i="65"/>
  <c r="U56" i="65" s="1"/>
  <c r="U57" i="65" s="1"/>
  <c r="U58" i="65" s="1"/>
  <c r="U59" i="65" s="1"/>
  <c r="U60" i="65" s="1"/>
  <c r="U61" i="65" s="1"/>
  <c r="U62" i="65" s="1"/>
  <c r="B54" i="65"/>
  <c r="B61" i="65" s="1"/>
  <c r="U53" i="65"/>
  <c r="U54" i="65" s="1"/>
  <c r="Q53" i="65"/>
  <c r="N53" i="65"/>
  <c r="M53" i="65"/>
  <c r="Q52" i="65"/>
  <c r="M52" i="65"/>
  <c r="N52" i="65" s="1"/>
  <c r="U51" i="65"/>
  <c r="U52" i="65" s="1"/>
  <c r="Q51" i="65"/>
  <c r="N51" i="65"/>
  <c r="M51" i="65"/>
  <c r="C51" i="65"/>
  <c r="U50" i="65"/>
  <c r="Q50" i="65"/>
  <c r="M50" i="65"/>
  <c r="N50" i="65" s="1"/>
  <c r="C50" i="65"/>
  <c r="U49" i="65"/>
  <c r="Q49" i="65"/>
  <c r="M49" i="65"/>
  <c r="N49" i="65" s="1"/>
  <c r="C49" i="65"/>
  <c r="C47" i="65"/>
  <c r="Q46" i="65"/>
  <c r="M46" i="65"/>
  <c r="N46" i="65" s="1"/>
  <c r="Q45" i="65"/>
  <c r="M45" i="65"/>
  <c r="N45" i="65" s="1"/>
  <c r="Q44" i="65"/>
  <c r="M44" i="65"/>
  <c r="N44" i="65" s="1"/>
  <c r="C44" i="65"/>
  <c r="Q43" i="65"/>
  <c r="N43" i="65"/>
  <c r="M43" i="65"/>
  <c r="C43" i="65"/>
  <c r="Q42" i="65"/>
  <c r="M42" i="65"/>
  <c r="N42" i="65" s="1"/>
  <c r="C42" i="65"/>
  <c r="T41" i="65"/>
  <c r="N36" i="65"/>
  <c r="D36" i="65"/>
  <c r="AG34" i="65"/>
  <c r="AE34" i="65"/>
  <c r="AD34" i="65"/>
  <c r="H34" i="65"/>
  <c r="AG33" i="65"/>
  <c r="AE33" i="65"/>
  <c r="AD33" i="65"/>
  <c r="H33" i="65"/>
  <c r="E33" i="65"/>
  <c r="F33" i="65" s="1"/>
  <c r="AG32" i="65"/>
  <c r="AE32" i="65"/>
  <c r="AD32" i="65"/>
  <c r="AC32" i="65"/>
  <c r="AC33" i="65" s="1"/>
  <c r="AC34" i="65" s="1"/>
  <c r="H32" i="65"/>
  <c r="E32" i="65"/>
  <c r="F32" i="65" s="1"/>
  <c r="AG31" i="65"/>
  <c r="AE31" i="65"/>
  <c r="AC31" i="65"/>
  <c r="H31" i="65"/>
  <c r="AD31" i="65" s="1"/>
  <c r="AG30" i="65"/>
  <c r="AE30" i="65"/>
  <c r="AD30" i="65"/>
  <c r="H30" i="65"/>
  <c r="E30" i="65"/>
  <c r="F30" i="65" s="1"/>
  <c r="AE29" i="65"/>
  <c r="AD29" i="65"/>
  <c r="AC29" i="65"/>
  <c r="AC30" i="65" s="1"/>
  <c r="H29" i="65"/>
  <c r="A29" i="65"/>
  <c r="X29" i="65" s="1"/>
  <c r="AE28" i="65"/>
  <c r="AD28" i="65"/>
  <c r="AC28" i="65"/>
  <c r="X28" i="65"/>
  <c r="J28" i="65"/>
  <c r="H28" i="65"/>
  <c r="F23" i="65"/>
  <c r="J23" i="65" s="1"/>
  <c r="J22" i="65"/>
  <c r="F22" i="65"/>
  <c r="F18" i="65"/>
  <c r="S17" i="65"/>
  <c r="Q102" i="65" s="1"/>
  <c r="F17" i="65"/>
  <c r="T16" i="65"/>
  <c r="S16" i="65"/>
  <c r="L102" i="65" s="1"/>
  <c r="S12" i="65"/>
  <c r="S9" i="65"/>
  <c r="T6" i="65"/>
  <c r="Q6" i="65"/>
  <c r="T5" i="65"/>
  <c r="Q5" i="65"/>
  <c r="P5" i="65"/>
  <c r="H210" i="64"/>
  <c r="H209" i="64"/>
  <c r="H208" i="64"/>
  <c r="H207" i="64"/>
  <c r="H206" i="64"/>
  <c r="H205" i="64"/>
  <c r="C205" i="64"/>
  <c r="H203" i="64"/>
  <c r="B203" i="64"/>
  <c r="B210" i="64" s="1"/>
  <c r="H202" i="64"/>
  <c r="H201" i="64"/>
  <c r="H200" i="64"/>
  <c r="C200" i="64"/>
  <c r="H199" i="64"/>
  <c r="C199" i="64"/>
  <c r="H198" i="64"/>
  <c r="C198" i="64"/>
  <c r="H196" i="64"/>
  <c r="B196" i="64"/>
  <c r="C196" i="64" s="1"/>
  <c r="H195" i="64"/>
  <c r="H194" i="64"/>
  <c r="H193" i="64"/>
  <c r="H192" i="64"/>
  <c r="C192" i="64"/>
  <c r="W191" i="64"/>
  <c r="W192" i="64" s="1"/>
  <c r="W193" i="64" s="1"/>
  <c r="W194" i="64" s="1"/>
  <c r="W195" i="64" s="1"/>
  <c r="W196" i="64" s="1"/>
  <c r="W197" i="64" s="1"/>
  <c r="W198" i="64" s="1"/>
  <c r="W199" i="64" s="1"/>
  <c r="W200" i="64" s="1"/>
  <c r="W201" i="64" s="1"/>
  <c r="W202" i="64" s="1"/>
  <c r="W203" i="64" s="1"/>
  <c r="W204" i="64" s="1"/>
  <c r="W205" i="64" s="1"/>
  <c r="W206" i="64" s="1"/>
  <c r="W207" i="64" s="1"/>
  <c r="W208" i="64" s="1"/>
  <c r="W209" i="64" s="1"/>
  <c r="W210" i="64" s="1"/>
  <c r="W211" i="64" s="1"/>
  <c r="H191" i="64"/>
  <c r="C191" i="64"/>
  <c r="H189" i="64"/>
  <c r="C189" i="64"/>
  <c r="H188" i="64"/>
  <c r="H187" i="64"/>
  <c r="H186" i="64"/>
  <c r="H185" i="64"/>
  <c r="H184" i="64"/>
  <c r="C184" i="64"/>
  <c r="K177" i="64"/>
  <c r="Q176" i="64"/>
  <c r="I176" i="64"/>
  <c r="K176" i="64" s="1"/>
  <c r="Q175" i="64"/>
  <c r="K175" i="64"/>
  <c r="I175" i="64"/>
  <c r="Q174" i="64"/>
  <c r="I174" i="64"/>
  <c r="K174" i="64" s="1"/>
  <c r="Q173" i="64"/>
  <c r="K173" i="64"/>
  <c r="I173" i="64"/>
  <c r="E172" i="64"/>
  <c r="Q171" i="64"/>
  <c r="Q170" i="64"/>
  <c r="K170" i="64"/>
  <c r="Q169" i="64"/>
  <c r="K169" i="64"/>
  <c r="I169" i="64"/>
  <c r="Q168" i="64"/>
  <c r="K168" i="64"/>
  <c r="I168" i="64"/>
  <c r="Q167" i="64"/>
  <c r="K167" i="64"/>
  <c r="I167" i="64"/>
  <c r="Q166" i="64"/>
  <c r="K166" i="64"/>
  <c r="I166" i="64"/>
  <c r="Q165" i="64"/>
  <c r="K165" i="64"/>
  <c r="I165" i="64"/>
  <c r="C165" i="64"/>
  <c r="Q163" i="64"/>
  <c r="Q164" i="64" s="1"/>
  <c r="K163" i="64"/>
  <c r="C163" i="64"/>
  <c r="Q162" i="64"/>
  <c r="K162" i="64"/>
  <c r="I162" i="64"/>
  <c r="Q161" i="64"/>
  <c r="K161" i="64"/>
  <c r="I161" i="64"/>
  <c r="Q160" i="64"/>
  <c r="K160" i="64"/>
  <c r="I160" i="64"/>
  <c r="C160" i="64"/>
  <c r="Q159" i="64"/>
  <c r="I159" i="64"/>
  <c r="K159" i="64" s="1"/>
  <c r="C159" i="64"/>
  <c r="Q158" i="64"/>
  <c r="I158" i="64"/>
  <c r="K158" i="64" s="1"/>
  <c r="C158" i="64"/>
  <c r="Q157" i="64"/>
  <c r="Q156" i="64"/>
  <c r="K156" i="64"/>
  <c r="B156" i="64"/>
  <c r="B163" i="64" s="1"/>
  <c r="B170" i="64" s="1"/>
  <c r="C170" i="64" s="1"/>
  <c r="Q155" i="64"/>
  <c r="K155" i="64"/>
  <c r="I155" i="64"/>
  <c r="Q154" i="64"/>
  <c r="K154" i="64"/>
  <c r="I154" i="64"/>
  <c r="Z153" i="64"/>
  <c r="Z154" i="64" s="1"/>
  <c r="Z155" i="64" s="1"/>
  <c r="Z156" i="64" s="1"/>
  <c r="Z157" i="64" s="1"/>
  <c r="Z158" i="64" s="1"/>
  <c r="Z159" i="64" s="1"/>
  <c r="Z160" i="64" s="1"/>
  <c r="Z161" i="64" s="1"/>
  <c r="Z162" i="64" s="1"/>
  <c r="Z163" i="64" s="1"/>
  <c r="Z164" i="64" s="1"/>
  <c r="Z165" i="64" s="1"/>
  <c r="Z166" i="64" s="1"/>
  <c r="Z167" i="64" s="1"/>
  <c r="Z168" i="64" s="1"/>
  <c r="Z169" i="64" s="1"/>
  <c r="Z170" i="64" s="1"/>
  <c r="Z171" i="64" s="1"/>
  <c r="Q153" i="64"/>
  <c r="K153" i="64"/>
  <c r="I153" i="64"/>
  <c r="Q152" i="64"/>
  <c r="I152" i="64"/>
  <c r="K152" i="64" s="1"/>
  <c r="Z151" i="64"/>
  <c r="Z152" i="64" s="1"/>
  <c r="Q151" i="64"/>
  <c r="K151" i="64"/>
  <c r="I151" i="64"/>
  <c r="E151" i="64"/>
  <c r="C151" i="64"/>
  <c r="Q149" i="64"/>
  <c r="Q150" i="64" s="1"/>
  <c r="K149" i="64"/>
  <c r="C149" i="64"/>
  <c r="Q148" i="64"/>
  <c r="I148" i="64"/>
  <c r="K148" i="64" s="1"/>
  <c r="Q147" i="64"/>
  <c r="K147" i="64"/>
  <c r="I147" i="64"/>
  <c r="Q146" i="64"/>
  <c r="I146" i="64"/>
  <c r="K146" i="64" s="1"/>
  <c r="Q145" i="64"/>
  <c r="K145" i="64"/>
  <c r="I145" i="64"/>
  <c r="C145" i="64"/>
  <c r="Q144" i="64"/>
  <c r="K144" i="64"/>
  <c r="I144" i="64"/>
  <c r="E144" i="64"/>
  <c r="C144" i="64"/>
  <c r="Q143" i="64"/>
  <c r="Q141" i="64"/>
  <c r="Q140" i="64"/>
  <c r="G140" i="64"/>
  <c r="Q139" i="64"/>
  <c r="Q138" i="64"/>
  <c r="Q137" i="64"/>
  <c r="Q136" i="64"/>
  <c r="H135" i="64"/>
  <c r="Q135" i="64" s="1"/>
  <c r="G135" i="64"/>
  <c r="Q134" i="64"/>
  <c r="G134" i="64"/>
  <c r="H134" i="64" s="1"/>
  <c r="H133" i="64"/>
  <c r="G133" i="64"/>
  <c r="G139" i="64" s="1"/>
  <c r="Q132" i="64"/>
  <c r="Q130" i="64"/>
  <c r="R127" i="64"/>
  <c r="H127" i="64"/>
  <c r="H128" i="64" s="1"/>
  <c r="Q126" i="64"/>
  <c r="Q125" i="64"/>
  <c r="Q124" i="64"/>
  <c r="Q123" i="64"/>
  <c r="G123" i="64"/>
  <c r="Q122" i="64"/>
  <c r="G122" i="64"/>
  <c r="Q121" i="64"/>
  <c r="G121" i="64"/>
  <c r="P116" i="64"/>
  <c r="P115" i="64"/>
  <c r="P114" i="64"/>
  <c r="P113" i="64"/>
  <c r="E112" i="64"/>
  <c r="P109" i="64"/>
  <c r="P108" i="64"/>
  <c r="P107" i="64"/>
  <c r="P106" i="64"/>
  <c r="P105" i="64"/>
  <c r="C105" i="64"/>
  <c r="P102" i="64"/>
  <c r="P101" i="64"/>
  <c r="P100" i="64"/>
  <c r="C100" i="64"/>
  <c r="P99" i="64"/>
  <c r="C99" i="64"/>
  <c r="P98" i="64"/>
  <c r="C98" i="64"/>
  <c r="B96" i="64"/>
  <c r="P95" i="64"/>
  <c r="P94" i="64"/>
  <c r="P93" i="64"/>
  <c r="C93" i="64"/>
  <c r="V92" i="64"/>
  <c r="V93" i="64" s="1"/>
  <c r="V94" i="64" s="1"/>
  <c r="V95" i="64" s="1"/>
  <c r="V96" i="64" s="1"/>
  <c r="V97" i="64" s="1"/>
  <c r="V98" i="64" s="1"/>
  <c r="V99" i="64" s="1"/>
  <c r="V100" i="64" s="1"/>
  <c r="V101" i="64" s="1"/>
  <c r="V102" i="64" s="1"/>
  <c r="V103" i="64" s="1"/>
  <c r="V104" i="64" s="1"/>
  <c r="V105" i="64" s="1"/>
  <c r="V106" i="64" s="1"/>
  <c r="V107" i="64" s="1"/>
  <c r="V108" i="64" s="1"/>
  <c r="V109" i="64" s="1"/>
  <c r="V110" i="64" s="1"/>
  <c r="V111" i="64" s="1"/>
  <c r="P92" i="64"/>
  <c r="E92" i="64"/>
  <c r="AF92" i="64" s="1"/>
  <c r="D92" i="64"/>
  <c r="C92" i="64"/>
  <c r="V91" i="64"/>
  <c r="P91" i="64"/>
  <c r="C91" i="64"/>
  <c r="AF89" i="64"/>
  <c r="C89" i="64"/>
  <c r="P88" i="64"/>
  <c r="P87" i="64"/>
  <c r="P86" i="64"/>
  <c r="P85" i="64"/>
  <c r="E85" i="64"/>
  <c r="AF85" i="64" s="1"/>
  <c r="D85" i="64"/>
  <c r="C85" i="64"/>
  <c r="P84" i="64"/>
  <c r="C84" i="64"/>
  <c r="C80" i="64"/>
  <c r="O77" i="64"/>
  <c r="N77" i="64"/>
  <c r="H77" i="64"/>
  <c r="Q75" i="64"/>
  <c r="Q67" i="64"/>
  <c r="N67" i="64"/>
  <c r="M67" i="64"/>
  <c r="Q66" i="64"/>
  <c r="M66" i="64"/>
  <c r="N66" i="64" s="1"/>
  <c r="Q65" i="64"/>
  <c r="N65" i="64"/>
  <c r="M65" i="64"/>
  <c r="Q64" i="64"/>
  <c r="M64" i="64"/>
  <c r="N64" i="64" s="1"/>
  <c r="Q63" i="64"/>
  <c r="N63" i="64"/>
  <c r="O68" i="64" s="1"/>
  <c r="M63" i="64"/>
  <c r="C63" i="64"/>
  <c r="Q60" i="64"/>
  <c r="M60" i="64"/>
  <c r="N60" i="64" s="1"/>
  <c r="Q59" i="64"/>
  <c r="M59" i="64"/>
  <c r="N59" i="64" s="1"/>
  <c r="Q58" i="64"/>
  <c r="M58" i="64"/>
  <c r="N58" i="64" s="1"/>
  <c r="C58" i="64"/>
  <c r="Q57" i="64"/>
  <c r="N57" i="64"/>
  <c r="M57" i="64"/>
  <c r="C57" i="64"/>
  <c r="Q56" i="64"/>
  <c r="M56" i="64"/>
  <c r="N56" i="64" s="1"/>
  <c r="C56" i="64"/>
  <c r="B54" i="64"/>
  <c r="C54" i="64" s="1"/>
  <c r="Q53" i="64"/>
  <c r="N53" i="64"/>
  <c r="M53" i="64"/>
  <c r="Q52" i="64"/>
  <c r="M52" i="64"/>
  <c r="N52" i="64" s="1"/>
  <c r="Q51" i="64"/>
  <c r="N51" i="64"/>
  <c r="M51" i="64"/>
  <c r="C51" i="64"/>
  <c r="Q50" i="64"/>
  <c r="N50" i="64"/>
  <c r="M50" i="64"/>
  <c r="C50" i="64"/>
  <c r="U49" i="64"/>
  <c r="U50" i="64" s="1"/>
  <c r="Q49" i="64"/>
  <c r="N49" i="64"/>
  <c r="O54" i="64" s="1"/>
  <c r="M49" i="64"/>
  <c r="C49" i="64"/>
  <c r="C47" i="64"/>
  <c r="Q46" i="64"/>
  <c r="M46" i="64"/>
  <c r="N46" i="64" s="1"/>
  <c r="Q45" i="64"/>
  <c r="M45" i="64"/>
  <c r="N45" i="64" s="1"/>
  <c r="Q44" i="64"/>
  <c r="N44" i="64"/>
  <c r="M44" i="64"/>
  <c r="C44" i="64"/>
  <c r="Q43" i="64"/>
  <c r="M43" i="64"/>
  <c r="N43" i="64" s="1"/>
  <c r="C43" i="64"/>
  <c r="Q42" i="64"/>
  <c r="M42" i="64"/>
  <c r="N42" i="64" s="1"/>
  <c r="O47" i="64" s="1"/>
  <c r="C42" i="64"/>
  <c r="T41" i="64"/>
  <c r="N36" i="64"/>
  <c r="D36" i="64"/>
  <c r="AG34" i="64"/>
  <c r="AE34" i="64"/>
  <c r="AD34" i="64"/>
  <c r="AC34" i="64"/>
  <c r="H34" i="64"/>
  <c r="AG33" i="64"/>
  <c r="AE33" i="64"/>
  <c r="AD33" i="64"/>
  <c r="H33" i="64"/>
  <c r="E33" i="64"/>
  <c r="F33" i="64" s="1"/>
  <c r="AG32" i="64"/>
  <c r="AE32" i="64"/>
  <c r="AD32" i="64"/>
  <c r="H32" i="64"/>
  <c r="E32" i="64"/>
  <c r="F32" i="64" s="1"/>
  <c r="AG31" i="64"/>
  <c r="AE31" i="64"/>
  <c r="AC31" i="64"/>
  <c r="AC32" i="64" s="1"/>
  <c r="AC33" i="64" s="1"/>
  <c r="H31" i="64"/>
  <c r="AD31" i="64" s="1"/>
  <c r="P54" i="64" s="1"/>
  <c r="AG30" i="64"/>
  <c r="AE30" i="64"/>
  <c r="AD30" i="64"/>
  <c r="H30" i="64"/>
  <c r="E30" i="64"/>
  <c r="F30" i="64" s="1"/>
  <c r="AE29" i="64"/>
  <c r="AC29" i="64"/>
  <c r="AC30" i="64" s="1"/>
  <c r="H29" i="64"/>
  <c r="AD29" i="64" s="1"/>
  <c r="A29" i="64"/>
  <c r="X29" i="64" s="1"/>
  <c r="AE28" i="64"/>
  <c r="AD28" i="64"/>
  <c r="AC28" i="64"/>
  <c r="X28" i="64"/>
  <c r="J28" i="64"/>
  <c r="H28" i="64"/>
  <c r="F23" i="64"/>
  <c r="J23" i="64" s="1"/>
  <c r="F22" i="64"/>
  <c r="J22" i="64" s="1"/>
  <c r="S17" i="64"/>
  <c r="F17" i="64"/>
  <c r="S16" i="64"/>
  <c r="F114" i="64" s="1"/>
  <c r="S12" i="64"/>
  <c r="S9" i="64"/>
  <c r="T6" i="64"/>
  <c r="Q6" i="64"/>
  <c r="T5" i="64"/>
  <c r="Q5" i="64"/>
  <c r="P5" i="64"/>
  <c r="F17" i="63"/>
  <c r="F18" i="63" s="1"/>
  <c r="H210" i="63"/>
  <c r="H209" i="63"/>
  <c r="H208" i="63"/>
  <c r="H207" i="63"/>
  <c r="H206" i="63"/>
  <c r="H205" i="63"/>
  <c r="C205" i="63"/>
  <c r="H203" i="63"/>
  <c r="H202" i="63"/>
  <c r="H201" i="63"/>
  <c r="H200" i="63"/>
  <c r="C200" i="63"/>
  <c r="H199" i="63"/>
  <c r="C199" i="63"/>
  <c r="H198" i="63"/>
  <c r="C198" i="63"/>
  <c r="H196" i="63"/>
  <c r="B196" i="63"/>
  <c r="B203" i="63" s="1"/>
  <c r="H195" i="63"/>
  <c r="H194" i="63"/>
  <c r="H193" i="63"/>
  <c r="H192" i="63"/>
  <c r="C192" i="63"/>
  <c r="W191" i="63"/>
  <c r="W192" i="63" s="1"/>
  <c r="W193" i="63" s="1"/>
  <c r="W194" i="63" s="1"/>
  <c r="W195" i="63" s="1"/>
  <c r="W196" i="63" s="1"/>
  <c r="W197" i="63" s="1"/>
  <c r="W198" i="63" s="1"/>
  <c r="W199" i="63" s="1"/>
  <c r="W200" i="63" s="1"/>
  <c r="W201" i="63" s="1"/>
  <c r="W202" i="63" s="1"/>
  <c r="W203" i="63" s="1"/>
  <c r="W204" i="63" s="1"/>
  <c r="W205" i="63" s="1"/>
  <c r="W206" i="63" s="1"/>
  <c r="W207" i="63" s="1"/>
  <c r="W208" i="63" s="1"/>
  <c r="W209" i="63" s="1"/>
  <c r="W210" i="63" s="1"/>
  <c r="W211" i="63" s="1"/>
  <c r="H191" i="63"/>
  <c r="C191" i="63"/>
  <c r="H189" i="63"/>
  <c r="C189" i="63"/>
  <c r="H188" i="63"/>
  <c r="H187" i="63"/>
  <c r="H186" i="63"/>
  <c r="H185" i="63"/>
  <c r="H184" i="63"/>
  <c r="C184" i="63"/>
  <c r="K177" i="63"/>
  <c r="Q176" i="63"/>
  <c r="K176" i="63"/>
  <c r="I176" i="63"/>
  <c r="Q175" i="63"/>
  <c r="K175" i="63"/>
  <c r="I175" i="63"/>
  <c r="Q174" i="63"/>
  <c r="I174" i="63"/>
  <c r="K174" i="63" s="1"/>
  <c r="Q173" i="63"/>
  <c r="K173" i="63"/>
  <c r="I173" i="63"/>
  <c r="E172" i="63"/>
  <c r="Q171" i="63"/>
  <c r="Q170" i="63"/>
  <c r="K170" i="63"/>
  <c r="Q169" i="63"/>
  <c r="K169" i="63"/>
  <c r="I169" i="63"/>
  <c r="Q168" i="63"/>
  <c r="K168" i="63"/>
  <c r="I168" i="63"/>
  <c r="Q167" i="63"/>
  <c r="K167" i="63"/>
  <c r="I167" i="63"/>
  <c r="Q166" i="63"/>
  <c r="K166" i="63"/>
  <c r="I166" i="63"/>
  <c r="Q165" i="63"/>
  <c r="K165" i="63"/>
  <c r="I165" i="63"/>
  <c r="C165" i="63"/>
  <c r="Q163" i="63"/>
  <c r="Q164" i="63" s="1"/>
  <c r="K163" i="63"/>
  <c r="C163" i="63"/>
  <c r="Q162" i="63"/>
  <c r="K162" i="63"/>
  <c r="I162" i="63"/>
  <c r="Q161" i="63"/>
  <c r="K161" i="63"/>
  <c r="I161" i="63"/>
  <c r="Q160" i="63"/>
  <c r="K160" i="63"/>
  <c r="I160" i="63"/>
  <c r="C160" i="63"/>
  <c r="Z159" i="63"/>
  <c r="Z160" i="63" s="1"/>
  <c r="Z161" i="63" s="1"/>
  <c r="Z162" i="63" s="1"/>
  <c r="Z163" i="63" s="1"/>
  <c r="Z164" i="63" s="1"/>
  <c r="Z165" i="63" s="1"/>
  <c r="Z166" i="63" s="1"/>
  <c r="Z167" i="63" s="1"/>
  <c r="Z168" i="63" s="1"/>
  <c r="Z169" i="63" s="1"/>
  <c r="Z170" i="63" s="1"/>
  <c r="Z171" i="63" s="1"/>
  <c r="Q159" i="63"/>
  <c r="I159" i="63"/>
  <c r="K159" i="63" s="1"/>
  <c r="C159" i="63"/>
  <c r="Q158" i="63"/>
  <c r="I158" i="63"/>
  <c r="K158" i="63" s="1"/>
  <c r="C158" i="63"/>
  <c r="Q156" i="63"/>
  <c r="Q157" i="63" s="1"/>
  <c r="K156" i="63"/>
  <c r="B156" i="63"/>
  <c r="B163" i="63" s="1"/>
  <c r="B170" i="63" s="1"/>
  <c r="C170" i="63" s="1"/>
  <c r="Z155" i="63"/>
  <c r="Z156" i="63" s="1"/>
  <c r="Z157" i="63" s="1"/>
  <c r="Z158" i="63" s="1"/>
  <c r="Q155" i="63"/>
  <c r="K155" i="63"/>
  <c r="I155" i="63"/>
  <c r="Q154" i="63"/>
  <c r="I154" i="63"/>
  <c r="K154" i="63" s="1"/>
  <c r="Z153" i="63"/>
  <c r="Z154" i="63" s="1"/>
  <c r="Q153" i="63"/>
  <c r="K153" i="63"/>
  <c r="I153" i="63"/>
  <c r="Q152" i="63"/>
  <c r="K152" i="63"/>
  <c r="I152" i="63"/>
  <c r="Z151" i="63"/>
  <c r="Z152" i="63" s="1"/>
  <c r="Q151" i="63"/>
  <c r="K151" i="63"/>
  <c r="I151" i="63"/>
  <c r="E151" i="63"/>
  <c r="C151" i="63"/>
  <c r="Q150" i="63"/>
  <c r="Q149" i="63"/>
  <c r="K149" i="63"/>
  <c r="C149" i="63"/>
  <c r="Q148" i="63"/>
  <c r="I148" i="63"/>
  <c r="K148" i="63" s="1"/>
  <c r="Q147" i="63"/>
  <c r="I147" i="63"/>
  <c r="K147" i="63" s="1"/>
  <c r="Q146" i="63"/>
  <c r="I146" i="63"/>
  <c r="K146" i="63" s="1"/>
  <c r="Q145" i="63"/>
  <c r="K145" i="63"/>
  <c r="I145" i="63"/>
  <c r="C145" i="63"/>
  <c r="Q144" i="63"/>
  <c r="K144" i="63"/>
  <c r="I144" i="63"/>
  <c r="E144" i="63"/>
  <c r="C144" i="63"/>
  <c r="Q143" i="63"/>
  <c r="Q141" i="63"/>
  <c r="Q140" i="63"/>
  <c r="G140" i="63"/>
  <c r="Q139" i="63"/>
  <c r="Q138" i="63"/>
  <c r="Q137" i="63"/>
  <c r="Q136" i="63"/>
  <c r="H135" i="63"/>
  <c r="Q135" i="63" s="1"/>
  <c r="G135" i="63"/>
  <c r="G134" i="63"/>
  <c r="H134" i="63" s="1"/>
  <c r="Q134" i="63" s="1"/>
  <c r="G133" i="63"/>
  <c r="G139" i="63" s="1"/>
  <c r="Q132" i="63"/>
  <c r="Q130" i="63"/>
  <c r="R127" i="63"/>
  <c r="H127" i="63"/>
  <c r="H128" i="63" s="1"/>
  <c r="Q126" i="63"/>
  <c r="Q125" i="63"/>
  <c r="Q124" i="63"/>
  <c r="Q123" i="63"/>
  <c r="G123" i="63"/>
  <c r="Q122" i="63"/>
  <c r="G122" i="63"/>
  <c r="Q121" i="63"/>
  <c r="G121" i="63"/>
  <c r="P116" i="63"/>
  <c r="P115" i="63"/>
  <c r="P114" i="63"/>
  <c r="P113" i="63"/>
  <c r="E112" i="63"/>
  <c r="P109" i="63"/>
  <c r="P108" i="63"/>
  <c r="P107" i="63"/>
  <c r="P106" i="63"/>
  <c r="P105" i="63"/>
  <c r="C105" i="63"/>
  <c r="P102" i="63"/>
  <c r="P101" i="63"/>
  <c r="P100" i="63"/>
  <c r="C100" i="63"/>
  <c r="P99" i="63"/>
  <c r="C99" i="63"/>
  <c r="P98" i="63"/>
  <c r="C98" i="63"/>
  <c r="B96" i="63"/>
  <c r="P95" i="63"/>
  <c r="P94" i="63"/>
  <c r="P93" i="63"/>
  <c r="C93" i="63"/>
  <c r="V92" i="63"/>
  <c r="V93" i="63" s="1"/>
  <c r="V94" i="63" s="1"/>
  <c r="V95" i="63" s="1"/>
  <c r="V96" i="63" s="1"/>
  <c r="V97" i="63" s="1"/>
  <c r="V98" i="63" s="1"/>
  <c r="V99" i="63" s="1"/>
  <c r="V100" i="63" s="1"/>
  <c r="V101" i="63" s="1"/>
  <c r="V102" i="63" s="1"/>
  <c r="V103" i="63" s="1"/>
  <c r="V104" i="63" s="1"/>
  <c r="V105" i="63" s="1"/>
  <c r="V106" i="63" s="1"/>
  <c r="V107" i="63" s="1"/>
  <c r="V108" i="63" s="1"/>
  <c r="V109" i="63" s="1"/>
  <c r="V110" i="63" s="1"/>
  <c r="V111" i="63" s="1"/>
  <c r="P92" i="63"/>
  <c r="E92" i="63"/>
  <c r="AF92" i="63" s="1"/>
  <c r="D92" i="63"/>
  <c r="C92" i="63"/>
  <c r="V91" i="63"/>
  <c r="P91" i="63"/>
  <c r="C91" i="63"/>
  <c r="AF89" i="63"/>
  <c r="C89" i="63"/>
  <c r="P88" i="63"/>
  <c r="P87" i="63"/>
  <c r="P86" i="63"/>
  <c r="P85" i="63"/>
  <c r="E85" i="63"/>
  <c r="AF85" i="63" s="1"/>
  <c r="D85" i="63"/>
  <c r="C85" i="63"/>
  <c r="P84" i="63"/>
  <c r="C84" i="63"/>
  <c r="C80" i="63"/>
  <c r="O77" i="63"/>
  <c r="N77" i="63"/>
  <c r="H77" i="63"/>
  <c r="Q75" i="63"/>
  <c r="Q67" i="63"/>
  <c r="M67" i="63"/>
  <c r="N67" i="63" s="1"/>
  <c r="Q66" i="63"/>
  <c r="M66" i="63"/>
  <c r="N66" i="63" s="1"/>
  <c r="Q65" i="63"/>
  <c r="N65" i="63"/>
  <c r="M65" i="63"/>
  <c r="Q64" i="63"/>
  <c r="M64" i="63"/>
  <c r="N64" i="63" s="1"/>
  <c r="Q63" i="63"/>
  <c r="N63" i="63"/>
  <c r="M63" i="63"/>
  <c r="C63" i="63"/>
  <c r="B61" i="63"/>
  <c r="C61" i="63" s="1"/>
  <c r="Q60" i="63"/>
  <c r="M60" i="63"/>
  <c r="N60" i="63" s="1"/>
  <c r="Q59" i="63"/>
  <c r="M59" i="63"/>
  <c r="N59" i="63" s="1"/>
  <c r="Q58" i="63"/>
  <c r="M58" i="63"/>
  <c r="N58" i="63" s="1"/>
  <c r="C58" i="63"/>
  <c r="Q57" i="63"/>
  <c r="N57" i="63"/>
  <c r="M57" i="63"/>
  <c r="C57" i="63"/>
  <c r="Q56" i="63"/>
  <c r="M56" i="63"/>
  <c r="N56" i="63" s="1"/>
  <c r="C56" i="63"/>
  <c r="B54" i="63"/>
  <c r="C54" i="63" s="1"/>
  <c r="Q53" i="63"/>
  <c r="N53" i="63"/>
  <c r="M53" i="63"/>
  <c r="U52" i="63"/>
  <c r="U53" i="63" s="1"/>
  <c r="U54" i="63" s="1"/>
  <c r="U55" i="63" s="1"/>
  <c r="U56" i="63" s="1"/>
  <c r="U57" i="63" s="1"/>
  <c r="U58" i="63" s="1"/>
  <c r="U59" i="63" s="1"/>
  <c r="U60" i="63" s="1"/>
  <c r="U61" i="63" s="1"/>
  <c r="U62" i="63" s="1"/>
  <c r="U63" i="63" s="1"/>
  <c r="U64" i="63" s="1"/>
  <c r="U65" i="63" s="1"/>
  <c r="U66" i="63" s="1"/>
  <c r="U67" i="63" s="1"/>
  <c r="U68" i="63" s="1"/>
  <c r="U69" i="63" s="1"/>
  <c r="Q52" i="63"/>
  <c r="M52" i="63"/>
  <c r="N52" i="63" s="1"/>
  <c r="Q51" i="63"/>
  <c r="M51" i="63"/>
  <c r="N51" i="63" s="1"/>
  <c r="C51" i="63"/>
  <c r="U50" i="63"/>
  <c r="U51" i="63" s="1"/>
  <c r="Q50" i="63"/>
  <c r="N50" i="63"/>
  <c r="M50" i="63"/>
  <c r="C50" i="63"/>
  <c r="U49" i="63"/>
  <c r="Q49" i="63"/>
  <c r="N49" i="63"/>
  <c r="O54" i="63" s="1"/>
  <c r="M49" i="63"/>
  <c r="C49" i="63"/>
  <c r="C47" i="63"/>
  <c r="Q46" i="63"/>
  <c r="M46" i="63"/>
  <c r="N46" i="63" s="1"/>
  <c r="Q45" i="63"/>
  <c r="M45" i="63"/>
  <c r="N45" i="63" s="1"/>
  <c r="Q44" i="63"/>
  <c r="M44" i="63"/>
  <c r="N44" i="63" s="1"/>
  <c r="C44" i="63"/>
  <c r="Q43" i="63"/>
  <c r="M43" i="63"/>
  <c r="N43" i="63" s="1"/>
  <c r="C43" i="63"/>
  <c r="Q42" i="63"/>
  <c r="M42" i="63"/>
  <c r="N42" i="63" s="1"/>
  <c r="O47" i="63" s="1"/>
  <c r="C42" i="63"/>
  <c r="T41" i="63"/>
  <c r="N36" i="63"/>
  <c r="D36" i="63"/>
  <c r="AG34" i="63"/>
  <c r="AE34" i="63"/>
  <c r="AC34" i="63"/>
  <c r="H34" i="63"/>
  <c r="AD34" i="63" s="1"/>
  <c r="AG33" i="63"/>
  <c r="AE33" i="63"/>
  <c r="AD33" i="63"/>
  <c r="H33" i="63"/>
  <c r="E33" i="63"/>
  <c r="F33" i="63" s="1"/>
  <c r="AG32" i="63"/>
  <c r="AE32" i="63"/>
  <c r="AD32" i="63"/>
  <c r="H32" i="63"/>
  <c r="E32" i="63"/>
  <c r="F32" i="63" s="1"/>
  <c r="AG31" i="63"/>
  <c r="AE31" i="63"/>
  <c r="AC31" i="63"/>
  <c r="AC32" i="63" s="1"/>
  <c r="AC33" i="63" s="1"/>
  <c r="H31" i="63"/>
  <c r="AD31" i="63" s="1"/>
  <c r="AG30" i="63"/>
  <c r="AE30" i="63"/>
  <c r="AD30" i="63"/>
  <c r="H30" i="63"/>
  <c r="E30" i="63"/>
  <c r="F30" i="63" s="1"/>
  <c r="AE29" i="63"/>
  <c r="AC29" i="63"/>
  <c r="AC30" i="63" s="1"/>
  <c r="H29" i="63"/>
  <c r="AD29" i="63" s="1"/>
  <c r="A29" i="63"/>
  <c r="X29" i="63" s="1"/>
  <c r="AE28" i="63"/>
  <c r="AC28" i="63"/>
  <c r="X28" i="63"/>
  <c r="J28" i="63"/>
  <c r="H28" i="63"/>
  <c r="AD28" i="63" s="1"/>
  <c r="F23" i="63"/>
  <c r="J23" i="63" s="1"/>
  <c r="F22" i="63"/>
  <c r="J22" i="63" s="1"/>
  <c r="S17" i="63"/>
  <c r="S16" i="63"/>
  <c r="F114" i="63" s="1"/>
  <c r="S12" i="63"/>
  <c r="S9" i="63"/>
  <c r="T6" i="63"/>
  <c r="Q6" i="63"/>
  <c r="T5" i="63"/>
  <c r="Q5" i="63"/>
  <c r="P5" i="63"/>
  <c r="C94" i="62"/>
  <c r="C59" i="62"/>
  <c r="H182" i="62"/>
  <c r="H181" i="62"/>
  <c r="H180" i="62"/>
  <c r="H179" i="62"/>
  <c r="C179" i="62"/>
  <c r="H178" i="62"/>
  <c r="C178" i="62"/>
  <c r="H177" i="62"/>
  <c r="C177" i="62"/>
  <c r="H175" i="62"/>
  <c r="B175" i="62"/>
  <c r="C175" i="62" s="1"/>
  <c r="H174" i="62"/>
  <c r="H173" i="62"/>
  <c r="H172" i="62"/>
  <c r="H171" i="62"/>
  <c r="C171" i="62"/>
  <c r="W170" i="62"/>
  <c r="W171" i="62" s="1"/>
  <c r="W172" i="62" s="1"/>
  <c r="W173" i="62" s="1"/>
  <c r="W174" i="62" s="1"/>
  <c r="W175" i="62" s="1"/>
  <c r="W176" i="62" s="1"/>
  <c r="W177" i="62" s="1"/>
  <c r="W178" i="62" s="1"/>
  <c r="W179" i="62" s="1"/>
  <c r="W180" i="62" s="1"/>
  <c r="W181" i="62" s="1"/>
  <c r="W182" i="62" s="1"/>
  <c r="W183" i="62" s="1"/>
  <c r="H170" i="62"/>
  <c r="C170" i="62"/>
  <c r="H168" i="62"/>
  <c r="C168" i="62"/>
  <c r="H167" i="62"/>
  <c r="H166" i="62"/>
  <c r="H165" i="62"/>
  <c r="H164" i="62"/>
  <c r="H163" i="62"/>
  <c r="C163" i="62"/>
  <c r="K156" i="62"/>
  <c r="Q155" i="62"/>
  <c r="I155" i="62"/>
  <c r="K155" i="62" s="1"/>
  <c r="Q154" i="62"/>
  <c r="I154" i="62"/>
  <c r="K154" i="62" s="1"/>
  <c r="Q153" i="62"/>
  <c r="I153" i="62"/>
  <c r="K153" i="62" s="1"/>
  <c r="Q152" i="62"/>
  <c r="I152" i="62"/>
  <c r="K152" i="62" s="1"/>
  <c r="E151" i="62"/>
  <c r="Q149" i="62"/>
  <c r="Q150" i="62" s="1"/>
  <c r="K149" i="62"/>
  <c r="Q148" i="62"/>
  <c r="I148" i="62"/>
  <c r="K148" i="62" s="1"/>
  <c r="Q147" i="62"/>
  <c r="I147" i="62"/>
  <c r="K147" i="62" s="1"/>
  <c r="Q146" i="62"/>
  <c r="I146" i="62"/>
  <c r="K146" i="62" s="1"/>
  <c r="C146" i="62"/>
  <c r="Q145" i="62"/>
  <c r="I145" i="62"/>
  <c r="K145" i="62" s="1"/>
  <c r="C145" i="62"/>
  <c r="Q144" i="62"/>
  <c r="I144" i="62"/>
  <c r="K144" i="62" s="1"/>
  <c r="C144" i="62"/>
  <c r="Q142" i="62"/>
  <c r="Q143" i="62" s="1"/>
  <c r="K142" i="62"/>
  <c r="B142" i="62"/>
  <c r="B149" i="62" s="1"/>
  <c r="Q141" i="62"/>
  <c r="I141" i="62"/>
  <c r="K141" i="62" s="1"/>
  <c r="Q140" i="62"/>
  <c r="I140" i="62"/>
  <c r="K140" i="62" s="1"/>
  <c r="Q139" i="62"/>
  <c r="I139" i="62"/>
  <c r="K139" i="62" s="1"/>
  <c r="Q138" i="62"/>
  <c r="I138" i="62"/>
  <c r="K138" i="62" s="1"/>
  <c r="Z137" i="62"/>
  <c r="Z138" i="62" s="1"/>
  <c r="Z139" i="62" s="1"/>
  <c r="Z140" i="62" s="1"/>
  <c r="Z141" i="62" s="1"/>
  <c r="Z142" i="62" s="1"/>
  <c r="Z143" i="62" s="1"/>
  <c r="Z144" i="62" s="1"/>
  <c r="Z145" i="62" s="1"/>
  <c r="Z146" i="62" s="1"/>
  <c r="Z147" i="62" s="1"/>
  <c r="Z148" i="62" s="1"/>
  <c r="Z149" i="62" s="1"/>
  <c r="Z150" i="62" s="1"/>
  <c r="Q137" i="62"/>
  <c r="I137" i="62"/>
  <c r="K137" i="62" s="1"/>
  <c r="E137" i="62"/>
  <c r="C137" i="62"/>
  <c r="Q135" i="62"/>
  <c r="Q136" i="62" s="1"/>
  <c r="K135" i="62"/>
  <c r="C135" i="62"/>
  <c r="Q134" i="62"/>
  <c r="I134" i="62"/>
  <c r="K134" i="62" s="1"/>
  <c r="Q133" i="62"/>
  <c r="I133" i="62"/>
  <c r="K133" i="62" s="1"/>
  <c r="Q132" i="62"/>
  <c r="I132" i="62"/>
  <c r="K132" i="62" s="1"/>
  <c r="Q131" i="62"/>
  <c r="I131" i="62"/>
  <c r="K131" i="62" s="1"/>
  <c r="C131" i="62"/>
  <c r="Q130" i="62"/>
  <c r="I130" i="62"/>
  <c r="K130" i="62" s="1"/>
  <c r="E130" i="62"/>
  <c r="C130" i="62"/>
  <c r="Q129" i="62"/>
  <c r="Q127" i="62"/>
  <c r="Q126" i="62"/>
  <c r="Q125" i="62"/>
  <c r="Q124" i="62"/>
  <c r="Q123" i="62"/>
  <c r="Q122" i="62"/>
  <c r="G121" i="62"/>
  <c r="H121" i="62" s="1"/>
  <c r="Q121" i="62" s="1"/>
  <c r="G120" i="62"/>
  <c r="H120" i="62" s="1"/>
  <c r="Q120" i="62" s="1"/>
  <c r="G119" i="62"/>
  <c r="Q118" i="62"/>
  <c r="Q116" i="62"/>
  <c r="R113" i="62"/>
  <c r="H113" i="62"/>
  <c r="H114" i="62" s="1"/>
  <c r="Q112" i="62"/>
  <c r="Q111" i="62"/>
  <c r="Q110" i="62"/>
  <c r="Q109" i="62"/>
  <c r="G109" i="62"/>
  <c r="Q108" i="62"/>
  <c r="G108" i="62"/>
  <c r="Q107" i="62"/>
  <c r="G107" i="62"/>
  <c r="P102" i="62"/>
  <c r="P101" i="62"/>
  <c r="P100" i="62"/>
  <c r="P99" i="62"/>
  <c r="E98" i="62"/>
  <c r="P95" i="62"/>
  <c r="P94" i="62"/>
  <c r="P93" i="62"/>
  <c r="C93" i="62"/>
  <c r="P92" i="62"/>
  <c r="C92" i="62"/>
  <c r="P91" i="62"/>
  <c r="C91" i="62"/>
  <c r="B89" i="62"/>
  <c r="C89" i="62" s="1"/>
  <c r="P88" i="62"/>
  <c r="P87" i="62"/>
  <c r="P86" i="62"/>
  <c r="C86" i="62"/>
  <c r="P85" i="62"/>
  <c r="E85" i="62"/>
  <c r="AF85" i="62" s="1"/>
  <c r="D85" i="62"/>
  <c r="C85" i="62"/>
  <c r="V84" i="62"/>
  <c r="V85" i="62" s="1"/>
  <c r="V86" i="62" s="1"/>
  <c r="V87" i="62" s="1"/>
  <c r="V88" i="62" s="1"/>
  <c r="V89" i="62" s="1"/>
  <c r="V90" i="62" s="1"/>
  <c r="V91" i="62" s="1"/>
  <c r="V92" i="62" s="1"/>
  <c r="V93" i="62" s="1"/>
  <c r="V94" i="62" s="1"/>
  <c r="V95" i="62" s="1"/>
  <c r="V96" i="62" s="1"/>
  <c r="V97" i="62" s="1"/>
  <c r="P84" i="62"/>
  <c r="C84" i="62"/>
  <c r="AF82" i="62"/>
  <c r="C82" i="62"/>
  <c r="P81" i="62"/>
  <c r="P80" i="62"/>
  <c r="P79" i="62"/>
  <c r="P78" i="62"/>
  <c r="E78" i="62"/>
  <c r="AF78" i="62" s="1"/>
  <c r="D78" i="62"/>
  <c r="C78" i="62"/>
  <c r="P77" i="62"/>
  <c r="C77" i="62"/>
  <c r="C73" i="62"/>
  <c r="O70" i="62"/>
  <c r="N70" i="62"/>
  <c r="H70" i="62"/>
  <c r="Q68" i="62"/>
  <c r="Q60" i="62"/>
  <c r="M60" i="62"/>
  <c r="N60" i="62" s="1"/>
  <c r="Q59" i="62"/>
  <c r="M59" i="62"/>
  <c r="N59" i="62" s="1"/>
  <c r="Q58" i="62"/>
  <c r="M58" i="62"/>
  <c r="N58" i="62" s="1"/>
  <c r="C58" i="62"/>
  <c r="Q57" i="62"/>
  <c r="M57" i="62"/>
  <c r="N57" i="62" s="1"/>
  <c r="C57" i="62"/>
  <c r="Q56" i="62"/>
  <c r="M56" i="62"/>
  <c r="N56" i="62" s="1"/>
  <c r="C56" i="62"/>
  <c r="B54" i="62"/>
  <c r="B61" i="62" s="1"/>
  <c r="Q53" i="62"/>
  <c r="M53" i="62"/>
  <c r="N53" i="62" s="1"/>
  <c r="Q52" i="62"/>
  <c r="M52" i="62"/>
  <c r="N52" i="62" s="1"/>
  <c r="Q51" i="62"/>
  <c r="M51" i="62"/>
  <c r="N51" i="62" s="1"/>
  <c r="C51" i="62"/>
  <c r="Q50" i="62"/>
  <c r="M50" i="62"/>
  <c r="N50" i="62" s="1"/>
  <c r="C50" i="62"/>
  <c r="U49" i="62"/>
  <c r="U50" i="62" s="1"/>
  <c r="U51" i="62" s="1"/>
  <c r="U52" i="62" s="1"/>
  <c r="U53" i="62" s="1"/>
  <c r="U54" i="62" s="1"/>
  <c r="U55" i="62" s="1"/>
  <c r="U56" i="62" s="1"/>
  <c r="U57" i="62" s="1"/>
  <c r="U58" i="62" s="1"/>
  <c r="U59" i="62" s="1"/>
  <c r="U60" i="62" s="1"/>
  <c r="U61" i="62" s="1"/>
  <c r="U62" i="62" s="1"/>
  <c r="Q49" i="62"/>
  <c r="M49" i="62"/>
  <c r="N49" i="62" s="1"/>
  <c r="C49" i="62"/>
  <c r="C47" i="62"/>
  <c r="Q46" i="62"/>
  <c r="M46" i="62"/>
  <c r="N46" i="62" s="1"/>
  <c r="Q45" i="62"/>
  <c r="M45" i="62"/>
  <c r="N45" i="62" s="1"/>
  <c r="Q44" i="62"/>
  <c r="M44" i="62"/>
  <c r="N44" i="62" s="1"/>
  <c r="C44" i="62"/>
  <c r="Q43" i="62"/>
  <c r="M43" i="62"/>
  <c r="N43" i="62" s="1"/>
  <c r="C43" i="62"/>
  <c r="Q42" i="62"/>
  <c r="M42" i="62"/>
  <c r="N42" i="62" s="1"/>
  <c r="C42" i="62"/>
  <c r="T41" i="62"/>
  <c r="N36" i="62"/>
  <c r="D36" i="62"/>
  <c r="AG34" i="62"/>
  <c r="AE34" i="62"/>
  <c r="AD34" i="62"/>
  <c r="H34" i="62"/>
  <c r="AG33" i="62"/>
  <c r="AE33" i="62"/>
  <c r="AD33" i="62"/>
  <c r="H33" i="62"/>
  <c r="E33" i="62"/>
  <c r="F33" i="62" s="1"/>
  <c r="AG32" i="62"/>
  <c r="AE32" i="62"/>
  <c r="AD32" i="62"/>
  <c r="H32" i="62"/>
  <c r="E32" i="62"/>
  <c r="F32" i="62" s="1"/>
  <c r="AG31" i="62"/>
  <c r="AE31" i="62"/>
  <c r="AC31" i="62"/>
  <c r="AC32" i="62" s="1"/>
  <c r="AC33" i="62" s="1"/>
  <c r="AC34" i="62" s="1"/>
  <c r="H31" i="62"/>
  <c r="AD31" i="62" s="1"/>
  <c r="AG30" i="62"/>
  <c r="AE30" i="62"/>
  <c r="AD30" i="62"/>
  <c r="H30" i="62"/>
  <c r="E30" i="62"/>
  <c r="F30" i="62" s="1"/>
  <c r="AE29" i="62"/>
  <c r="AC29" i="62"/>
  <c r="AC30" i="62" s="1"/>
  <c r="H29" i="62"/>
  <c r="AD29" i="62" s="1"/>
  <c r="A29" i="62"/>
  <c r="A30" i="62" s="1"/>
  <c r="J30" i="62" s="1"/>
  <c r="AE28" i="62"/>
  <c r="AC28" i="62"/>
  <c r="X28" i="62"/>
  <c r="J28" i="62"/>
  <c r="H28" i="62"/>
  <c r="AD28" i="62" s="1"/>
  <c r="F23" i="62"/>
  <c r="J23" i="62" s="1"/>
  <c r="F22" i="62"/>
  <c r="J22" i="62" s="1"/>
  <c r="S17" i="62"/>
  <c r="F17" i="62"/>
  <c r="F18" i="62" s="1"/>
  <c r="S16" i="62"/>
  <c r="H118" i="62" s="1"/>
  <c r="S12" i="62"/>
  <c r="S9" i="62"/>
  <c r="T6" i="62"/>
  <c r="Q6" i="62"/>
  <c r="T5" i="62"/>
  <c r="Q5" i="62"/>
  <c r="P5" i="62"/>
  <c r="H210" i="61"/>
  <c r="H209" i="61"/>
  <c r="H208" i="61"/>
  <c r="H207" i="61"/>
  <c r="H206" i="61"/>
  <c r="H205" i="61"/>
  <c r="C205" i="61"/>
  <c r="H203" i="61"/>
  <c r="H202" i="61"/>
  <c r="H201" i="61"/>
  <c r="H200" i="61"/>
  <c r="C200" i="61"/>
  <c r="H199" i="61"/>
  <c r="C199" i="61"/>
  <c r="H198" i="61"/>
  <c r="C198" i="61"/>
  <c r="H196" i="61"/>
  <c r="B196" i="61"/>
  <c r="B203" i="61" s="1"/>
  <c r="H195" i="61"/>
  <c r="H194" i="61"/>
  <c r="H193" i="61"/>
  <c r="H192" i="61"/>
  <c r="C192" i="61"/>
  <c r="W191" i="61"/>
  <c r="W192" i="61" s="1"/>
  <c r="W193" i="61" s="1"/>
  <c r="W194" i="61" s="1"/>
  <c r="W195" i="61" s="1"/>
  <c r="W196" i="61" s="1"/>
  <c r="W197" i="61" s="1"/>
  <c r="W198" i="61" s="1"/>
  <c r="W199" i="61" s="1"/>
  <c r="W200" i="61" s="1"/>
  <c r="W201" i="61" s="1"/>
  <c r="W202" i="61" s="1"/>
  <c r="W203" i="61" s="1"/>
  <c r="W204" i="61" s="1"/>
  <c r="W205" i="61" s="1"/>
  <c r="W206" i="61" s="1"/>
  <c r="W207" i="61" s="1"/>
  <c r="W208" i="61" s="1"/>
  <c r="W209" i="61" s="1"/>
  <c r="W210" i="61" s="1"/>
  <c r="W211" i="61" s="1"/>
  <c r="H191" i="61"/>
  <c r="C191" i="61"/>
  <c r="H189" i="61"/>
  <c r="C189" i="61"/>
  <c r="H188" i="61"/>
  <c r="H187" i="61"/>
  <c r="H186" i="61"/>
  <c r="H185" i="61"/>
  <c r="H184" i="61"/>
  <c r="C184" i="61"/>
  <c r="K177" i="61"/>
  <c r="Q176" i="61"/>
  <c r="K176" i="61"/>
  <c r="I176" i="61"/>
  <c r="Q175" i="61"/>
  <c r="K175" i="61"/>
  <c r="I175" i="61"/>
  <c r="Q174" i="61"/>
  <c r="I174" i="61"/>
  <c r="K174" i="61" s="1"/>
  <c r="Q173" i="61"/>
  <c r="K173" i="61"/>
  <c r="I173" i="61"/>
  <c r="E172" i="61"/>
  <c r="Q171" i="61"/>
  <c r="Q170" i="61"/>
  <c r="K170" i="61"/>
  <c r="Q169" i="61"/>
  <c r="K169" i="61"/>
  <c r="I169" i="61"/>
  <c r="Q168" i="61"/>
  <c r="K168" i="61"/>
  <c r="I168" i="61"/>
  <c r="Q167" i="61"/>
  <c r="K167" i="61"/>
  <c r="I167" i="61"/>
  <c r="Q166" i="61"/>
  <c r="K166" i="61"/>
  <c r="I166" i="61"/>
  <c r="Q165" i="61"/>
  <c r="K165" i="61"/>
  <c r="I165" i="61"/>
  <c r="C165" i="61"/>
  <c r="Q163" i="61"/>
  <c r="Q164" i="61" s="1"/>
  <c r="K163" i="61"/>
  <c r="Q162" i="61"/>
  <c r="K162" i="61"/>
  <c r="I162" i="61"/>
  <c r="Q161" i="61"/>
  <c r="K161" i="61"/>
  <c r="I161" i="61"/>
  <c r="Q160" i="61"/>
  <c r="K160" i="61"/>
  <c r="I160" i="61"/>
  <c r="C160" i="61"/>
  <c r="Q159" i="61"/>
  <c r="I159" i="61"/>
  <c r="K159" i="61" s="1"/>
  <c r="C159" i="61"/>
  <c r="Q158" i="61"/>
  <c r="K158" i="61"/>
  <c r="I158" i="61"/>
  <c r="C158" i="61"/>
  <c r="Q156" i="61"/>
  <c r="Q157" i="61" s="1"/>
  <c r="K156" i="61"/>
  <c r="B156" i="61"/>
  <c r="B163" i="61" s="1"/>
  <c r="B170" i="61" s="1"/>
  <c r="C170" i="61" s="1"/>
  <c r="Q155" i="61"/>
  <c r="K155" i="61"/>
  <c r="I155" i="61"/>
  <c r="Q154" i="61"/>
  <c r="I154" i="61"/>
  <c r="K154" i="61" s="1"/>
  <c r="Z153" i="61"/>
  <c r="Z154" i="61" s="1"/>
  <c r="Z155" i="61" s="1"/>
  <c r="Z156" i="61" s="1"/>
  <c r="Z157" i="61" s="1"/>
  <c r="Z158" i="61" s="1"/>
  <c r="Z159" i="61" s="1"/>
  <c r="Z160" i="61" s="1"/>
  <c r="Z161" i="61" s="1"/>
  <c r="Z162" i="61" s="1"/>
  <c r="Z163" i="61" s="1"/>
  <c r="Z164" i="61" s="1"/>
  <c r="Z165" i="61" s="1"/>
  <c r="Z166" i="61" s="1"/>
  <c r="Z167" i="61" s="1"/>
  <c r="Z168" i="61" s="1"/>
  <c r="Z169" i="61" s="1"/>
  <c r="Z170" i="61" s="1"/>
  <c r="Z171" i="61" s="1"/>
  <c r="Q153" i="61"/>
  <c r="K153" i="61"/>
  <c r="I153" i="61"/>
  <c r="Q152" i="61"/>
  <c r="K152" i="61"/>
  <c r="I152" i="61"/>
  <c r="Z151" i="61"/>
  <c r="Z152" i="61" s="1"/>
  <c r="Q151" i="61"/>
  <c r="K151" i="61"/>
  <c r="I151" i="61"/>
  <c r="E151" i="61"/>
  <c r="C151" i="61"/>
  <c r="Q150" i="61"/>
  <c r="Q149" i="61"/>
  <c r="K149" i="61"/>
  <c r="C149" i="61"/>
  <c r="Q148" i="61"/>
  <c r="I148" i="61"/>
  <c r="K148" i="61" s="1"/>
  <c r="Q147" i="61"/>
  <c r="K147" i="61"/>
  <c r="I147" i="61"/>
  <c r="Q146" i="61"/>
  <c r="I146" i="61"/>
  <c r="K146" i="61" s="1"/>
  <c r="Q145" i="61"/>
  <c r="K145" i="61"/>
  <c r="I145" i="61"/>
  <c r="C145" i="61"/>
  <c r="Q144" i="61"/>
  <c r="K144" i="61"/>
  <c r="I144" i="61"/>
  <c r="E144" i="61"/>
  <c r="C144" i="61"/>
  <c r="Q143" i="61"/>
  <c r="Q141" i="61"/>
  <c r="Q140" i="61"/>
  <c r="G140" i="61"/>
  <c r="Q139" i="61"/>
  <c r="Q138" i="61"/>
  <c r="Q137" i="61"/>
  <c r="Q136" i="61"/>
  <c r="Q135" i="61"/>
  <c r="H135" i="61"/>
  <c r="G135" i="61"/>
  <c r="G134" i="61"/>
  <c r="H134" i="61" s="1"/>
  <c r="Q134" i="61" s="1"/>
  <c r="G133" i="61"/>
  <c r="G139" i="61" s="1"/>
  <c r="Q132" i="61"/>
  <c r="Q130" i="61"/>
  <c r="R127" i="61"/>
  <c r="H127" i="61"/>
  <c r="H128" i="61" s="1"/>
  <c r="Q126" i="61"/>
  <c r="Q125" i="61"/>
  <c r="Q124" i="61"/>
  <c r="Q123" i="61"/>
  <c r="G123" i="61"/>
  <c r="Q122" i="61"/>
  <c r="G122" i="61"/>
  <c r="Q121" i="61"/>
  <c r="G121" i="61"/>
  <c r="P116" i="61"/>
  <c r="P115" i="61"/>
  <c r="P114" i="61"/>
  <c r="F114" i="61"/>
  <c r="P113" i="61"/>
  <c r="E112" i="61"/>
  <c r="P109" i="61"/>
  <c r="P108" i="61"/>
  <c r="P107" i="61"/>
  <c r="P106" i="61"/>
  <c r="P105" i="61"/>
  <c r="C105" i="61"/>
  <c r="P102" i="61"/>
  <c r="P101" i="61"/>
  <c r="P100" i="61"/>
  <c r="C100" i="61"/>
  <c r="P99" i="61"/>
  <c r="L99" i="61"/>
  <c r="C99" i="61"/>
  <c r="P98" i="61"/>
  <c r="C98" i="61"/>
  <c r="C96" i="61"/>
  <c r="B96" i="61"/>
  <c r="P95" i="61"/>
  <c r="P94" i="61"/>
  <c r="P93" i="61"/>
  <c r="C93" i="61"/>
  <c r="P92" i="61"/>
  <c r="E92" i="61"/>
  <c r="AF92" i="61" s="1"/>
  <c r="D92" i="61"/>
  <c r="C92" i="61"/>
  <c r="V91" i="61"/>
  <c r="V92" i="61" s="1"/>
  <c r="V93" i="61" s="1"/>
  <c r="V94" i="61" s="1"/>
  <c r="V95" i="61" s="1"/>
  <c r="V96" i="61" s="1"/>
  <c r="V97" i="61" s="1"/>
  <c r="V98" i="61" s="1"/>
  <c r="V99" i="61" s="1"/>
  <c r="V100" i="61" s="1"/>
  <c r="V101" i="61" s="1"/>
  <c r="V102" i="61" s="1"/>
  <c r="V103" i="61" s="1"/>
  <c r="V104" i="61" s="1"/>
  <c r="V105" i="61" s="1"/>
  <c r="V106" i="61" s="1"/>
  <c r="V107" i="61" s="1"/>
  <c r="V108" i="61" s="1"/>
  <c r="V109" i="61" s="1"/>
  <c r="V110" i="61" s="1"/>
  <c r="V111" i="61" s="1"/>
  <c r="P91" i="61"/>
  <c r="C91" i="61"/>
  <c r="AF89" i="61"/>
  <c r="C89" i="61"/>
  <c r="P88" i="61"/>
  <c r="P87" i="61"/>
  <c r="P86" i="61"/>
  <c r="P85" i="61"/>
  <c r="E85" i="61"/>
  <c r="AF85" i="61" s="1"/>
  <c r="D85" i="61"/>
  <c r="C85" i="61"/>
  <c r="P84" i="61"/>
  <c r="C84" i="61"/>
  <c r="N83" i="61"/>
  <c r="C80" i="61"/>
  <c r="O77" i="61"/>
  <c r="N77" i="61"/>
  <c r="H77" i="61"/>
  <c r="Q75" i="61"/>
  <c r="Q67" i="61"/>
  <c r="M67" i="61"/>
  <c r="N67" i="61" s="1"/>
  <c r="Q66" i="61"/>
  <c r="M66" i="61"/>
  <c r="N66" i="61" s="1"/>
  <c r="Q65" i="61"/>
  <c r="M65" i="61"/>
  <c r="N65" i="61" s="1"/>
  <c r="Q64" i="61"/>
  <c r="M64" i="61"/>
  <c r="N64" i="61" s="1"/>
  <c r="Q63" i="61"/>
  <c r="M63" i="61"/>
  <c r="N63" i="61" s="1"/>
  <c r="C63" i="61"/>
  <c r="B61" i="61"/>
  <c r="Q60" i="61"/>
  <c r="M60" i="61"/>
  <c r="N60" i="61" s="1"/>
  <c r="Q59" i="61"/>
  <c r="M59" i="61"/>
  <c r="N59" i="61" s="1"/>
  <c r="Q58" i="61"/>
  <c r="M58" i="61"/>
  <c r="N58" i="61" s="1"/>
  <c r="C58" i="61"/>
  <c r="Q57" i="61"/>
  <c r="N57" i="61"/>
  <c r="M57" i="61"/>
  <c r="C57" i="61"/>
  <c r="Q56" i="61"/>
  <c r="M56" i="61"/>
  <c r="N56" i="61" s="1"/>
  <c r="O61" i="61" s="1"/>
  <c r="C56" i="61"/>
  <c r="B54" i="61"/>
  <c r="C54" i="61" s="1"/>
  <c r="Q53" i="61"/>
  <c r="M53" i="61"/>
  <c r="N53" i="61" s="1"/>
  <c r="U52" i="61"/>
  <c r="U53" i="61" s="1"/>
  <c r="U54" i="61" s="1"/>
  <c r="U55" i="61" s="1"/>
  <c r="U56" i="61" s="1"/>
  <c r="U57" i="61" s="1"/>
  <c r="U58" i="61" s="1"/>
  <c r="U59" i="61" s="1"/>
  <c r="U60" i="61" s="1"/>
  <c r="U61" i="61" s="1"/>
  <c r="U62" i="61" s="1"/>
  <c r="U63" i="61" s="1"/>
  <c r="U64" i="61" s="1"/>
  <c r="U65" i="61" s="1"/>
  <c r="U66" i="61" s="1"/>
  <c r="U67" i="61" s="1"/>
  <c r="U68" i="61" s="1"/>
  <c r="U69" i="61" s="1"/>
  <c r="Q52" i="61"/>
  <c r="M52" i="61"/>
  <c r="N52" i="61" s="1"/>
  <c r="Q51" i="61"/>
  <c r="M51" i="61"/>
  <c r="N51" i="61" s="1"/>
  <c r="C51" i="61"/>
  <c r="U50" i="61"/>
  <c r="U51" i="61" s="1"/>
  <c r="Q50" i="61"/>
  <c r="N50" i="61"/>
  <c r="M50" i="61"/>
  <c r="C50" i="61"/>
  <c r="U49" i="61"/>
  <c r="Q49" i="61"/>
  <c r="M49" i="61"/>
  <c r="N49" i="61" s="1"/>
  <c r="O54" i="61" s="1"/>
  <c r="C49" i="61"/>
  <c r="C47" i="61"/>
  <c r="Q46" i="61"/>
  <c r="M46" i="61"/>
  <c r="N46" i="61" s="1"/>
  <c r="Q45" i="61"/>
  <c r="M45" i="61"/>
  <c r="N45" i="61" s="1"/>
  <c r="Q44" i="61"/>
  <c r="M44" i="61"/>
  <c r="N44" i="61" s="1"/>
  <c r="C44" i="61"/>
  <c r="Q43" i="61"/>
  <c r="M43" i="61"/>
  <c r="N43" i="61" s="1"/>
  <c r="C43" i="61"/>
  <c r="Q42" i="61"/>
  <c r="M42" i="61"/>
  <c r="N42" i="61" s="1"/>
  <c r="O47" i="61" s="1"/>
  <c r="C42" i="61"/>
  <c r="T41" i="61"/>
  <c r="N36" i="61"/>
  <c r="D36" i="61"/>
  <c r="AG34" i="61"/>
  <c r="AE34" i="61"/>
  <c r="AD34" i="61"/>
  <c r="AC34" i="61"/>
  <c r="H34" i="61"/>
  <c r="AG33" i="61"/>
  <c r="AE33" i="61"/>
  <c r="AD33" i="61"/>
  <c r="H33" i="61"/>
  <c r="E33" i="61"/>
  <c r="F33" i="61" s="1"/>
  <c r="AG32" i="61"/>
  <c r="AE32" i="61"/>
  <c r="AD32" i="61"/>
  <c r="H32" i="61"/>
  <c r="E32" i="61"/>
  <c r="F32" i="61" s="1"/>
  <c r="AG31" i="61"/>
  <c r="AE31" i="61"/>
  <c r="AD31" i="61"/>
  <c r="AC31" i="61"/>
  <c r="AC32" i="61" s="1"/>
  <c r="AC33" i="61" s="1"/>
  <c r="H31" i="61"/>
  <c r="AG30" i="61"/>
  <c r="AE30" i="61"/>
  <c r="AD30" i="61"/>
  <c r="H30" i="61"/>
  <c r="E30" i="61"/>
  <c r="F30" i="61" s="1"/>
  <c r="A30" i="61"/>
  <c r="J30" i="61" s="1"/>
  <c r="AE29" i="61"/>
  <c r="AC29" i="61"/>
  <c r="AC30" i="61" s="1"/>
  <c r="J29" i="61"/>
  <c r="H29" i="61"/>
  <c r="AD29" i="61" s="1"/>
  <c r="A29" i="61"/>
  <c r="X29" i="61" s="1"/>
  <c r="AE28" i="61"/>
  <c r="AD28" i="61"/>
  <c r="P54" i="61" s="1"/>
  <c r="AC28" i="61"/>
  <c r="X28" i="61"/>
  <c r="J28" i="61"/>
  <c r="H28" i="61"/>
  <c r="F23" i="61"/>
  <c r="J23" i="61" s="1"/>
  <c r="F22" i="61"/>
  <c r="J22" i="61" s="1"/>
  <c r="S17" i="61"/>
  <c r="F17" i="61"/>
  <c r="F18" i="61" s="1"/>
  <c r="F20" i="61" s="1"/>
  <c r="S16" i="61"/>
  <c r="S12" i="61"/>
  <c r="S9" i="61"/>
  <c r="T6" i="61"/>
  <c r="Q6" i="61"/>
  <c r="T5" i="61"/>
  <c r="Q5" i="61"/>
  <c r="P5" i="61"/>
  <c r="H210" i="60"/>
  <c r="H209" i="60"/>
  <c r="H208" i="60"/>
  <c r="H207" i="60"/>
  <c r="H206" i="60"/>
  <c r="H205" i="60"/>
  <c r="C205" i="60"/>
  <c r="H203" i="60"/>
  <c r="H202" i="60"/>
  <c r="H201" i="60"/>
  <c r="H200" i="60"/>
  <c r="C200" i="60"/>
  <c r="H199" i="60"/>
  <c r="C199" i="60"/>
  <c r="H198" i="60"/>
  <c r="C198" i="60"/>
  <c r="H196" i="60"/>
  <c r="B196" i="60"/>
  <c r="B203" i="60" s="1"/>
  <c r="H195" i="60"/>
  <c r="H194" i="60"/>
  <c r="H193" i="60"/>
  <c r="H192" i="60"/>
  <c r="C192" i="60"/>
  <c r="W191" i="60"/>
  <c r="W192" i="60" s="1"/>
  <c r="W193" i="60" s="1"/>
  <c r="W194" i="60" s="1"/>
  <c r="W195" i="60" s="1"/>
  <c r="W196" i="60" s="1"/>
  <c r="W197" i="60" s="1"/>
  <c r="W198" i="60" s="1"/>
  <c r="W199" i="60" s="1"/>
  <c r="W200" i="60" s="1"/>
  <c r="W201" i="60" s="1"/>
  <c r="W202" i="60" s="1"/>
  <c r="W203" i="60" s="1"/>
  <c r="W204" i="60" s="1"/>
  <c r="W205" i="60" s="1"/>
  <c r="W206" i="60" s="1"/>
  <c r="W207" i="60" s="1"/>
  <c r="W208" i="60" s="1"/>
  <c r="W209" i="60" s="1"/>
  <c r="W210" i="60" s="1"/>
  <c r="W211" i="60" s="1"/>
  <c r="H191" i="60"/>
  <c r="C191" i="60"/>
  <c r="H189" i="60"/>
  <c r="C189" i="60"/>
  <c r="H188" i="60"/>
  <c r="H187" i="60"/>
  <c r="H186" i="60"/>
  <c r="H185" i="60"/>
  <c r="H184" i="60"/>
  <c r="C184" i="60"/>
  <c r="K177" i="60"/>
  <c r="Q176" i="60"/>
  <c r="I176" i="60"/>
  <c r="K176" i="60" s="1"/>
  <c r="Q175" i="60"/>
  <c r="K175" i="60"/>
  <c r="I175" i="60"/>
  <c r="Q174" i="60"/>
  <c r="I174" i="60"/>
  <c r="K174" i="60" s="1"/>
  <c r="Q173" i="60"/>
  <c r="K173" i="60"/>
  <c r="I173" i="60"/>
  <c r="E172" i="60"/>
  <c r="Q171" i="60"/>
  <c r="Q170" i="60"/>
  <c r="K170" i="60"/>
  <c r="Q169" i="60"/>
  <c r="K169" i="60"/>
  <c r="I169" i="60"/>
  <c r="Q168" i="60"/>
  <c r="K168" i="60"/>
  <c r="I168" i="60"/>
  <c r="Q167" i="60"/>
  <c r="K167" i="60"/>
  <c r="I167" i="60"/>
  <c r="Q166" i="60"/>
  <c r="K166" i="60"/>
  <c r="I166" i="60"/>
  <c r="Q165" i="60"/>
  <c r="K165" i="60"/>
  <c r="I165" i="60"/>
  <c r="C165" i="60"/>
  <c r="Q163" i="60"/>
  <c r="Q164" i="60" s="1"/>
  <c r="K163" i="60"/>
  <c r="C163" i="60"/>
  <c r="Q162" i="60"/>
  <c r="K162" i="60"/>
  <c r="I162" i="60"/>
  <c r="Q161" i="60"/>
  <c r="K161" i="60"/>
  <c r="I161" i="60"/>
  <c r="Q160" i="60"/>
  <c r="K160" i="60"/>
  <c r="I160" i="60"/>
  <c r="C160" i="60"/>
  <c r="Q159" i="60"/>
  <c r="I159" i="60"/>
  <c r="K159" i="60" s="1"/>
  <c r="C159" i="60"/>
  <c r="Q158" i="60"/>
  <c r="I158" i="60"/>
  <c r="K158" i="60" s="1"/>
  <c r="C158" i="60"/>
  <c r="Q156" i="60"/>
  <c r="Q157" i="60" s="1"/>
  <c r="K156" i="60"/>
  <c r="C156" i="60"/>
  <c r="B156" i="60"/>
  <c r="B163" i="60" s="1"/>
  <c r="B170" i="60" s="1"/>
  <c r="C170" i="60" s="1"/>
  <c r="Q155" i="60"/>
  <c r="K155" i="60"/>
  <c r="I155" i="60"/>
  <c r="Q154" i="60"/>
  <c r="K154" i="60"/>
  <c r="I154" i="60"/>
  <c r="Q153" i="60"/>
  <c r="K153" i="60"/>
  <c r="I153" i="60"/>
  <c r="Q152" i="60"/>
  <c r="I152" i="60"/>
  <c r="K152" i="60" s="1"/>
  <c r="Z151" i="60"/>
  <c r="Z152" i="60" s="1"/>
  <c r="Z153" i="60" s="1"/>
  <c r="Z154" i="60" s="1"/>
  <c r="Z155" i="60" s="1"/>
  <c r="Z156" i="60" s="1"/>
  <c r="Z157" i="60" s="1"/>
  <c r="Z158" i="60" s="1"/>
  <c r="Z159" i="60" s="1"/>
  <c r="Z160" i="60" s="1"/>
  <c r="Z161" i="60" s="1"/>
  <c r="Z162" i="60" s="1"/>
  <c r="Z163" i="60" s="1"/>
  <c r="Z164" i="60" s="1"/>
  <c r="Z165" i="60" s="1"/>
  <c r="Z166" i="60" s="1"/>
  <c r="Z167" i="60" s="1"/>
  <c r="Z168" i="60" s="1"/>
  <c r="Z169" i="60" s="1"/>
  <c r="Z170" i="60" s="1"/>
  <c r="Z171" i="60" s="1"/>
  <c r="Q151" i="60"/>
  <c r="K151" i="60"/>
  <c r="I151" i="60"/>
  <c r="E151" i="60"/>
  <c r="C151" i="60"/>
  <c r="Q149" i="60"/>
  <c r="Q150" i="60" s="1"/>
  <c r="K149" i="60"/>
  <c r="C149" i="60"/>
  <c r="Q148" i="60"/>
  <c r="I148" i="60"/>
  <c r="K148" i="60" s="1"/>
  <c r="Q147" i="60"/>
  <c r="K147" i="60"/>
  <c r="I147" i="60"/>
  <c r="Q146" i="60"/>
  <c r="I146" i="60"/>
  <c r="K146" i="60" s="1"/>
  <c r="Q145" i="60"/>
  <c r="K145" i="60"/>
  <c r="I145" i="60"/>
  <c r="C145" i="60"/>
  <c r="Q144" i="60"/>
  <c r="K144" i="60"/>
  <c r="I144" i="60"/>
  <c r="E144" i="60"/>
  <c r="C144" i="60"/>
  <c r="Q143" i="60"/>
  <c r="Q141" i="60"/>
  <c r="Q140" i="60"/>
  <c r="Q139" i="60"/>
  <c r="Q138" i="60"/>
  <c r="Q137" i="60"/>
  <c r="Q136" i="60"/>
  <c r="H135" i="60"/>
  <c r="Q135" i="60" s="1"/>
  <c r="G135" i="60"/>
  <c r="G134" i="60"/>
  <c r="H134" i="60" s="1"/>
  <c r="Q134" i="60" s="1"/>
  <c r="H133" i="60"/>
  <c r="G133" i="60"/>
  <c r="G139" i="60" s="1"/>
  <c r="G140" i="60" s="1"/>
  <c r="Q132" i="60"/>
  <c r="Q130" i="60"/>
  <c r="R127" i="60"/>
  <c r="H127" i="60"/>
  <c r="H128" i="60" s="1"/>
  <c r="Q126" i="60"/>
  <c r="Q125" i="60"/>
  <c r="Q124" i="60"/>
  <c r="Q123" i="60"/>
  <c r="G123" i="60"/>
  <c r="Q122" i="60"/>
  <c r="G122" i="60"/>
  <c r="Q121" i="60"/>
  <c r="G121" i="60"/>
  <c r="P116" i="60"/>
  <c r="P115" i="60"/>
  <c r="P114" i="60"/>
  <c r="P113" i="60"/>
  <c r="E112" i="60"/>
  <c r="P109" i="60"/>
  <c r="P108" i="60"/>
  <c r="P107" i="60"/>
  <c r="P106" i="60"/>
  <c r="P105" i="60"/>
  <c r="C105" i="60"/>
  <c r="P102" i="60"/>
  <c r="P101" i="60"/>
  <c r="P100" i="60"/>
  <c r="C100" i="60"/>
  <c r="P99" i="60"/>
  <c r="C99" i="60"/>
  <c r="P98" i="60"/>
  <c r="C98" i="60"/>
  <c r="C96" i="60"/>
  <c r="B96" i="60"/>
  <c r="P95" i="60"/>
  <c r="P94" i="60"/>
  <c r="P93" i="60"/>
  <c r="C93" i="60"/>
  <c r="P92" i="60"/>
  <c r="E92" i="60"/>
  <c r="AF92" i="60" s="1"/>
  <c r="D92" i="60"/>
  <c r="C92" i="60"/>
  <c r="V91" i="60"/>
  <c r="V92" i="60" s="1"/>
  <c r="V93" i="60" s="1"/>
  <c r="V94" i="60" s="1"/>
  <c r="V95" i="60" s="1"/>
  <c r="V96" i="60" s="1"/>
  <c r="V97" i="60" s="1"/>
  <c r="V98" i="60" s="1"/>
  <c r="V99" i="60" s="1"/>
  <c r="V100" i="60" s="1"/>
  <c r="V101" i="60" s="1"/>
  <c r="V102" i="60" s="1"/>
  <c r="V103" i="60" s="1"/>
  <c r="V104" i="60" s="1"/>
  <c r="V105" i="60" s="1"/>
  <c r="V106" i="60" s="1"/>
  <c r="V107" i="60" s="1"/>
  <c r="V108" i="60" s="1"/>
  <c r="V109" i="60" s="1"/>
  <c r="V110" i="60" s="1"/>
  <c r="V111" i="60" s="1"/>
  <c r="P91" i="60"/>
  <c r="C91" i="60"/>
  <c r="AF89" i="60"/>
  <c r="C89" i="60"/>
  <c r="P88" i="60"/>
  <c r="P87" i="60"/>
  <c r="P86" i="60"/>
  <c r="P85" i="60"/>
  <c r="E85" i="60"/>
  <c r="AF85" i="60" s="1"/>
  <c r="D85" i="60"/>
  <c r="C85" i="60"/>
  <c r="P84" i="60"/>
  <c r="C84" i="60"/>
  <c r="C80" i="60"/>
  <c r="O77" i="60"/>
  <c r="N77" i="60"/>
  <c r="H77" i="60"/>
  <c r="Q75" i="60"/>
  <c r="Q67" i="60"/>
  <c r="M67" i="60"/>
  <c r="N67" i="60" s="1"/>
  <c r="Q66" i="60"/>
  <c r="M66" i="60"/>
  <c r="N66" i="60" s="1"/>
  <c r="Q65" i="60"/>
  <c r="M65" i="60"/>
  <c r="N65" i="60" s="1"/>
  <c r="Q64" i="60"/>
  <c r="M64" i="60"/>
  <c r="N64" i="60" s="1"/>
  <c r="Q63" i="60"/>
  <c r="M63" i="60"/>
  <c r="N63" i="60" s="1"/>
  <c r="O68" i="60" s="1"/>
  <c r="C63" i="60"/>
  <c r="B61" i="60"/>
  <c r="C61" i="60" s="1"/>
  <c r="Q60" i="60"/>
  <c r="N60" i="60"/>
  <c r="M60" i="60"/>
  <c r="Q59" i="60"/>
  <c r="M59" i="60"/>
  <c r="N59" i="60" s="1"/>
  <c r="Q58" i="60"/>
  <c r="M58" i="60"/>
  <c r="N58" i="60" s="1"/>
  <c r="C58" i="60"/>
  <c r="Q57" i="60"/>
  <c r="N57" i="60"/>
  <c r="M57" i="60"/>
  <c r="C57" i="60"/>
  <c r="Q56" i="60"/>
  <c r="N56" i="60"/>
  <c r="M56" i="60"/>
  <c r="C56" i="60"/>
  <c r="B54" i="60"/>
  <c r="C54" i="60" s="1"/>
  <c r="Q53" i="60"/>
  <c r="N53" i="60"/>
  <c r="M53" i="60"/>
  <c r="Q52" i="60"/>
  <c r="M52" i="60"/>
  <c r="N52" i="60" s="1"/>
  <c r="Q51" i="60"/>
  <c r="M51" i="60"/>
  <c r="N51" i="60" s="1"/>
  <c r="C51" i="60"/>
  <c r="Q50" i="60"/>
  <c r="N50" i="60"/>
  <c r="M50" i="60"/>
  <c r="C50" i="60"/>
  <c r="U49" i="60"/>
  <c r="U50" i="60" s="1"/>
  <c r="Q49" i="60"/>
  <c r="N49" i="60"/>
  <c r="O54" i="60" s="1"/>
  <c r="M49" i="60"/>
  <c r="C49" i="60"/>
  <c r="C47" i="60"/>
  <c r="Q46" i="60"/>
  <c r="M46" i="60"/>
  <c r="N46" i="60" s="1"/>
  <c r="Q45" i="60"/>
  <c r="M45" i="60"/>
  <c r="N45" i="60" s="1"/>
  <c r="Q44" i="60"/>
  <c r="M44" i="60"/>
  <c r="N44" i="60" s="1"/>
  <c r="C44" i="60"/>
  <c r="Q43" i="60"/>
  <c r="M43" i="60"/>
  <c r="N43" i="60" s="1"/>
  <c r="C43" i="60"/>
  <c r="Q42" i="60"/>
  <c r="N42" i="60"/>
  <c r="O47" i="60" s="1"/>
  <c r="M42" i="60"/>
  <c r="C42" i="60"/>
  <c r="T41" i="60"/>
  <c r="N36" i="60"/>
  <c r="D36" i="60"/>
  <c r="AG34" i="60"/>
  <c r="AE34" i="60"/>
  <c r="AD34" i="60"/>
  <c r="AC34" i="60"/>
  <c r="H34" i="60"/>
  <c r="AG33" i="60"/>
  <c r="AE33" i="60"/>
  <c r="AD33" i="60"/>
  <c r="H33" i="60"/>
  <c r="E33" i="60"/>
  <c r="F33" i="60" s="1"/>
  <c r="AG32" i="60"/>
  <c r="AE32" i="60"/>
  <c r="AD32" i="60"/>
  <c r="H32" i="60"/>
  <c r="E32" i="60"/>
  <c r="F32" i="60" s="1"/>
  <c r="AG31" i="60"/>
  <c r="AE31" i="60"/>
  <c r="AD31" i="60"/>
  <c r="AC31" i="60"/>
  <c r="AC32" i="60" s="1"/>
  <c r="AC33" i="60" s="1"/>
  <c r="H31" i="60"/>
  <c r="AG30" i="60"/>
  <c r="AE30" i="60"/>
  <c r="AD30" i="60"/>
  <c r="H30" i="60"/>
  <c r="E30" i="60"/>
  <c r="F30" i="60" s="1"/>
  <c r="A30" i="60"/>
  <c r="J30" i="60" s="1"/>
  <c r="AE29" i="60"/>
  <c r="AC29" i="60"/>
  <c r="AC30" i="60" s="1"/>
  <c r="H29" i="60"/>
  <c r="AD29" i="60" s="1"/>
  <c r="A29" i="60"/>
  <c r="X29" i="60" s="1"/>
  <c r="AE28" i="60"/>
  <c r="AD28" i="60"/>
  <c r="P61" i="60" s="1"/>
  <c r="AC28" i="60"/>
  <c r="X28" i="60"/>
  <c r="J28" i="60"/>
  <c r="H28" i="60"/>
  <c r="F23" i="60"/>
  <c r="J23" i="60" s="1"/>
  <c r="F22" i="60"/>
  <c r="J22" i="60" s="1"/>
  <c r="S17" i="60"/>
  <c r="F17" i="60"/>
  <c r="S16" i="60"/>
  <c r="Q113" i="60" s="1"/>
  <c r="S12" i="60"/>
  <c r="S9" i="60"/>
  <c r="T6" i="60"/>
  <c r="Q6" i="60"/>
  <c r="T5" i="60"/>
  <c r="Q5" i="60"/>
  <c r="P5" i="60"/>
  <c r="C205" i="57"/>
  <c r="C199" i="57"/>
  <c r="C200" i="57"/>
  <c r="C198" i="57"/>
  <c r="C192" i="57"/>
  <c r="C191" i="57"/>
  <c r="C184" i="57"/>
  <c r="E172" i="57"/>
  <c r="C165" i="57"/>
  <c r="C159" i="57"/>
  <c r="C160" i="57"/>
  <c r="C158" i="57"/>
  <c r="E151" i="57"/>
  <c r="C151" i="57"/>
  <c r="E144" i="57"/>
  <c r="C145" i="57"/>
  <c r="C144" i="57"/>
  <c r="C105" i="57"/>
  <c r="C99" i="57"/>
  <c r="C100" i="57"/>
  <c r="C98" i="57"/>
  <c r="C93" i="57"/>
  <c r="C92" i="57"/>
  <c r="C91" i="57"/>
  <c r="C85" i="57"/>
  <c r="C84" i="57"/>
  <c r="C63" i="57"/>
  <c r="C58" i="57"/>
  <c r="C57" i="57"/>
  <c r="C56" i="57"/>
  <c r="C51" i="57"/>
  <c r="C50" i="57"/>
  <c r="C49" i="57"/>
  <c r="Q170" i="57"/>
  <c r="Q171" i="57" s="1"/>
  <c r="K170" i="57"/>
  <c r="B170" i="57"/>
  <c r="C170" i="57" s="1"/>
  <c r="Q169" i="57"/>
  <c r="I169" i="57"/>
  <c r="K169" i="57" s="1"/>
  <c r="Q168" i="57"/>
  <c r="I168" i="57"/>
  <c r="K168" i="57" s="1"/>
  <c r="Q167" i="57"/>
  <c r="I167" i="57"/>
  <c r="K167" i="57" s="1"/>
  <c r="Q166" i="57"/>
  <c r="I166" i="57"/>
  <c r="K166" i="57" s="1"/>
  <c r="Q165" i="57"/>
  <c r="I165" i="57"/>
  <c r="K165" i="57" s="1"/>
  <c r="H210" i="57"/>
  <c r="H209" i="57"/>
  <c r="H208" i="57"/>
  <c r="H207" i="57"/>
  <c r="H206" i="57"/>
  <c r="H205" i="57"/>
  <c r="P109" i="57"/>
  <c r="P108" i="57"/>
  <c r="P107" i="57"/>
  <c r="P106" i="57"/>
  <c r="P105" i="57"/>
  <c r="Q67" i="57"/>
  <c r="M67" i="57"/>
  <c r="N67" i="57" s="1"/>
  <c r="Q66" i="57"/>
  <c r="M66" i="57"/>
  <c r="N66" i="57" s="1"/>
  <c r="Q65" i="57"/>
  <c r="M65" i="57"/>
  <c r="N65" i="57" s="1"/>
  <c r="Q64" i="57"/>
  <c r="M64" i="57"/>
  <c r="N64" i="57" s="1"/>
  <c r="Q63" i="57"/>
  <c r="M63" i="57"/>
  <c r="N63" i="57" s="1"/>
  <c r="Q163" i="57"/>
  <c r="Q164" i="57" s="1"/>
  <c r="K163" i="57"/>
  <c r="Q162" i="57"/>
  <c r="I162" i="57"/>
  <c r="K162" i="57" s="1"/>
  <c r="Q161" i="57"/>
  <c r="I161" i="57"/>
  <c r="K161" i="57" s="1"/>
  <c r="Q160" i="57"/>
  <c r="I160" i="57"/>
  <c r="K160" i="57" s="1"/>
  <c r="Q159" i="57"/>
  <c r="I159" i="57"/>
  <c r="K159" i="57" s="1"/>
  <c r="Q158" i="57"/>
  <c r="I158" i="57"/>
  <c r="K158" i="57" s="1"/>
  <c r="H203" i="57"/>
  <c r="H202" i="57"/>
  <c r="H201" i="57"/>
  <c r="H200" i="57"/>
  <c r="H199" i="57"/>
  <c r="H198" i="57"/>
  <c r="P102" i="57"/>
  <c r="P101" i="57"/>
  <c r="P100" i="57"/>
  <c r="P99" i="57"/>
  <c r="P98" i="57"/>
  <c r="Q60" i="57"/>
  <c r="M60" i="57"/>
  <c r="N60" i="57" s="1"/>
  <c r="Q59" i="57"/>
  <c r="M59" i="57"/>
  <c r="N59" i="57" s="1"/>
  <c r="Q58" i="57"/>
  <c r="M58" i="57"/>
  <c r="N58" i="57" s="1"/>
  <c r="Q57" i="57"/>
  <c r="M57" i="57"/>
  <c r="N57" i="57" s="1"/>
  <c r="Q56" i="57"/>
  <c r="M56" i="57"/>
  <c r="N56" i="57" s="1"/>
  <c r="C44" i="57"/>
  <c r="C43" i="57"/>
  <c r="C42" i="57"/>
  <c r="AG34" i="57"/>
  <c r="AE34" i="57"/>
  <c r="H34" i="57"/>
  <c r="AD34" i="57" s="1"/>
  <c r="AG33" i="57"/>
  <c r="AE33" i="57"/>
  <c r="AD33" i="57"/>
  <c r="H33" i="57"/>
  <c r="E33" i="57"/>
  <c r="F33" i="57" s="1"/>
  <c r="AG32" i="57"/>
  <c r="AE32" i="57"/>
  <c r="AD32" i="57"/>
  <c r="H32" i="57"/>
  <c r="E32" i="57"/>
  <c r="F32" i="57" s="1"/>
  <c r="Q85" i="65" l="1"/>
  <c r="D82" i="65"/>
  <c r="E82" i="65" s="1"/>
  <c r="F82" i="65" s="1"/>
  <c r="P47" i="65"/>
  <c r="O61" i="65"/>
  <c r="P61" i="65"/>
  <c r="C61" i="65"/>
  <c r="C54" i="65"/>
  <c r="L76" i="65"/>
  <c r="L94" i="65"/>
  <c r="G113" i="65"/>
  <c r="G114" i="65" s="1"/>
  <c r="L101" i="65"/>
  <c r="L99" i="65"/>
  <c r="L93" i="65"/>
  <c r="P76" i="65"/>
  <c r="L92" i="65"/>
  <c r="N76" i="65"/>
  <c r="O47" i="65"/>
  <c r="D175" i="65"/>
  <c r="D89" i="65"/>
  <c r="E89" i="65" s="1"/>
  <c r="F89" i="65" s="1"/>
  <c r="D168" i="65"/>
  <c r="P54" i="65"/>
  <c r="Q78" i="65"/>
  <c r="L80" i="65"/>
  <c r="L85" i="65"/>
  <c r="L88" i="65"/>
  <c r="AF96" i="65"/>
  <c r="D96" i="65"/>
  <c r="E96" i="65" s="1"/>
  <c r="F96" i="65" s="1"/>
  <c r="C96" i="65"/>
  <c r="Q100" i="65"/>
  <c r="Q119" i="65"/>
  <c r="H151" i="65"/>
  <c r="O54" i="65"/>
  <c r="J29" i="65"/>
  <c r="A30" i="65"/>
  <c r="G125" i="65"/>
  <c r="G126" i="65" s="1"/>
  <c r="H120" i="65"/>
  <c r="Q120" i="65" s="1"/>
  <c r="S10" i="65"/>
  <c r="L87" i="65"/>
  <c r="L91" i="65"/>
  <c r="L95" i="65"/>
  <c r="D182" i="65"/>
  <c r="C182" i="65"/>
  <c r="L86" i="65"/>
  <c r="L79" i="65"/>
  <c r="D93" i="65" s="1"/>
  <c r="E93" i="65" s="1"/>
  <c r="Q99" i="65"/>
  <c r="Q101" i="65"/>
  <c r="L100" i="65"/>
  <c r="C175" i="65"/>
  <c r="D196" i="64"/>
  <c r="E54" i="64"/>
  <c r="Y54" i="64" s="1"/>
  <c r="D54" i="64"/>
  <c r="U51" i="64"/>
  <c r="U52" i="64" s="1"/>
  <c r="U53" i="64" s="1"/>
  <c r="U54" i="64" s="1"/>
  <c r="U55" i="64" s="1"/>
  <c r="U56" i="64" s="1"/>
  <c r="U57" i="64" s="1"/>
  <c r="U58" i="64" s="1"/>
  <c r="U59" i="64" s="1"/>
  <c r="U60" i="64" s="1"/>
  <c r="U61" i="64" s="1"/>
  <c r="U62" i="64" s="1"/>
  <c r="U63" i="64" s="1"/>
  <c r="U64" i="64" s="1"/>
  <c r="U65" i="64" s="1"/>
  <c r="U66" i="64" s="1"/>
  <c r="U67" i="64" s="1"/>
  <c r="U68" i="64" s="1"/>
  <c r="U69" i="64" s="1"/>
  <c r="O61" i="64"/>
  <c r="F18" i="64"/>
  <c r="F91" i="64"/>
  <c r="L99" i="64"/>
  <c r="Q115" i="64"/>
  <c r="F84" i="64"/>
  <c r="Q85" i="64"/>
  <c r="L87" i="64"/>
  <c r="L94" i="64"/>
  <c r="L105" i="64"/>
  <c r="L107" i="64"/>
  <c r="L109" i="64"/>
  <c r="F113" i="64"/>
  <c r="F116" i="64"/>
  <c r="J29" i="64"/>
  <c r="F83" i="64"/>
  <c r="L84" i="64"/>
  <c r="F98" i="64"/>
  <c r="L95" i="64"/>
  <c r="F100" i="64"/>
  <c r="F102" i="64"/>
  <c r="I83" i="64"/>
  <c r="F86" i="64"/>
  <c r="L93" i="64"/>
  <c r="AF96" i="64"/>
  <c r="B103" i="64"/>
  <c r="D96" i="64"/>
  <c r="E96" i="64" s="1"/>
  <c r="F96" i="64" s="1"/>
  <c r="F101" i="64"/>
  <c r="Q113" i="64"/>
  <c r="G127" i="64"/>
  <c r="G128" i="64" s="1"/>
  <c r="H172" i="64"/>
  <c r="Q133" i="64"/>
  <c r="P47" i="64"/>
  <c r="E47" i="64" s="1"/>
  <c r="Y47" i="64" s="1"/>
  <c r="D89" i="64"/>
  <c r="E89" i="64" s="1"/>
  <c r="F89" i="64" s="1"/>
  <c r="D189" i="64"/>
  <c r="K83" i="64"/>
  <c r="L86" i="64"/>
  <c r="D199" i="64" s="1"/>
  <c r="C96" i="64"/>
  <c r="H139" i="64"/>
  <c r="H140" i="64" s="1"/>
  <c r="C156" i="64"/>
  <c r="D202" i="64"/>
  <c r="H132" i="64"/>
  <c r="L115" i="64"/>
  <c r="L113" i="64"/>
  <c r="F109" i="64"/>
  <c r="F108" i="64"/>
  <c r="F107" i="64"/>
  <c r="F106" i="64"/>
  <c r="F105" i="64"/>
  <c r="L102" i="64"/>
  <c r="D193" i="64" s="1"/>
  <c r="L101" i="64"/>
  <c r="L100" i="64"/>
  <c r="F87" i="64"/>
  <c r="P83" i="64"/>
  <c r="Q116" i="64"/>
  <c r="Q114" i="64"/>
  <c r="F99" i="64"/>
  <c r="L98" i="64"/>
  <c r="Q92" i="64"/>
  <c r="L83" i="64"/>
  <c r="D195" i="64" s="1"/>
  <c r="T16" i="64"/>
  <c r="L116" i="64"/>
  <c r="L114" i="64"/>
  <c r="D188" i="64" s="1"/>
  <c r="F95" i="64"/>
  <c r="F94" i="64"/>
  <c r="F93" i="64"/>
  <c r="L92" i="64"/>
  <c r="L91" i="64"/>
  <c r="A30" i="64"/>
  <c r="N83" i="64"/>
  <c r="L106" i="64"/>
  <c r="L108" i="64"/>
  <c r="B61" i="64"/>
  <c r="F88" i="64"/>
  <c r="F115" i="64"/>
  <c r="D210" i="64"/>
  <c r="C210" i="64"/>
  <c r="D203" i="64"/>
  <c r="C203" i="64"/>
  <c r="D209" i="64"/>
  <c r="O61" i="63"/>
  <c r="O68" i="63"/>
  <c r="D196" i="63"/>
  <c r="P47" i="63"/>
  <c r="E47" i="63" s="1"/>
  <c r="Y47" i="63" s="1"/>
  <c r="D89" i="63"/>
  <c r="E89" i="63" s="1"/>
  <c r="F89" i="63" s="1"/>
  <c r="D189" i="63"/>
  <c r="D203" i="63"/>
  <c r="P54" i="63"/>
  <c r="E54" i="63" s="1"/>
  <c r="Y54" i="63" s="1"/>
  <c r="J29" i="63"/>
  <c r="P61" i="63"/>
  <c r="F83" i="63"/>
  <c r="L84" i="63"/>
  <c r="D207" i="63" s="1"/>
  <c r="F98" i="63"/>
  <c r="L108" i="63"/>
  <c r="F116" i="63"/>
  <c r="S10" i="63"/>
  <c r="I83" i="63"/>
  <c r="F86" i="63"/>
  <c r="L93" i="63"/>
  <c r="AF96" i="63"/>
  <c r="B103" i="63"/>
  <c r="D96" i="63"/>
  <c r="E96" i="63" s="1"/>
  <c r="F96" i="63" s="1"/>
  <c r="C156" i="63"/>
  <c r="K83" i="63"/>
  <c r="L86" i="63"/>
  <c r="C96" i="63"/>
  <c r="F101" i="63"/>
  <c r="L106" i="63"/>
  <c r="G127" i="63"/>
  <c r="G128" i="63" s="1"/>
  <c r="H133" i="63"/>
  <c r="B210" i="63"/>
  <c r="C203" i="63"/>
  <c r="A30" i="63"/>
  <c r="N83" i="63"/>
  <c r="L109" i="63"/>
  <c r="Q113" i="63"/>
  <c r="B68" i="63"/>
  <c r="F88" i="63"/>
  <c r="H132" i="63"/>
  <c r="L115" i="63"/>
  <c r="L113" i="63"/>
  <c r="F109" i="63"/>
  <c r="F108" i="63"/>
  <c r="F107" i="63"/>
  <c r="F106" i="63"/>
  <c r="F105" i="63"/>
  <c r="L102" i="63"/>
  <c r="L101" i="63"/>
  <c r="D186" i="63" s="1"/>
  <c r="L100" i="63"/>
  <c r="F87" i="63"/>
  <c r="P83" i="63"/>
  <c r="F115" i="63"/>
  <c r="F113" i="63"/>
  <c r="Q116" i="63"/>
  <c r="Q114" i="63"/>
  <c r="F99" i="63"/>
  <c r="L98" i="63"/>
  <c r="Q92" i="63"/>
  <c r="L83" i="63"/>
  <c r="D200" i="63" s="1"/>
  <c r="T16" i="63"/>
  <c r="L116" i="63"/>
  <c r="L114" i="63"/>
  <c r="F95" i="63"/>
  <c r="F94" i="63"/>
  <c r="F93" i="63"/>
  <c r="L92" i="63"/>
  <c r="D184" i="63" s="1"/>
  <c r="L91" i="63"/>
  <c r="L95" i="63"/>
  <c r="F100" i="63"/>
  <c r="L107" i="63"/>
  <c r="F91" i="63"/>
  <c r="L99" i="63"/>
  <c r="F84" i="63"/>
  <c r="Q85" i="63"/>
  <c r="L87" i="63"/>
  <c r="L94" i="63"/>
  <c r="F102" i="63"/>
  <c r="L105" i="63"/>
  <c r="Q115" i="63"/>
  <c r="C196" i="63"/>
  <c r="Q99" i="62"/>
  <c r="G125" i="62"/>
  <c r="G126" i="62" s="1"/>
  <c r="F84" i="62"/>
  <c r="F95" i="62"/>
  <c r="F102" i="62"/>
  <c r="H119" i="62"/>
  <c r="X30" i="62"/>
  <c r="F77" i="62"/>
  <c r="L80" i="62"/>
  <c r="L92" i="62"/>
  <c r="F99" i="62"/>
  <c r="F81" i="62"/>
  <c r="F93" i="62"/>
  <c r="F100" i="62"/>
  <c r="O54" i="62"/>
  <c r="F76" i="62"/>
  <c r="F94" i="62"/>
  <c r="F101" i="62"/>
  <c r="I76" i="62"/>
  <c r="F79" i="62"/>
  <c r="B182" i="62"/>
  <c r="Q101" i="62"/>
  <c r="N76" i="62"/>
  <c r="L79" i="62"/>
  <c r="O61" i="62"/>
  <c r="P47" i="62"/>
  <c r="D82" i="62"/>
  <c r="E82" i="62" s="1"/>
  <c r="F82" i="62" s="1"/>
  <c r="D168" i="62"/>
  <c r="D182" i="62"/>
  <c r="D175" i="62"/>
  <c r="C54" i="62"/>
  <c r="P54" i="62"/>
  <c r="D54" i="62" s="1"/>
  <c r="AF89" i="62"/>
  <c r="B96" i="62"/>
  <c r="D89" i="62"/>
  <c r="E89" i="62" s="1"/>
  <c r="F89" i="62" s="1"/>
  <c r="S10" i="62"/>
  <c r="A31" i="62"/>
  <c r="C149" i="62"/>
  <c r="X29" i="62"/>
  <c r="J29" i="62"/>
  <c r="C142" i="62"/>
  <c r="G113" i="62"/>
  <c r="G114" i="62" s="1"/>
  <c r="H125" i="62"/>
  <c r="H126" i="62" s="1"/>
  <c r="H151" i="62"/>
  <c r="Q119" i="62"/>
  <c r="D81" i="62"/>
  <c r="E81" i="62" s="1"/>
  <c r="O47" i="62"/>
  <c r="C61" i="62"/>
  <c r="P61" i="62"/>
  <c r="D61" i="62" s="1"/>
  <c r="C182" i="62"/>
  <c r="L84" i="62"/>
  <c r="L85" i="62"/>
  <c r="F86" i="62"/>
  <c r="F87" i="62"/>
  <c r="F88" i="62"/>
  <c r="L100" i="62"/>
  <c r="L102" i="62"/>
  <c r="K76" i="62"/>
  <c r="L77" i="62"/>
  <c r="Q78" i="62"/>
  <c r="L86" i="62"/>
  <c r="L87" i="62"/>
  <c r="L88" i="62"/>
  <c r="F91" i="62"/>
  <c r="T16" i="62"/>
  <c r="L76" i="62"/>
  <c r="Q85" i="62"/>
  <c r="L91" i="62"/>
  <c r="F92" i="62"/>
  <c r="Q100" i="62"/>
  <c r="Q102" i="62"/>
  <c r="P76" i="62"/>
  <c r="F80" i="62"/>
  <c r="L93" i="62"/>
  <c r="L94" i="62"/>
  <c r="L95" i="62"/>
  <c r="L99" i="62"/>
  <c r="L101" i="62"/>
  <c r="D54" i="61"/>
  <c r="E54" i="61"/>
  <c r="Y54" i="61" s="1"/>
  <c r="O68" i="61"/>
  <c r="S10" i="61"/>
  <c r="H132" i="61"/>
  <c r="L115" i="61"/>
  <c r="L113" i="61"/>
  <c r="F109" i="61"/>
  <c r="F108" i="61"/>
  <c r="F107" i="61"/>
  <c r="F106" i="61"/>
  <c r="F105" i="61"/>
  <c r="L102" i="61"/>
  <c r="L101" i="61"/>
  <c r="L100" i="61"/>
  <c r="F87" i="61"/>
  <c r="P83" i="61"/>
  <c r="F115" i="61"/>
  <c r="F113" i="61"/>
  <c r="F102" i="61"/>
  <c r="F101" i="61"/>
  <c r="F100" i="61"/>
  <c r="Q116" i="61"/>
  <c r="Q114" i="61"/>
  <c r="F99" i="61"/>
  <c r="L98" i="61"/>
  <c r="Q92" i="61"/>
  <c r="L83" i="61"/>
  <c r="T16" i="61"/>
  <c r="F98" i="61"/>
  <c r="L95" i="61"/>
  <c r="L94" i="61"/>
  <c r="D207" i="61" s="1"/>
  <c r="L93" i="61"/>
  <c r="Q85" i="61"/>
  <c r="L84" i="61"/>
  <c r="D192" i="61" s="1"/>
  <c r="K83" i="61"/>
  <c r="L116" i="61"/>
  <c r="L114" i="61"/>
  <c r="F95" i="61"/>
  <c r="F94" i="61"/>
  <c r="F93" i="61"/>
  <c r="L92" i="61"/>
  <c r="L91" i="61"/>
  <c r="C61" i="61"/>
  <c r="B68" i="61"/>
  <c r="L86" i="61"/>
  <c r="F88" i="61"/>
  <c r="C156" i="61"/>
  <c r="X30" i="61"/>
  <c r="F83" i="61"/>
  <c r="F91" i="61"/>
  <c r="AF96" i="61"/>
  <c r="B103" i="61"/>
  <c r="D96" i="61"/>
  <c r="E96" i="61" s="1"/>
  <c r="F96" i="61" s="1"/>
  <c r="L106" i="61"/>
  <c r="G127" i="61"/>
  <c r="G128" i="61" s="1"/>
  <c r="H133" i="61"/>
  <c r="I83" i="61"/>
  <c r="L109" i="61"/>
  <c r="Q113" i="61"/>
  <c r="B210" i="61"/>
  <c r="D203" i="61"/>
  <c r="C203" i="61"/>
  <c r="D196" i="61"/>
  <c r="P47" i="61"/>
  <c r="D47" i="61" s="1"/>
  <c r="D89" i="61"/>
  <c r="E89" i="61" s="1"/>
  <c r="F89" i="61" s="1"/>
  <c r="D189" i="61"/>
  <c r="P61" i="61"/>
  <c r="E61" i="61" s="1"/>
  <c r="Y61" i="61" s="1"/>
  <c r="L87" i="61"/>
  <c r="L107" i="61"/>
  <c r="A31" i="61"/>
  <c r="D184" i="61"/>
  <c r="L105" i="61"/>
  <c r="D187" i="61" s="1"/>
  <c r="Q115" i="61"/>
  <c r="C163" i="61"/>
  <c r="F84" i="61"/>
  <c r="F86" i="61"/>
  <c r="L108" i="61"/>
  <c r="F116" i="61"/>
  <c r="D208" i="61"/>
  <c r="C196" i="61"/>
  <c r="O61" i="60"/>
  <c r="U51" i="60"/>
  <c r="U52" i="60" s="1"/>
  <c r="U53" i="60" s="1"/>
  <c r="U54" i="60" s="1"/>
  <c r="U55" i="60" s="1"/>
  <c r="U56" i="60" s="1"/>
  <c r="U57" i="60" s="1"/>
  <c r="U58" i="60" s="1"/>
  <c r="U59" i="60" s="1"/>
  <c r="U60" i="60" s="1"/>
  <c r="U61" i="60" s="1"/>
  <c r="U62" i="60" s="1"/>
  <c r="U63" i="60" s="1"/>
  <c r="U64" i="60" s="1"/>
  <c r="U65" i="60" s="1"/>
  <c r="U66" i="60" s="1"/>
  <c r="U67" i="60" s="1"/>
  <c r="U68" i="60" s="1"/>
  <c r="U69" i="60" s="1"/>
  <c r="D196" i="60"/>
  <c r="B68" i="60"/>
  <c r="F88" i="60"/>
  <c r="P54" i="60"/>
  <c r="D54" i="60" s="1"/>
  <c r="L95" i="60"/>
  <c r="F100" i="60"/>
  <c r="F102" i="60"/>
  <c r="L105" i="60"/>
  <c r="Q115" i="60"/>
  <c r="F18" i="60"/>
  <c r="F91" i="60"/>
  <c r="L99" i="60"/>
  <c r="L108" i="60"/>
  <c r="F116" i="60"/>
  <c r="A31" i="60"/>
  <c r="N83" i="60"/>
  <c r="L107" i="60"/>
  <c r="F84" i="60"/>
  <c r="Q85" i="60"/>
  <c r="L87" i="60"/>
  <c r="L94" i="60"/>
  <c r="X30" i="60"/>
  <c r="J29" i="60"/>
  <c r="F83" i="60"/>
  <c r="L84" i="60"/>
  <c r="D184" i="60" s="1"/>
  <c r="F98" i="60"/>
  <c r="L106" i="60"/>
  <c r="G127" i="60"/>
  <c r="G128" i="60" s="1"/>
  <c r="H139" i="60"/>
  <c r="H172" i="60"/>
  <c r="Q133" i="60"/>
  <c r="I83" i="60"/>
  <c r="F86" i="60"/>
  <c r="L93" i="60"/>
  <c r="AF96" i="60"/>
  <c r="B103" i="60"/>
  <c r="D96" i="60"/>
  <c r="E96" i="60" s="1"/>
  <c r="F96" i="60" s="1"/>
  <c r="F101" i="60"/>
  <c r="L109" i="60"/>
  <c r="H132" i="60"/>
  <c r="L115" i="60"/>
  <c r="L113" i="60"/>
  <c r="F109" i="60"/>
  <c r="F108" i="60"/>
  <c r="F107" i="60"/>
  <c r="F106" i="60"/>
  <c r="F105" i="60"/>
  <c r="L102" i="60"/>
  <c r="L101" i="60"/>
  <c r="L100" i="60"/>
  <c r="F87" i="60"/>
  <c r="P83" i="60"/>
  <c r="F115" i="60"/>
  <c r="F113" i="60"/>
  <c r="Q116" i="60"/>
  <c r="Q114" i="60"/>
  <c r="F99" i="60"/>
  <c r="L98" i="60"/>
  <c r="Q92" i="60"/>
  <c r="L83" i="60"/>
  <c r="T16" i="60"/>
  <c r="L116" i="60"/>
  <c r="L114" i="60"/>
  <c r="F95" i="60"/>
  <c r="F94" i="60"/>
  <c r="F93" i="60"/>
  <c r="L92" i="60"/>
  <c r="L91" i="60"/>
  <c r="P47" i="60"/>
  <c r="E47" i="60" s="1"/>
  <c r="Y47" i="60" s="1"/>
  <c r="D89" i="60"/>
  <c r="E89" i="60" s="1"/>
  <c r="F89" i="60" s="1"/>
  <c r="D189" i="60"/>
  <c r="K83" i="60"/>
  <c r="L86" i="60"/>
  <c r="D209" i="60" s="1"/>
  <c r="F114" i="60"/>
  <c r="B210" i="60"/>
  <c r="C203" i="60"/>
  <c r="D203" i="60"/>
  <c r="D188" i="60"/>
  <c r="D208" i="60"/>
  <c r="C196" i="60"/>
  <c r="O68" i="57"/>
  <c r="O61" i="57"/>
  <c r="AF93" i="65" l="1"/>
  <c r="Q93" i="65"/>
  <c r="D91" i="65"/>
  <c r="E91" i="65" s="1"/>
  <c r="D80" i="65"/>
  <c r="E80" i="65" s="1"/>
  <c r="D165" i="65"/>
  <c r="D171" i="65"/>
  <c r="D81" i="65"/>
  <c r="E81" i="65" s="1"/>
  <c r="D92" i="65"/>
  <c r="E92" i="65" s="1"/>
  <c r="Q175" i="65"/>
  <c r="M175" i="65"/>
  <c r="O175" i="65" s="1"/>
  <c r="D88" i="65"/>
  <c r="E88" i="65" s="1"/>
  <c r="D94" i="65"/>
  <c r="E94" i="65" s="1"/>
  <c r="J30" i="65"/>
  <c r="A31" i="65"/>
  <c r="X30" i="65"/>
  <c r="D173" i="65"/>
  <c r="D95" i="65"/>
  <c r="E95" i="65" s="1"/>
  <c r="D177" i="65"/>
  <c r="D77" i="65"/>
  <c r="E77" i="65" s="1"/>
  <c r="D47" i="65"/>
  <c r="E47" i="65"/>
  <c r="Y47" i="65" s="1"/>
  <c r="D86" i="65"/>
  <c r="E86" i="65" s="1"/>
  <c r="D179" i="65"/>
  <c r="D181" i="65"/>
  <c r="D79" i="65"/>
  <c r="E79" i="65" s="1"/>
  <c r="D167" i="65"/>
  <c r="D178" i="65"/>
  <c r="E61" i="65"/>
  <c r="Y61" i="65" s="1"/>
  <c r="D61" i="65"/>
  <c r="D163" i="65"/>
  <c r="Q182" i="65"/>
  <c r="M182" i="65"/>
  <c r="O182" i="65" s="1"/>
  <c r="D170" i="65"/>
  <c r="D172" i="65"/>
  <c r="H125" i="65"/>
  <c r="D180" i="65"/>
  <c r="Q156" i="65"/>
  <c r="Q157" i="65" s="1"/>
  <c r="Q151" i="65"/>
  <c r="I151" i="65"/>
  <c r="K151" i="65" s="1"/>
  <c r="D164" i="65"/>
  <c r="D84" i="65"/>
  <c r="E84" i="65" s="1"/>
  <c r="D174" i="65"/>
  <c r="E54" i="65"/>
  <c r="Y54" i="65" s="1"/>
  <c r="D54" i="65"/>
  <c r="D166" i="65"/>
  <c r="Q168" i="65"/>
  <c r="M168" i="65"/>
  <c r="O168" i="65" s="1"/>
  <c r="D87" i="65"/>
  <c r="E87" i="65" s="1"/>
  <c r="Q195" i="64"/>
  <c r="M195" i="64"/>
  <c r="O195" i="64" s="1"/>
  <c r="M193" i="64"/>
  <c r="O193" i="64" s="1"/>
  <c r="Q193" i="64"/>
  <c r="Q188" i="64"/>
  <c r="M188" i="64"/>
  <c r="O188" i="64" s="1"/>
  <c r="Q199" i="64"/>
  <c r="M199" i="64"/>
  <c r="O199" i="64" s="1"/>
  <c r="Q203" i="64"/>
  <c r="M203" i="64"/>
  <c r="O203" i="64" s="1"/>
  <c r="C61" i="64"/>
  <c r="B68" i="64"/>
  <c r="P61" i="64"/>
  <c r="E61" i="64" s="1"/>
  <c r="Y61" i="64" s="1"/>
  <c r="D187" i="64"/>
  <c r="D102" i="64"/>
  <c r="E102" i="64" s="1"/>
  <c r="D186" i="64"/>
  <c r="D93" i="64"/>
  <c r="E93" i="64" s="1"/>
  <c r="D200" i="64"/>
  <c r="D100" i="64"/>
  <c r="E100" i="64" s="1"/>
  <c r="D91" i="64"/>
  <c r="E91" i="64" s="1"/>
  <c r="Q209" i="64"/>
  <c r="M209" i="64"/>
  <c r="O209" i="64" s="1"/>
  <c r="D88" i="64"/>
  <c r="E88" i="64" s="1"/>
  <c r="D105" i="64"/>
  <c r="E105" i="64" s="1"/>
  <c r="D206" i="64"/>
  <c r="D107" i="64"/>
  <c r="E107" i="64" s="1"/>
  <c r="D207" i="64"/>
  <c r="D208" i="64"/>
  <c r="D94" i="64"/>
  <c r="E94" i="64" s="1"/>
  <c r="D198" i="64"/>
  <c r="D95" i="64"/>
  <c r="E95" i="64" s="1"/>
  <c r="D99" i="64"/>
  <c r="E99" i="64" s="1"/>
  <c r="D205" i="64"/>
  <c r="Q189" i="64"/>
  <c r="M189" i="64"/>
  <c r="O189" i="64" s="1"/>
  <c r="D84" i="64"/>
  <c r="E84" i="64" s="1"/>
  <c r="D86" i="64"/>
  <c r="E86" i="64" s="1"/>
  <c r="D98" i="64"/>
  <c r="E98" i="64" s="1"/>
  <c r="D184" i="64"/>
  <c r="D47" i="64"/>
  <c r="D185" i="64"/>
  <c r="J30" i="64"/>
  <c r="A31" i="64"/>
  <c r="X30" i="64"/>
  <c r="D106" i="64"/>
  <c r="E106" i="64" s="1"/>
  <c r="D201" i="64"/>
  <c r="D101" i="64"/>
  <c r="E101" i="64" s="1"/>
  <c r="D194" i="64"/>
  <c r="S10" i="64"/>
  <c r="D191" i="64"/>
  <c r="Q202" i="64"/>
  <c r="M202" i="64"/>
  <c r="O202" i="64" s="1"/>
  <c r="D87" i="64"/>
  <c r="E87" i="64" s="1"/>
  <c r="D108" i="64"/>
  <c r="E108" i="64" s="1"/>
  <c r="D192" i="64"/>
  <c r="Q177" i="64"/>
  <c r="Q178" i="64" s="1"/>
  <c r="I172" i="64"/>
  <c r="K172" i="64" s="1"/>
  <c r="Q172" i="64"/>
  <c r="B110" i="64"/>
  <c r="C103" i="64"/>
  <c r="AF103" i="64"/>
  <c r="D103" i="64"/>
  <c r="E103" i="64" s="1"/>
  <c r="F103" i="64" s="1"/>
  <c r="Q210" i="64"/>
  <c r="M210" i="64"/>
  <c r="O210" i="64" s="1"/>
  <c r="D109" i="64"/>
  <c r="E109" i="64" s="1"/>
  <c r="Q196" i="64"/>
  <c r="M196" i="64"/>
  <c r="O196" i="64" s="1"/>
  <c r="Q186" i="63"/>
  <c r="M186" i="63"/>
  <c r="O186" i="63" s="1"/>
  <c r="M200" i="63"/>
  <c r="O200" i="63" s="1"/>
  <c r="Q200" i="63"/>
  <c r="M207" i="63"/>
  <c r="O207" i="63" s="1"/>
  <c r="Q207" i="63"/>
  <c r="Q184" i="63"/>
  <c r="M184" i="63"/>
  <c r="O184" i="63" s="1"/>
  <c r="H139" i="63"/>
  <c r="H172" i="63"/>
  <c r="Q133" i="63"/>
  <c r="D100" i="63"/>
  <c r="E100" i="63" s="1"/>
  <c r="Q196" i="63"/>
  <c r="M196" i="63"/>
  <c r="O196" i="63" s="1"/>
  <c r="D185" i="63"/>
  <c r="D188" i="63"/>
  <c r="D93" i="63"/>
  <c r="E93" i="63" s="1"/>
  <c r="D87" i="63"/>
  <c r="E87" i="63" s="1"/>
  <c r="D108" i="63"/>
  <c r="E108" i="63" s="1"/>
  <c r="D206" i="63"/>
  <c r="D201" i="63"/>
  <c r="D209" i="63"/>
  <c r="D94" i="63"/>
  <c r="E94" i="63" s="1"/>
  <c r="D109" i="63"/>
  <c r="E109" i="63" s="1"/>
  <c r="C68" i="63"/>
  <c r="P68" i="63"/>
  <c r="E68" i="63" s="1"/>
  <c r="Y68" i="63" s="1"/>
  <c r="D187" i="63"/>
  <c r="D103" i="63"/>
  <c r="E103" i="63" s="1"/>
  <c r="F103" i="63" s="1"/>
  <c r="B110" i="63"/>
  <c r="C103" i="63"/>
  <c r="AF103" i="63"/>
  <c r="D208" i="63"/>
  <c r="D91" i="63"/>
  <c r="E91" i="63" s="1"/>
  <c r="D107" i="63"/>
  <c r="E107" i="63" s="1"/>
  <c r="D88" i="63"/>
  <c r="E88" i="63" s="1"/>
  <c r="J30" i="63"/>
  <c r="A31" i="63"/>
  <c r="X30" i="63"/>
  <c r="D101" i="63"/>
  <c r="E101" i="63" s="1"/>
  <c r="D199" i="63"/>
  <c r="D95" i="63"/>
  <c r="E95" i="63" s="1"/>
  <c r="D99" i="63"/>
  <c r="E99" i="63" s="1"/>
  <c r="D191" i="63"/>
  <c r="D210" i="63"/>
  <c r="C210" i="63"/>
  <c r="E61" i="63"/>
  <c r="Y61" i="63" s="1"/>
  <c r="D61" i="63"/>
  <c r="D192" i="63"/>
  <c r="Q203" i="63"/>
  <c r="M203" i="63"/>
  <c r="O203" i="63" s="1"/>
  <c r="D47" i="63"/>
  <c r="D198" i="63"/>
  <c r="D98" i="63"/>
  <c r="E98" i="63" s="1"/>
  <c r="Q189" i="63"/>
  <c r="M189" i="63"/>
  <c r="O189" i="63" s="1"/>
  <c r="D205" i="63"/>
  <c r="D54" i="63"/>
  <c r="D84" i="63"/>
  <c r="E84" i="63" s="1"/>
  <c r="D105" i="63"/>
  <c r="E105" i="63" s="1"/>
  <c r="D102" i="63"/>
  <c r="E102" i="63" s="1"/>
  <c r="D202" i="63"/>
  <c r="D194" i="63"/>
  <c r="D195" i="63"/>
  <c r="D106" i="63"/>
  <c r="E106" i="63" s="1"/>
  <c r="D193" i="63"/>
  <c r="D86" i="63"/>
  <c r="E86" i="63" s="1"/>
  <c r="D84" i="62"/>
  <c r="E84" i="62" s="1"/>
  <c r="AF84" i="62" s="1"/>
  <c r="D77" i="62"/>
  <c r="E77" i="62" s="1"/>
  <c r="AF77" i="62" s="1"/>
  <c r="D164" i="62"/>
  <c r="M164" i="62" s="1"/>
  <c r="O164" i="62" s="1"/>
  <c r="AF81" i="62"/>
  <c r="Q81" i="62"/>
  <c r="D87" i="62"/>
  <c r="E87" i="62" s="1"/>
  <c r="D167" i="62"/>
  <c r="D95" i="62"/>
  <c r="E95" i="62" s="1"/>
  <c r="E54" i="62"/>
  <c r="Y54" i="62" s="1"/>
  <c r="D180" i="62"/>
  <c r="D91" i="62"/>
  <c r="E91" i="62" s="1"/>
  <c r="E47" i="62"/>
  <c r="Y47" i="62" s="1"/>
  <c r="D47" i="62"/>
  <c r="D181" i="62"/>
  <c r="D174" i="62"/>
  <c r="D179" i="62"/>
  <c r="D166" i="62"/>
  <c r="Q175" i="62"/>
  <c r="M175" i="62"/>
  <c r="O175" i="62" s="1"/>
  <c r="D93" i="62"/>
  <c r="E93" i="62" s="1"/>
  <c r="D88" i="62"/>
  <c r="E88" i="62" s="1"/>
  <c r="D94" i="62"/>
  <c r="E94" i="62" s="1"/>
  <c r="J31" i="62"/>
  <c r="A32" i="62"/>
  <c r="X31" i="62"/>
  <c r="D171" i="62"/>
  <c r="Q182" i="62"/>
  <c r="M182" i="62"/>
  <c r="O182" i="62" s="1"/>
  <c r="Q168" i="62"/>
  <c r="M168" i="62"/>
  <c r="O168" i="62" s="1"/>
  <c r="D173" i="62"/>
  <c r="D163" i="62"/>
  <c r="D177" i="62"/>
  <c r="D80" i="62"/>
  <c r="E80" i="62" s="1"/>
  <c r="D86" i="62"/>
  <c r="E86" i="62" s="1"/>
  <c r="D79" i="62"/>
  <c r="E79" i="62" s="1"/>
  <c r="D165" i="62"/>
  <c r="D96" i="62"/>
  <c r="E96" i="62" s="1"/>
  <c r="F96" i="62" s="1"/>
  <c r="C96" i="62"/>
  <c r="AF96" i="62"/>
  <c r="Q151" i="62"/>
  <c r="Q156" i="62"/>
  <c r="Q157" i="62" s="1"/>
  <c r="I151" i="62"/>
  <c r="K151" i="62" s="1"/>
  <c r="D172" i="62"/>
  <c r="D170" i="62"/>
  <c r="E61" i="62"/>
  <c r="Y61" i="62" s="1"/>
  <c r="D92" i="62"/>
  <c r="E92" i="62" s="1"/>
  <c r="D178" i="62"/>
  <c r="M207" i="61"/>
  <c r="O207" i="61" s="1"/>
  <c r="Q207" i="61"/>
  <c r="Q187" i="61"/>
  <c r="M187" i="61"/>
  <c r="O187" i="61" s="1"/>
  <c r="Q192" i="61"/>
  <c r="M192" i="61"/>
  <c r="O192" i="61" s="1"/>
  <c r="Q203" i="61"/>
  <c r="M203" i="61"/>
  <c r="O203" i="61" s="1"/>
  <c r="D91" i="61"/>
  <c r="E91" i="61" s="1"/>
  <c r="D98" i="61"/>
  <c r="E98" i="61" s="1"/>
  <c r="D109" i="61"/>
  <c r="E109" i="61" s="1"/>
  <c r="E47" i="61"/>
  <c r="Y47" i="61" s="1"/>
  <c r="Q184" i="61"/>
  <c r="M184" i="61"/>
  <c r="O184" i="61" s="1"/>
  <c r="D200" i="61"/>
  <c r="D188" i="61"/>
  <c r="D202" i="61"/>
  <c r="D198" i="61"/>
  <c r="D210" i="61"/>
  <c r="C210" i="61"/>
  <c r="H139" i="61"/>
  <c r="H172" i="61"/>
  <c r="Q133" i="61"/>
  <c r="C68" i="61"/>
  <c r="P68" i="61"/>
  <c r="E68" i="61" s="1"/>
  <c r="Y68" i="61" s="1"/>
  <c r="D100" i="61"/>
  <c r="E100" i="61" s="1"/>
  <c r="D209" i="61"/>
  <c r="J31" i="61"/>
  <c r="A32" i="61"/>
  <c r="X31" i="61"/>
  <c r="D205" i="61"/>
  <c r="Q189" i="61"/>
  <c r="M189" i="61"/>
  <c r="O189" i="61" s="1"/>
  <c r="D101" i="61"/>
  <c r="E101" i="61" s="1"/>
  <c r="Q208" i="61"/>
  <c r="M208" i="61"/>
  <c r="O208" i="61" s="1"/>
  <c r="D102" i="61"/>
  <c r="E102" i="61" s="1"/>
  <c r="D195" i="61"/>
  <c r="D206" i="61"/>
  <c r="D201" i="61"/>
  <c r="D185" i="61"/>
  <c r="D105" i="61"/>
  <c r="E105" i="61" s="1"/>
  <c r="D93" i="61"/>
  <c r="E93" i="61" s="1"/>
  <c r="D106" i="61"/>
  <c r="E106" i="61" s="1"/>
  <c r="D199" i="61"/>
  <c r="D193" i="61"/>
  <c r="D194" i="61"/>
  <c r="D191" i="61"/>
  <c r="D103" i="61"/>
  <c r="E103" i="61" s="1"/>
  <c r="F103" i="61" s="1"/>
  <c r="B110" i="61"/>
  <c r="C103" i="61"/>
  <c r="AF103" i="61"/>
  <c r="D94" i="61"/>
  <c r="E94" i="61" s="1"/>
  <c r="D99" i="61"/>
  <c r="E99" i="61" s="1"/>
  <c r="D107" i="61"/>
  <c r="E107" i="61" s="1"/>
  <c r="D61" i="61"/>
  <c r="D186" i="61"/>
  <c r="Q196" i="61"/>
  <c r="M196" i="61"/>
  <c r="O196" i="61" s="1"/>
  <c r="D86" i="61"/>
  <c r="E86" i="61" s="1"/>
  <c r="D84" i="61"/>
  <c r="E84" i="61" s="1"/>
  <c r="D88" i="61"/>
  <c r="E88" i="61" s="1"/>
  <c r="D95" i="61"/>
  <c r="E95" i="61" s="1"/>
  <c r="D87" i="61"/>
  <c r="E87" i="61" s="1"/>
  <c r="D108" i="61"/>
  <c r="E108" i="61" s="1"/>
  <c r="Q184" i="60"/>
  <c r="M184" i="60"/>
  <c r="O184" i="60" s="1"/>
  <c r="Q209" i="60"/>
  <c r="M209" i="60"/>
  <c r="O209" i="60" s="1"/>
  <c r="D195" i="60"/>
  <c r="D84" i="60"/>
  <c r="E84" i="60" s="1"/>
  <c r="D88" i="60"/>
  <c r="E88" i="60" s="1"/>
  <c r="D205" i="60"/>
  <c r="D210" i="60"/>
  <c r="C210" i="60"/>
  <c r="D186" i="60"/>
  <c r="D105" i="60"/>
  <c r="E105" i="60" s="1"/>
  <c r="D199" i="60"/>
  <c r="D102" i="60"/>
  <c r="E102" i="60" s="1"/>
  <c r="D47" i="60"/>
  <c r="Q188" i="60"/>
  <c r="M188" i="60"/>
  <c r="O188" i="60" s="1"/>
  <c r="D185" i="60"/>
  <c r="D201" i="60"/>
  <c r="D207" i="60"/>
  <c r="D193" i="60"/>
  <c r="D106" i="60"/>
  <c r="E106" i="60" s="1"/>
  <c r="D86" i="60"/>
  <c r="E86" i="60" s="1"/>
  <c r="D100" i="60"/>
  <c r="E100" i="60" s="1"/>
  <c r="C68" i="60"/>
  <c r="P68" i="60"/>
  <c r="D192" i="60"/>
  <c r="D107" i="60"/>
  <c r="E107" i="60" s="1"/>
  <c r="D101" i="60"/>
  <c r="E101" i="60" s="1"/>
  <c r="D98" i="60"/>
  <c r="E98" i="60" s="1"/>
  <c r="D91" i="60"/>
  <c r="E91" i="60" s="1"/>
  <c r="Q196" i="60"/>
  <c r="M196" i="60"/>
  <c r="O196" i="60" s="1"/>
  <c r="D202" i="60"/>
  <c r="E54" i="60"/>
  <c r="Y54" i="60" s="1"/>
  <c r="D187" i="60"/>
  <c r="D93" i="60"/>
  <c r="E93" i="60" s="1"/>
  <c r="D87" i="60"/>
  <c r="E87" i="60" s="1"/>
  <c r="D108" i="60"/>
  <c r="E108" i="60" s="1"/>
  <c r="D200" i="60"/>
  <c r="D94" i="60"/>
  <c r="E94" i="60" s="1"/>
  <c r="D109" i="60"/>
  <c r="E109" i="60" s="1"/>
  <c r="D103" i="60"/>
  <c r="E103" i="60" s="1"/>
  <c r="F103" i="60" s="1"/>
  <c r="B110" i="60"/>
  <c r="C103" i="60"/>
  <c r="AF103" i="60"/>
  <c r="Q172" i="60"/>
  <c r="Q177" i="60"/>
  <c r="Q178" i="60" s="1"/>
  <c r="I172" i="60"/>
  <c r="K172" i="60" s="1"/>
  <c r="D191" i="60"/>
  <c r="Q203" i="60"/>
  <c r="M203" i="60"/>
  <c r="O203" i="60" s="1"/>
  <c r="D198" i="60"/>
  <c r="D95" i="60"/>
  <c r="E95" i="60" s="1"/>
  <c r="D99" i="60"/>
  <c r="E99" i="60" s="1"/>
  <c r="H140" i="60"/>
  <c r="J31" i="60"/>
  <c r="A32" i="60"/>
  <c r="X31" i="60"/>
  <c r="D194" i="60"/>
  <c r="Q208" i="60"/>
  <c r="M208" i="60"/>
  <c r="O208" i="60" s="1"/>
  <c r="Q189" i="60"/>
  <c r="M189" i="60"/>
  <c r="O189" i="60" s="1"/>
  <c r="D206" i="60"/>
  <c r="S10" i="60"/>
  <c r="E61" i="60"/>
  <c r="Y61" i="60" s="1"/>
  <c r="D61" i="60"/>
  <c r="E34" i="65" l="1"/>
  <c r="F34" i="65" s="1"/>
  <c r="AF84" i="65"/>
  <c r="Q84" i="65"/>
  <c r="Q181" i="65"/>
  <c r="M181" i="65"/>
  <c r="O181" i="65" s="1"/>
  <c r="Q173" i="65"/>
  <c r="M173" i="65"/>
  <c r="O173" i="65" s="1"/>
  <c r="AF92" i="65"/>
  <c r="Q92" i="65"/>
  <c r="H126" i="65"/>
  <c r="M113" i="65"/>
  <c r="J113" i="65" s="1"/>
  <c r="Q164" i="65"/>
  <c r="M164" i="65"/>
  <c r="O164" i="65" s="1"/>
  <c r="M179" i="65"/>
  <c r="O179" i="65" s="1"/>
  <c r="Q179" i="65"/>
  <c r="AF81" i="65"/>
  <c r="Q81" i="65"/>
  <c r="Q178" i="65"/>
  <c r="M178" i="65"/>
  <c r="O178" i="65" s="1"/>
  <c r="Q163" i="65"/>
  <c r="M163" i="65"/>
  <c r="O163" i="65" s="1"/>
  <c r="AF86" i="65"/>
  <c r="Q86" i="65"/>
  <c r="A32" i="65"/>
  <c r="X31" i="65"/>
  <c r="J31" i="65"/>
  <c r="Q171" i="65"/>
  <c r="M171" i="65"/>
  <c r="O171" i="65" s="1"/>
  <c r="AF87" i="65"/>
  <c r="Q87" i="65"/>
  <c r="Q166" i="65"/>
  <c r="M166" i="65"/>
  <c r="O166" i="65" s="1"/>
  <c r="E31" i="65"/>
  <c r="F31" i="65" s="1"/>
  <c r="E29" i="65"/>
  <c r="F29" i="65" s="1"/>
  <c r="E28" i="65"/>
  <c r="F28" i="65" s="1"/>
  <c r="Q165" i="65"/>
  <c r="M165" i="65"/>
  <c r="O165" i="65" s="1"/>
  <c r="Q174" i="65"/>
  <c r="M174" i="65"/>
  <c r="O174" i="65" s="1"/>
  <c r="Q180" i="65"/>
  <c r="M180" i="65"/>
  <c r="O180" i="65" s="1"/>
  <c r="AF94" i="65"/>
  <c r="Q94" i="65"/>
  <c r="AF80" i="65"/>
  <c r="Q80" i="65"/>
  <c r="AF77" i="65"/>
  <c r="Q77" i="65"/>
  <c r="AF88" i="65"/>
  <c r="Q88" i="65"/>
  <c r="AF91" i="65"/>
  <c r="Q91" i="65"/>
  <c r="M172" i="65"/>
  <c r="O172" i="65" s="1"/>
  <c r="Q172" i="65"/>
  <c r="Q167" i="65"/>
  <c r="M167" i="65"/>
  <c r="O167" i="65" s="1"/>
  <c r="Q177" i="65"/>
  <c r="M177" i="65"/>
  <c r="O177" i="65" s="1"/>
  <c r="Q170" i="65"/>
  <c r="M170" i="65"/>
  <c r="O170" i="65" s="1"/>
  <c r="AF79" i="65"/>
  <c r="Q79" i="65"/>
  <c r="AF95" i="65"/>
  <c r="Q95" i="65"/>
  <c r="D61" i="64"/>
  <c r="AF108" i="64"/>
  <c r="Q108" i="64"/>
  <c r="AF106" i="64"/>
  <c r="Q106" i="64"/>
  <c r="AF88" i="64"/>
  <c r="Q88" i="64"/>
  <c r="AF102" i="64"/>
  <c r="Q102" i="64"/>
  <c r="AF98" i="64"/>
  <c r="Q98" i="64"/>
  <c r="AF87" i="64"/>
  <c r="Q87" i="64"/>
  <c r="AF86" i="64"/>
  <c r="Q86" i="64"/>
  <c r="AF94" i="64"/>
  <c r="Q94" i="64"/>
  <c r="AF105" i="64"/>
  <c r="Q105" i="64"/>
  <c r="AF84" i="64"/>
  <c r="Q84" i="64"/>
  <c r="AF91" i="64"/>
  <c r="Q91" i="64"/>
  <c r="AF101" i="64"/>
  <c r="Q101" i="64"/>
  <c r="AF100" i="64"/>
  <c r="Q100" i="64"/>
  <c r="AF99" i="64"/>
  <c r="Q99" i="64"/>
  <c r="AF95" i="64"/>
  <c r="Q95" i="64"/>
  <c r="AF109" i="64"/>
  <c r="Q109" i="64"/>
  <c r="AF107" i="64"/>
  <c r="Q107" i="64"/>
  <c r="AF93" i="64"/>
  <c r="Q93" i="64"/>
  <c r="Q205" i="64"/>
  <c r="M205" i="64"/>
  <c r="O205" i="64" s="1"/>
  <c r="M200" i="64"/>
  <c r="O200" i="64" s="1"/>
  <c r="Q200" i="64"/>
  <c r="C68" i="64"/>
  <c r="P68" i="64"/>
  <c r="Q191" i="64"/>
  <c r="M191" i="64"/>
  <c r="O191" i="64" s="1"/>
  <c r="Q192" i="64"/>
  <c r="M192" i="64"/>
  <c r="O192" i="64" s="1"/>
  <c r="J31" i="64"/>
  <c r="A32" i="64"/>
  <c r="X31" i="64"/>
  <c r="Q208" i="64"/>
  <c r="M208" i="64"/>
  <c r="O208" i="64" s="1"/>
  <c r="M207" i="64"/>
  <c r="O207" i="64" s="1"/>
  <c r="Q207" i="64"/>
  <c r="Q194" i="64"/>
  <c r="M194" i="64"/>
  <c r="O194" i="64" s="1"/>
  <c r="Q186" i="64"/>
  <c r="M186" i="64"/>
  <c r="O186" i="64" s="1"/>
  <c r="Q185" i="64"/>
  <c r="M185" i="64"/>
  <c r="O185" i="64" s="1"/>
  <c r="Q206" i="64"/>
  <c r="M206" i="64"/>
  <c r="O206" i="64" s="1"/>
  <c r="D110" i="64"/>
  <c r="E110" i="64" s="1"/>
  <c r="F110" i="64" s="1"/>
  <c r="M127" i="64" s="1"/>
  <c r="J127" i="64" s="1"/>
  <c r="AF110" i="64"/>
  <c r="C110" i="64"/>
  <c r="Q201" i="64"/>
  <c r="M201" i="64"/>
  <c r="O201" i="64" s="1"/>
  <c r="Q198" i="64"/>
  <c r="M198" i="64"/>
  <c r="O198" i="64" s="1"/>
  <c r="Q187" i="64"/>
  <c r="M187" i="64"/>
  <c r="O187" i="64" s="1"/>
  <c r="Q184" i="64"/>
  <c r="M184" i="64"/>
  <c r="O184" i="64" s="1"/>
  <c r="E28" i="63"/>
  <c r="F28" i="63" s="1"/>
  <c r="AF109" i="63"/>
  <c r="Q109" i="63"/>
  <c r="AF95" i="63"/>
  <c r="Q95" i="63"/>
  <c r="AF107" i="63"/>
  <c r="Q107" i="63"/>
  <c r="AF91" i="63"/>
  <c r="Q91" i="63"/>
  <c r="AF93" i="63"/>
  <c r="Q93" i="63"/>
  <c r="AF98" i="63"/>
  <c r="Q98" i="63"/>
  <c r="AF94" i="63"/>
  <c r="Q94" i="63"/>
  <c r="AF87" i="63"/>
  <c r="Q87" i="63"/>
  <c r="AF102" i="63"/>
  <c r="Q102" i="63"/>
  <c r="AF86" i="63"/>
  <c r="Q86" i="63"/>
  <c r="AF100" i="63"/>
  <c r="Q100" i="63"/>
  <c r="AF105" i="63"/>
  <c r="Q105" i="63"/>
  <c r="AF84" i="63"/>
  <c r="Q84" i="63"/>
  <c r="AF88" i="63"/>
  <c r="Q88" i="63"/>
  <c r="AF108" i="63"/>
  <c r="Q108" i="63"/>
  <c r="M193" i="63"/>
  <c r="O193" i="63" s="1"/>
  <c r="Q193" i="63"/>
  <c r="E34" i="63"/>
  <c r="F34" i="63" s="1"/>
  <c r="Q199" i="63"/>
  <c r="M199" i="63"/>
  <c r="O199" i="63" s="1"/>
  <c r="D110" i="63"/>
  <c r="E110" i="63" s="1"/>
  <c r="F110" i="63" s="1"/>
  <c r="M127" i="63" s="1"/>
  <c r="J127" i="63" s="1"/>
  <c r="C110" i="63"/>
  <c r="AF110" i="63"/>
  <c r="E31" i="63"/>
  <c r="F31" i="63" s="1"/>
  <c r="AF106" i="63"/>
  <c r="Q106" i="63"/>
  <c r="Q209" i="63"/>
  <c r="M209" i="63"/>
  <c r="O209" i="63" s="1"/>
  <c r="Q172" i="63"/>
  <c r="Q177" i="63"/>
  <c r="Q178" i="63" s="1"/>
  <c r="I172" i="63"/>
  <c r="K172" i="63" s="1"/>
  <c r="Q198" i="63"/>
  <c r="M198" i="63"/>
  <c r="O198" i="63" s="1"/>
  <c r="Q191" i="63"/>
  <c r="M191" i="63"/>
  <c r="O191" i="63" s="1"/>
  <c r="Q187" i="63"/>
  <c r="M187" i="63"/>
  <c r="O187" i="63" s="1"/>
  <c r="Q201" i="63"/>
  <c r="M201" i="63"/>
  <c r="O201" i="63" s="1"/>
  <c r="Q188" i="63"/>
  <c r="M188" i="63"/>
  <c r="O188" i="63" s="1"/>
  <c r="H140" i="63"/>
  <c r="Q208" i="63"/>
  <c r="M208" i="63"/>
  <c r="O208" i="63" s="1"/>
  <c r="Q206" i="63"/>
  <c r="M206" i="63"/>
  <c r="O206" i="63" s="1"/>
  <c r="M185" i="63"/>
  <c r="O185" i="63" s="1"/>
  <c r="Q185" i="63"/>
  <c r="Q195" i="63"/>
  <c r="M195" i="63"/>
  <c r="O195" i="63" s="1"/>
  <c r="Q202" i="63"/>
  <c r="M202" i="63"/>
  <c r="O202" i="63" s="1"/>
  <c r="Q205" i="63"/>
  <c r="M205" i="63"/>
  <c r="O205" i="63" s="1"/>
  <c r="D68" i="63"/>
  <c r="Q194" i="63"/>
  <c r="M194" i="63"/>
  <c r="O194" i="63" s="1"/>
  <c r="AF99" i="63"/>
  <c r="Q99" i="63"/>
  <c r="J31" i="63"/>
  <c r="A32" i="63"/>
  <c r="X31" i="63"/>
  <c r="E29" i="63"/>
  <c r="F29" i="63" s="1"/>
  <c r="Q210" i="63"/>
  <c r="M210" i="63"/>
  <c r="O210" i="63" s="1"/>
  <c r="AF101" i="63"/>
  <c r="Q101" i="63"/>
  <c r="Q192" i="63"/>
  <c r="M192" i="63"/>
  <c r="O192" i="63" s="1"/>
  <c r="Q84" i="62"/>
  <c r="Q77" i="62"/>
  <c r="Q164" i="62"/>
  <c r="AF86" i="62"/>
  <c r="Q86" i="62"/>
  <c r="AF87" i="62"/>
  <c r="Q87" i="62"/>
  <c r="Q88" i="62"/>
  <c r="AF88" i="62"/>
  <c r="AF92" i="62"/>
  <c r="Q92" i="62"/>
  <c r="Q177" i="62"/>
  <c r="M177" i="62"/>
  <c r="O177" i="62" s="1"/>
  <c r="AF91" i="62"/>
  <c r="Q91" i="62"/>
  <c r="Q79" i="62"/>
  <c r="AF79" i="62"/>
  <c r="Q163" i="62"/>
  <c r="M163" i="62"/>
  <c r="O163" i="62" s="1"/>
  <c r="A33" i="62"/>
  <c r="X32" i="62"/>
  <c r="J32" i="62"/>
  <c r="Q166" i="62"/>
  <c r="M166" i="62"/>
  <c r="O166" i="62" s="1"/>
  <c r="Q180" i="62"/>
  <c r="M180" i="62"/>
  <c r="O180" i="62" s="1"/>
  <c r="Q170" i="62"/>
  <c r="M170" i="62"/>
  <c r="O170" i="62" s="1"/>
  <c r="Q173" i="62"/>
  <c r="M173" i="62"/>
  <c r="O173" i="62" s="1"/>
  <c r="M179" i="62"/>
  <c r="O179" i="62" s="1"/>
  <c r="Q179" i="62"/>
  <c r="AF94" i="62"/>
  <c r="Q94" i="62"/>
  <c r="Q174" i="62"/>
  <c r="M174" i="62"/>
  <c r="O174" i="62" s="1"/>
  <c r="Q165" i="62"/>
  <c r="M165" i="62"/>
  <c r="O165" i="62" s="1"/>
  <c r="AF80" i="62"/>
  <c r="Q80" i="62"/>
  <c r="Q181" i="62"/>
  <c r="M181" i="62"/>
  <c r="O181" i="62" s="1"/>
  <c r="M172" i="62"/>
  <c r="O172" i="62" s="1"/>
  <c r="Q172" i="62"/>
  <c r="Q178" i="62"/>
  <c r="M178" i="62"/>
  <c r="O178" i="62" s="1"/>
  <c r="M113" i="62"/>
  <c r="J113" i="62" s="1"/>
  <c r="AF95" i="62"/>
  <c r="Q95" i="62"/>
  <c r="AF93" i="62"/>
  <c r="Q93" i="62"/>
  <c r="E34" i="62"/>
  <c r="F34" i="62" s="1"/>
  <c r="E28" i="62"/>
  <c r="F28" i="62" s="1"/>
  <c r="Q171" i="62"/>
  <c r="M171" i="62"/>
  <c r="O171" i="62" s="1"/>
  <c r="Q167" i="62"/>
  <c r="M167" i="62"/>
  <c r="O167" i="62" s="1"/>
  <c r="AF108" i="61"/>
  <c r="Q108" i="61"/>
  <c r="AF93" i="61"/>
  <c r="Q93" i="61"/>
  <c r="AF88" i="61"/>
  <c r="Q88" i="61"/>
  <c r="AF105" i="61"/>
  <c r="Q105" i="61"/>
  <c r="AF95" i="61"/>
  <c r="Q95" i="61"/>
  <c r="AF109" i="61"/>
  <c r="Q109" i="61"/>
  <c r="AF99" i="61"/>
  <c r="Q99" i="61"/>
  <c r="AF100" i="61"/>
  <c r="Q100" i="61"/>
  <c r="AF98" i="61"/>
  <c r="Q98" i="61"/>
  <c r="AF86" i="61"/>
  <c r="Q86" i="61"/>
  <c r="AF91" i="61"/>
  <c r="Q91" i="61"/>
  <c r="Q186" i="61"/>
  <c r="M186" i="61"/>
  <c r="O186" i="61" s="1"/>
  <c r="Q206" i="61"/>
  <c r="M206" i="61"/>
  <c r="O206" i="61" s="1"/>
  <c r="Q209" i="61"/>
  <c r="M209" i="61"/>
  <c r="O209" i="61" s="1"/>
  <c r="E31" i="61"/>
  <c r="F31" i="61" s="1"/>
  <c r="E29" i="61"/>
  <c r="F29" i="61" s="1"/>
  <c r="E28" i="61"/>
  <c r="F28" i="61" s="1"/>
  <c r="E34" i="61"/>
  <c r="F34" i="61" s="1"/>
  <c r="Q210" i="61"/>
  <c r="M210" i="61"/>
  <c r="O210" i="61" s="1"/>
  <c r="D110" i="61"/>
  <c r="E110" i="61" s="1"/>
  <c r="F110" i="61" s="1"/>
  <c r="M127" i="61" s="1"/>
  <c r="J127" i="61" s="1"/>
  <c r="C110" i="61"/>
  <c r="AF110" i="61"/>
  <c r="Q198" i="61"/>
  <c r="M198" i="61"/>
  <c r="O198" i="61" s="1"/>
  <c r="AF102" i="61"/>
  <c r="Q102" i="61"/>
  <c r="Q202" i="61"/>
  <c r="M202" i="61"/>
  <c r="O202" i="61" s="1"/>
  <c r="AF87" i="61"/>
  <c r="Q87" i="61"/>
  <c r="Q191" i="61"/>
  <c r="M191" i="61"/>
  <c r="O191" i="61" s="1"/>
  <c r="Q205" i="61"/>
  <c r="M205" i="61"/>
  <c r="O205" i="61" s="1"/>
  <c r="Q188" i="61"/>
  <c r="M188" i="61"/>
  <c r="O188" i="61" s="1"/>
  <c r="AF106" i="61"/>
  <c r="Q106" i="61"/>
  <c r="Q194" i="61"/>
  <c r="M194" i="61"/>
  <c r="O194" i="61" s="1"/>
  <c r="M200" i="61"/>
  <c r="O200" i="61" s="1"/>
  <c r="Q200" i="61"/>
  <c r="M193" i="61"/>
  <c r="O193" i="61" s="1"/>
  <c r="Q193" i="61"/>
  <c r="M185" i="61"/>
  <c r="O185" i="61" s="1"/>
  <c r="Q185" i="61"/>
  <c r="D68" i="61"/>
  <c r="A33" i="61"/>
  <c r="X32" i="61"/>
  <c r="J32" i="61"/>
  <c r="Q172" i="61"/>
  <c r="Q177" i="61"/>
  <c r="Q178" i="61" s="1"/>
  <c r="I172" i="61"/>
  <c r="K172" i="61" s="1"/>
  <c r="Q195" i="61"/>
  <c r="M195" i="61"/>
  <c r="O195" i="61" s="1"/>
  <c r="AF101" i="61"/>
  <c r="Q101" i="61"/>
  <c r="AF84" i="61"/>
  <c r="Q84" i="61"/>
  <c r="AF107" i="61"/>
  <c r="Q107" i="61"/>
  <c r="AF94" i="61"/>
  <c r="Q94" i="61"/>
  <c r="Q199" i="61"/>
  <c r="M199" i="61"/>
  <c r="O199" i="61" s="1"/>
  <c r="Q201" i="61"/>
  <c r="M201" i="61"/>
  <c r="O201" i="61" s="1"/>
  <c r="H140" i="61"/>
  <c r="AF98" i="60"/>
  <c r="Q98" i="60"/>
  <c r="AF93" i="60"/>
  <c r="Q93" i="60"/>
  <c r="AF86" i="60"/>
  <c r="Q86" i="60"/>
  <c r="AF88" i="60"/>
  <c r="Q88" i="60"/>
  <c r="AF108" i="60"/>
  <c r="Q108" i="60"/>
  <c r="AF84" i="60"/>
  <c r="Q84" i="60"/>
  <c r="AF109" i="60"/>
  <c r="Q109" i="60"/>
  <c r="AF105" i="60"/>
  <c r="Q105" i="60"/>
  <c r="AF91" i="60"/>
  <c r="Q91" i="60"/>
  <c r="AF87" i="60"/>
  <c r="Q87" i="60"/>
  <c r="AF100" i="60"/>
  <c r="Q100" i="60"/>
  <c r="AF106" i="60"/>
  <c r="Q106" i="60"/>
  <c r="AF102" i="60"/>
  <c r="Q102" i="60"/>
  <c r="AF94" i="60"/>
  <c r="Q94" i="60"/>
  <c r="AF99" i="60"/>
  <c r="Q99" i="60"/>
  <c r="AF107" i="60"/>
  <c r="Q107" i="60"/>
  <c r="Q210" i="60"/>
  <c r="M210" i="60"/>
  <c r="O210" i="60" s="1"/>
  <c r="Q192" i="60"/>
  <c r="M192" i="60"/>
  <c r="O192" i="60" s="1"/>
  <c r="Q205" i="60"/>
  <c r="M205" i="60"/>
  <c r="O205" i="60" s="1"/>
  <c r="E68" i="60"/>
  <c r="Y68" i="60" s="1"/>
  <c r="E29" i="60" s="1"/>
  <c r="F29" i="60" s="1"/>
  <c r="D68" i="60"/>
  <c r="M193" i="60"/>
  <c r="O193" i="60" s="1"/>
  <c r="Q193" i="60"/>
  <c r="M207" i="60"/>
  <c r="O207" i="60" s="1"/>
  <c r="Q207" i="60"/>
  <c r="Q199" i="60"/>
  <c r="M199" i="60"/>
  <c r="O199" i="60" s="1"/>
  <c r="Q194" i="60"/>
  <c r="M194" i="60"/>
  <c r="O194" i="60" s="1"/>
  <c r="AF95" i="60"/>
  <c r="Q95" i="60"/>
  <c r="Q201" i="60"/>
  <c r="M201" i="60"/>
  <c r="O201" i="60" s="1"/>
  <c r="Q187" i="60"/>
  <c r="M187" i="60"/>
  <c r="O187" i="60" s="1"/>
  <c r="M200" i="60"/>
  <c r="O200" i="60" s="1"/>
  <c r="Q200" i="60"/>
  <c r="M185" i="60"/>
  <c r="O185" i="60" s="1"/>
  <c r="Q185" i="60"/>
  <c r="Q198" i="60"/>
  <c r="M198" i="60"/>
  <c r="O198" i="60" s="1"/>
  <c r="Q202" i="60"/>
  <c r="M202" i="60"/>
  <c r="O202" i="60" s="1"/>
  <c r="AF101" i="60"/>
  <c r="Q101" i="60"/>
  <c r="Q186" i="60"/>
  <c r="M186" i="60"/>
  <c r="O186" i="60" s="1"/>
  <c r="Q195" i="60"/>
  <c r="M195" i="60"/>
  <c r="O195" i="60" s="1"/>
  <c r="Q191" i="60"/>
  <c r="M191" i="60"/>
  <c r="O191" i="60" s="1"/>
  <c r="A33" i="60"/>
  <c r="X32" i="60"/>
  <c r="J32" i="60"/>
  <c r="Q206" i="60"/>
  <c r="M206" i="60"/>
  <c r="O206" i="60" s="1"/>
  <c r="D110" i="60"/>
  <c r="E110" i="60" s="1"/>
  <c r="F110" i="60" s="1"/>
  <c r="M127" i="60" s="1"/>
  <c r="J127" i="60" s="1"/>
  <c r="C110" i="60"/>
  <c r="AF110" i="60"/>
  <c r="F36" i="65" l="1"/>
  <c r="F19" i="65" s="1"/>
  <c r="F20" i="65" s="1"/>
  <c r="X32" i="65"/>
  <c r="J32" i="65"/>
  <c r="A33" i="65"/>
  <c r="E68" i="64"/>
  <c r="Y68" i="64" s="1"/>
  <c r="D68" i="64"/>
  <c r="A33" i="64"/>
  <c r="J32" i="64"/>
  <c r="X32" i="64"/>
  <c r="A33" i="63"/>
  <c r="X32" i="63"/>
  <c r="J32" i="63"/>
  <c r="F36" i="63"/>
  <c r="F19" i="63" s="1"/>
  <c r="E29" i="62"/>
  <c r="F29" i="62" s="1"/>
  <c r="E31" i="62"/>
  <c r="F31" i="62" s="1"/>
  <c r="X33" i="62"/>
  <c r="J33" i="62"/>
  <c r="A34" i="62"/>
  <c r="F36" i="61"/>
  <c r="F19" i="61" s="1"/>
  <c r="X33" i="61"/>
  <c r="J33" i="61"/>
  <c r="A34" i="61"/>
  <c r="E34" i="60"/>
  <c r="F34" i="60" s="1"/>
  <c r="E31" i="60"/>
  <c r="F31" i="60" s="1"/>
  <c r="E28" i="60"/>
  <c r="F28" i="60" s="1"/>
  <c r="X33" i="60"/>
  <c r="A34" i="60"/>
  <c r="J33" i="60"/>
  <c r="H19" i="65" l="1"/>
  <c r="X33" i="65"/>
  <c r="A34" i="65"/>
  <c r="J33" i="65"/>
  <c r="A34" i="64"/>
  <c r="X33" i="64"/>
  <c r="J33" i="64"/>
  <c r="E31" i="64"/>
  <c r="F31" i="64" s="1"/>
  <c r="E34" i="64"/>
  <c r="F34" i="64" s="1"/>
  <c r="E29" i="64"/>
  <c r="F29" i="64" s="1"/>
  <c r="E28" i="64"/>
  <c r="F28" i="64" s="1"/>
  <c r="J33" i="63"/>
  <c r="A34" i="63"/>
  <c r="X33" i="63"/>
  <c r="F20" i="63"/>
  <c r="H19" i="63"/>
  <c r="F36" i="62"/>
  <c r="F19" i="62" s="1"/>
  <c r="F20" i="62" s="1"/>
  <c r="J34" i="62"/>
  <c r="X34" i="62"/>
  <c r="S8" i="62" s="1"/>
  <c r="J34" i="61"/>
  <c r="X34" i="61"/>
  <c r="S8" i="61" s="1"/>
  <c r="H19" i="61"/>
  <c r="F36" i="60"/>
  <c r="J34" i="60"/>
  <c r="X34" i="60"/>
  <c r="S8" i="60" s="1"/>
  <c r="X34" i="65" l="1"/>
  <c r="S8" i="65" s="1"/>
  <c r="J34" i="65"/>
  <c r="F36" i="64"/>
  <c r="F19" i="64" s="1"/>
  <c r="F20" i="64" s="1"/>
  <c r="J34" i="64"/>
  <c r="X34" i="64"/>
  <c r="S8" i="64" s="1"/>
  <c r="J34" i="63"/>
  <c r="X34" i="63"/>
  <c r="S8" i="63" s="1"/>
  <c r="H19" i="62"/>
  <c r="F19" i="60"/>
  <c r="H19" i="60" s="1"/>
  <c r="H19" i="64" l="1"/>
  <c r="F20" i="60"/>
  <c r="H128" i="58"/>
  <c r="I128" i="58" s="1"/>
  <c r="K128" i="58" s="1"/>
  <c r="H127" i="58"/>
  <c r="D139" i="58" a="1"/>
  <c r="D139" i="58" s="1"/>
  <c r="Q139" i="58" s="1"/>
  <c r="H151" i="58"/>
  <c r="C151" i="58"/>
  <c r="B151" i="58"/>
  <c r="H150" i="58"/>
  <c r="H149" i="58"/>
  <c r="H148" i="58"/>
  <c r="H147" i="58"/>
  <c r="W146" i="58"/>
  <c r="W147" i="58" s="1"/>
  <c r="W148" i="58" s="1"/>
  <c r="W149" i="58" s="1"/>
  <c r="W150" i="58" s="1"/>
  <c r="W151" i="58" s="1"/>
  <c r="W152" i="58" s="1"/>
  <c r="H146" i="58"/>
  <c r="H144" i="58"/>
  <c r="C144" i="58"/>
  <c r="H143" i="58"/>
  <c r="H142" i="58"/>
  <c r="H141" i="58"/>
  <c r="H140" i="58"/>
  <c r="H139" i="58"/>
  <c r="K132" i="58"/>
  <c r="Q131" i="58"/>
  <c r="K131" i="58"/>
  <c r="I131" i="58"/>
  <c r="Q130" i="58"/>
  <c r="I130" i="58"/>
  <c r="K130" i="58" s="1"/>
  <c r="Q129" i="58"/>
  <c r="I129" i="58"/>
  <c r="K129" i="58" s="1"/>
  <c r="E128" i="58"/>
  <c r="Q127" i="58"/>
  <c r="I127" i="58"/>
  <c r="K127" i="58" s="1"/>
  <c r="E127" i="58"/>
  <c r="Q125" i="58"/>
  <c r="Q126" i="58" s="1"/>
  <c r="K125" i="58"/>
  <c r="B125" i="58"/>
  <c r="C125" i="58" s="1"/>
  <c r="Q124" i="58"/>
  <c r="I124" i="58"/>
  <c r="K124" i="58" s="1"/>
  <c r="Q123" i="58"/>
  <c r="I123" i="58"/>
  <c r="K123" i="58" s="1"/>
  <c r="Q122" i="58"/>
  <c r="K122" i="58"/>
  <c r="I122" i="58"/>
  <c r="Q121" i="58"/>
  <c r="I121" i="58"/>
  <c r="K121" i="58" s="1"/>
  <c r="Z120" i="58"/>
  <c r="Z121" i="58" s="1"/>
  <c r="Z122" i="58" s="1"/>
  <c r="Z123" i="58" s="1"/>
  <c r="Z124" i="58" s="1"/>
  <c r="Z125" i="58" s="1"/>
  <c r="Z126" i="58" s="1"/>
  <c r="Q120" i="58"/>
  <c r="I120" i="58"/>
  <c r="K120" i="58" s="1"/>
  <c r="Q118" i="58"/>
  <c r="Q119" i="58" s="1"/>
  <c r="K118" i="58"/>
  <c r="C118" i="58"/>
  <c r="Q117" i="58"/>
  <c r="K117" i="58"/>
  <c r="I117" i="58"/>
  <c r="Q116" i="58"/>
  <c r="I116" i="58"/>
  <c r="K116" i="58" s="1"/>
  <c r="Q115" i="58"/>
  <c r="I115" i="58"/>
  <c r="K115" i="58" s="1"/>
  <c r="Q114" i="58"/>
  <c r="I114" i="58"/>
  <c r="K114" i="58" s="1"/>
  <c r="Q113" i="58"/>
  <c r="I113" i="58"/>
  <c r="K113" i="58" s="1"/>
  <c r="Q112" i="58"/>
  <c r="Q110" i="58"/>
  <c r="Q109" i="58"/>
  <c r="Q108" i="58"/>
  <c r="Q107" i="58"/>
  <c r="Q106" i="58"/>
  <c r="Q105" i="58"/>
  <c r="G104" i="58"/>
  <c r="H104" i="58" s="1"/>
  <c r="Q104" i="58" s="1"/>
  <c r="G103" i="58"/>
  <c r="H103" i="58" s="1"/>
  <c r="H102" i="58"/>
  <c r="Q102" i="58" s="1"/>
  <c r="G102" i="58"/>
  <c r="G108" i="58" s="1"/>
  <c r="G109" i="58" s="1"/>
  <c r="Q101" i="58"/>
  <c r="Q99" i="58"/>
  <c r="R96" i="58"/>
  <c r="H96" i="58"/>
  <c r="H97" i="58" s="1"/>
  <c r="Q95" i="58"/>
  <c r="Q94" i="58"/>
  <c r="Q93" i="58"/>
  <c r="Q92" i="58"/>
  <c r="G92" i="58"/>
  <c r="Q91" i="58"/>
  <c r="G91" i="58"/>
  <c r="Q90" i="58"/>
  <c r="G90" i="58"/>
  <c r="G96" i="58" s="1"/>
  <c r="G97" i="58" s="1"/>
  <c r="P85" i="58"/>
  <c r="L85" i="58"/>
  <c r="F85" i="58"/>
  <c r="Q84" i="58"/>
  <c r="P84" i="58"/>
  <c r="F84" i="58"/>
  <c r="P83" i="58"/>
  <c r="L83" i="58"/>
  <c r="F83" i="58"/>
  <c r="Q82" i="58"/>
  <c r="P82" i="58"/>
  <c r="F82" i="58"/>
  <c r="E81" i="58"/>
  <c r="AF79" i="58"/>
  <c r="C79" i="58"/>
  <c r="B79" i="58"/>
  <c r="P78" i="58"/>
  <c r="P77" i="58"/>
  <c r="P76" i="58"/>
  <c r="P75" i="58"/>
  <c r="V74" i="58"/>
  <c r="V75" i="58" s="1"/>
  <c r="V76" i="58" s="1"/>
  <c r="V77" i="58" s="1"/>
  <c r="V78" i="58" s="1"/>
  <c r="V79" i="58" s="1"/>
  <c r="V80" i="58" s="1"/>
  <c r="P74" i="58"/>
  <c r="AF72" i="58"/>
  <c r="C72" i="58"/>
  <c r="P71" i="58"/>
  <c r="F71" i="58"/>
  <c r="P70" i="58"/>
  <c r="L70" i="58"/>
  <c r="P69" i="58"/>
  <c r="F69" i="58"/>
  <c r="P68" i="58"/>
  <c r="P67" i="58"/>
  <c r="L67" i="58"/>
  <c r="F67" i="58"/>
  <c r="P66" i="58"/>
  <c r="L66" i="58"/>
  <c r="K66" i="58"/>
  <c r="I66" i="58"/>
  <c r="F66" i="58"/>
  <c r="C63" i="58"/>
  <c r="O60" i="58"/>
  <c r="N60" i="58"/>
  <c r="H60" i="58"/>
  <c r="Q58" i="58"/>
  <c r="B51" i="58"/>
  <c r="C51" i="58" s="1"/>
  <c r="Q50" i="58"/>
  <c r="M50" i="58"/>
  <c r="N50" i="58" s="1"/>
  <c r="Q49" i="58"/>
  <c r="M49" i="58"/>
  <c r="N49" i="58" s="1"/>
  <c r="Q48" i="58"/>
  <c r="M48" i="58"/>
  <c r="N48" i="58" s="1"/>
  <c r="U47" i="58"/>
  <c r="U48" i="58" s="1"/>
  <c r="U49" i="58" s="1"/>
  <c r="U50" i="58" s="1"/>
  <c r="U51" i="58" s="1"/>
  <c r="U52" i="58" s="1"/>
  <c r="Q47" i="58"/>
  <c r="M47" i="58"/>
  <c r="N47" i="58" s="1"/>
  <c r="U46" i="58"/>
  <c r="Q46" i="58"/>
  <c r="M46" i="58"/>
  <c r="N46" i="58" s="1"/>
  <c r="C44" i="58"/>
  <c r="Q43" i="58"/>
  <c r="M43" i="58"/>
  <c r="N43" i="58" s="1"/>
  <c r="Q42" i="58"/>
  <c r="M42" i="58"/>
  <c r="N42" i="58" s="1"/>
  <c r="Q41" i="58"/>
  <c r="N41" i="58"/>
  <c r="M41" i="58"/>
  <c r="Q40" i="58"/>
  <c r="N40" i="58"/>
  <c r="M40" i="58"/>
  <c r="Q39" i="58"/>
  <c r="M39" i="58"/>
  <c r="N39" i="58" s="1"/>
  <c r="T38" i="58"/>
  <c r="N33" i="58"/>
  <c r="D33" i="58"/>
  <c r="AG31" i="58"/>
  <c r="AE31" i="58"/>
  <c r="AD31" i="58"/>
  <c r="H31" i="58"/>
  <c r="F31" i="58"/>
  <c r="E31" i="58"/>
  <c r="AG30" i="58"/>
  <c r="AE30" i="58"/>
  <c r="AD30" i="58"/>
  <c r="H30" i="58"/>
  <c r="E30" i="58"/>
  <c r="F30" i="58" s="1"/>
  <c r="AE29" i="58"/>
  <c r="AC29" i="58"/>
  <c r="AC30" i="58" s="1"/>
  <c r="AC31" i="58" s="1"/>
  <c r="H29" i="58"/>
  <c r="AD29" i="58" s="1"/>
  <c r="A29" i="58"/>
  <c r="X29" i="58" s="1"/>
  <c r="AE28" i="58"/>
  <c r="AC28" i="58"/>
  <c r="X28" i="58"/>
  <c r="J28" i="58"/>
  <c r="H28" i="58"/>
  <c r="AD28" i="58" s="1"/>
  <c r="F23" i="58"/>
  <c r="J23" i="58" s="1"/>
  <c r="J22" i="58"/>
  <c r="F22" i="58"/>
  <c r="F18" i="58"/>
  <c r="S17" i="58"/>
  <c r="F17" i="58"/>
  <c r="T16" i="58"/>
  <c r="S16" i="58"/>
  <c r="F78" i="58" s="1"/>
  <c r="S12" i="58"/>
  <c r="S9" i="58"/>
  <c r="T6" i="58"/>
  <c r="Q6" i="58"/>
  <c r="T5" i="58"/>
  <c r="Q5" i="58"/>
  <c r="P5" i="58"/>
  <c r="H196" i="57"/>
  <c r="B196" i="57"/>
  <c r="H195" i="57"/>
  <c r="H194" i="57"/>
  <c r="H193" i="57"/>
  <c r="H192" i="57"/>
  <c r="W191" i="57"/>
  <c r="W192" i="57" s="1"/>
  <c r="W193" i="57" s="1"/>
  <c r="W194" i="57" s="1"/>
  <c r="W195" i="57" s="1"/>
  <c r="W196" i="57" s="1"/>
  <c r="W197" i="57" s="1"/>
  <c r="W198" i="57" s="1"/>
  <c r="W199" i="57" s="1"/>
  <c r="W200" i="57" s="1"/>
  <c r="W201" i="57" s="1"/>
  <c r="W202" i="57" s="1"/>
  <c r="W203" i="57" s="1"/>
  <c r="W204" i="57" s="1"/>
  <c r="W205" i="57" s="1"/>
  <c r="W206" i="57" s="1"/>
  <c r="W207" i="57" s="1"/>
  <c r="W208" i="57" s="1"/>
  <c r="W209" i="57" s="1"/>
  <c r="W210" i="57" s="1"/>
  <c r="W211" i="57" s="1"/>
  <c r="H191" i="57"/>
  <c r="H189" i="57"/>
  <c r="C189" i="57"/>
  <c r="H188" i="57"/>
  <c r="H187" i="57"/>
  <c r="H186" i="57"/>
  <c r="H185" i="57"/>
  <c r="H184" i="57"/>
  <c r="K177" i="57"/>
  <c r="Q176" i="57"/>
  <c r="I176" i="57"/>
  <c r="K176" i="57" s="1"/>
  <c r="Q175" i="57"/>
  <c r="I175" i="57"/>
  <c r="K175" i="57" s="1"/>
  <c r="Q174" i="57"/>
  <c r="I174" i="57"/>
  <c r="K174" i="57" s="1"/>
  <c r="Q156" i="57"/>
  <c r="Q157" i="57" s="1"/>
  <c r="K156" i="57"/>
  <c r="B156" i="57"/>
  <c r="Q155" i="57"/>
  <c r="I155" i="57"/>
  <c r="K155" i="57" s="1"/>
  <c r="Q154" i="57"/>
  <c r="I154" i="57"/>
  <c r="K154" i="57" s="1"/>
  <c r="Q153" i="57"/>
  <c r="I153" i="57"/>
  <c r="K153" i="57" s="1"/>
  <c r="Q152" i="57"/>
  <c r="I152" i="57"/>
  <c r="K152" i="57" s="1"/>
  <c r="Z151" i="57"/>
  <c r="Z152" i="57" s="1"/>
  <c r="Z153" i="57" s="1"/>
  <c r="Z154" i="57" s="1"/>
  <c r="Z155" i="57" s="1"/>
  <c r="Z156" i="57" s="1"/>
  <c r="Z157" i="57" s="1"/>
  <c r="Z158" i="57" s="1"/>
  <c r="Z159" i="57" s="1"/>
  <c r="Z160" i="57" s="1"/>
  <c r="Z161" i="57" s="1"/>
  <c r="Z162" i="57" s="1"/>
  <c r="Z163" i="57" s="1"/>
  <c r="Z164" i="57" s="1"/>
  <c r="Z165" i="57" s="1"/>
  <c r="Z166" i="57" s="1"/>
  <c r="Z167" i="57" s="1"/>
  <c r="Z168" i="57" s="1"/>
  <c r="Z169" i="57" s="1"/>
  <c r="Z170" i="57" s="1"/>
  <c r="Z171" i="57" s="1"/>
  <c r="Q151" i="57"/>
  <c r="I151" i="57"/>
  <c r="K151" i="57" s="1"/>
  <c r="Q149" i="57"/>
  <c r="Q150" i="57" s="1"/>
  <c r="K149" i="57"/>
  <c r="C149" i="57"/>
  <c r="Q148" i="57"/>
  <c r="I148" i="57"/>
  <c r="K148" i="57" s="1"/>
  <c r="Q147" i="57"/>
  <c r="I147" i="57"/>
  <c r="K147" i="57" s="1"/>
  <c r="Q146" i="57"/>
  <c r="I146" i="57"/>
  <c r="K146" i="57" s="1"/>
  <c r="Q145" i="57"/>
  <c r="I145" i="57"/>
  <c r="K145" i="57" s="1"/>
  <c r="Q144" i="57"/>
  <c r="I144" i="57"/>
  <c r="K144" i="57" s="1"/>
  <c r="Q143" i="57"/>
  <c r="Q141" i="57"/>
  <c r="Q140" i="57"/>
  <c r="Q139" i="57"/>
  <c r="Q138" i="57"/>
  <c r="Q137" i="57"/>
  <c r="Q136" i="57"/>
  <c r="G135" i="57"/>
  <c r="H135" i="57" s="1"/>
  <c r="Q135" i="57" s="1"/>
  <c r="G134" i="57"/>
  <c r="H134" i="57" s="1"/>
  <c r="Q134" i="57" s="1"/>
  <c r="G133" i="57"/>
  <c r="Q132" i="57"/>
  <c r="Q130" i="57"/>
  <c r="R127" i="57"/>
  <c r="H127" i="57"/>
  <c r="H128" i="57" s="1"/>
  <c r="Q126" i="57"/>
  <c r="Q125" i="57"/>
  <c r="Q124" i="57"/>
  <c r="Q123" i="57"/>
  <c r="G123" i="57"/>
  <c r="Q122" i="57"/>
  <c r="G122" i="57"/>
  <c r="Q121" i="57"/>
  <c r="G121" i="57"/>
  <c r="P116" i="57"/>
  <c r="P115" i="57"/>
  <c r="P114" i="57"/>
  <c r="P113" i="57"/>
  <c r="E112" i="57"/>
  <c r="AF96" i="57"/>
  <c r="B96" i="57"/>
  <c r="P95" i="57"/>
  <c r="P94" i="57"/>
  <c r="P93" i="57"/>
  <c r="P92" i="57"/>
  <c r="V91" i="57"/>
  <c r="V92" i="57" s="1"/>
  <c r="V93" i="57" s="1"/>
  <c r="V94" i="57" s="1"/>
  <c r="V95" i="57" s="1"/>
  <c r="V96" i="57" s="1"/>
  <c r="V97" i="57" s="1"/>
  <c r="V98" i="57" s="1"/>
  <c r="V99" i="57" s="1"/>
  <c r="V100" i="57" s="1"/>
  <c r="V101" i="57" s="1"/>
  <c r="V102" i="57" s="1"/>
  <c r="V103" i="57" s="1"/>
  <c r="V104" i="57" s="1"/>
  <c r="V105" i="57" s="1"/>
  <c r="V106" i="57" s="1"/>
  <c r="V107" i="57" s="1"/>
  <c r="V108" i="57" s="1"/>
  <c r="V109" i="57" s="1"/>
  <c r="V110" i="57" s="1"/>
  <c r="V111" i="57" s="1"/>
  <c r="P91" i="57"/>
  <c r="AF89" i="57"/>
  <c r="C89" i="57"/>
  <c r="P88" i="57"/>
  <c r="P87" i="57"/>
  <c r="P86" i="57"/>
  <c r="P85" i="57"/>
  <c r="P84" i="57"/>
  <c r="C80" i="57"/>
  <c r="O77" i="57"/>
  <c r="N77" i="57"/>
  <c r="H77" i="57"/>
  <c r="Q75" i="57"/>
  <c r="B54" i="57"/>
  <c r="Q53" i="57"/>
  <c r="M53" i="57"/>
  <c r="N53" i="57" s="1"/>
  <c r="Q52" i="57"/>
  <c r="M52" i="57"/>
  <c r="N52" i="57" s="1"/>
  <c r="Q51" i="57"/>
  <c r="M51" i="57"/>
  <c r="N51" i="57" s="1"/>
  <c r="Q50" i="57"/>
  <c r="M50" i="57"/>
  <c r="N50" i="57" s="1"/>
  <c r="U49" i="57"/>
  <c r="U50" i="57" s="1"/>
  <c r="U51" i="57" s="1"/>
  <c r="U52" i="57" s="1"/>
  <c r="U53" i="57" s="1"/>
  <c r="U54" i="57" s="1"/>
  <c r="U55" i="57" s="1"/>
  <c r="U56" i="57" s="1"/>
  <c r="U57" i="57" s="1"/>
  <c r="U58" i="57" s="1"/>
  <c r="U59" i="57" s="1"/>
  <c r="U60" i="57" s="1"/>
  <c r="U61" i="57" s="1"/>
  <c r="U62" i="57" s="1"/>
  <c r="U63" i="57" s="1"/>
  <c r="U64" i="57" s="1"/>
  <c r="U65" i="57" s="1"/>
  <c r="U66" i="57" s="1"/>
  <c r="U67" i="57" s="1"/>
  <c r="U68" i="57" s="1"/>
  <c r="U69" i="57" s="1"/>
  <c r="Q49" i="57"/>
  <c r="M49" i="57"/>
  <c r="N49" i="57" s="1"/>
  <c r="C47" i="57"/>
  <c r="Q46" i="57"/>
  <c r="M46" i="57"/>
  <c r="N46" i="57" s="1"/>
  <c r="Q45" i="57"/>
  <c r="M45" i="57"/>
  <c r="N45" i="57" s="1"/>
  <c r="Q44" i="57"/>
  <c r="M44" i="57"/>
  <c r="N44" i="57" s="1"/>
  <c r="Q43" i="57"/>
  <c r="M43" i="57"/>
  <c r="N43" i="57" s="1"/>
  <c r="Q42" i="57"/>
  <c r="M42" i="57"/>
  <c r="N42" i="57" s="1"/>
  <c r="T41" i="57"/>
  <c r="N36" i="57"/>
  <c r="D36" i="57"/>
  <c r="AG31" i="57"/>
  <c r="AE31" i="57"/>
  <c r="H31" i="57"/>
  <c r="AD31" i="57" s="1"/>
  <c r="AG30" i="57"/>
  <c r="AE30" i="57"/>
  <c r="AD30" i="57"/>
  <c r="H30" i="57"/>
  <c r="E30" i="57"/>
  <c r="F30" i="57" s="1"/>
  <c r="AE29" i="57"/>
  <c r="AC29" i="57"/>
  <c r="AC30" i="57" s="1"/>
  <c r="AC31" i="57" s="1"/>
  <c r="AC32" i="57" s="1"/>
  <c r="AC33" i="57" s="1"/>
  <c r="AC34" i="57" s="1"/>
  <c r="H29" i="57"/>
  <c r="AD29" i="57" s="1"/>
  <c r="A29" i="57"/>
  <c r="J29" i="57" s="1"/>
  <c r="AE28" i="57"/>
  <c r="AC28" i="57"/>
  <c r="X28" i="57"/>
  <c r="J28" i="57"/>
  <c r="H28" i="57"/>
  <c r="AD28" i="57" s="1"/>
  <c r="F23" i="57"/>
  <c r="J23" i="57" s="1"/>
  <c r="F22" i="57"/>
  <c r="J22" i="57" s="1"/>
  <c r="S17" i="57"/>
  <c r="F17" i="57"/>
  <c r="F18" i="57" s="1"/>
  <c r="S16" i="57"/>
  <c r="S12" i="57"/>
  <c r="S9" i="57"/>
  <c r="T6" i="57"/>
  <c r="Q6" i="57"/>
  <c r="T5" i="57"/>
  <c r="Q5" i="57"/>
  <c r="P5" i="57"/>
  <c r="L107" i="57" l="1"/>
  <c r="F105" i="57"/>
  <c r="F107" i="57"/>
  <c r="L109" i="57"/>
  <c r="F109" i="57"/>
  <c r="L106" i="57"/>
  <c r="F106" i="57"/>
  <c r="L108" i="57"/>
  <c r="L105" i="57"/>
  <c r="F108" i="57"/>
  <c r="C156" i="57"/>
  <c r="B163" i="57"/>
  <c r="C163" i="57" s="1"/>
  <c r="C196" i="57"/>
  <c r="B203" i="57"/>
  <c r="B210" i="57" s="1"/>
  <c r="F95" i="57"/>
  <c r="L100" i="57"/>
  <c r="L102" i="57"/>
  <c r="F100" i="57"/>
  <c r="L98" i="57"/>
  <c r="F102" i="57"/>
  <c r="F98" i="57"/>
  <c r="F101" i="57"/>
  <c r="L99" i="57"/>
  <c r="L101" i="57"/>
  <c r="F99" i="57"/>
  <c r="C96" i="57"/>
  <c r="B103" i="57"/>
  <c r="B110" i="57" s="1"/>
  <c r="C54" i="57"/>
  <c r="B61" i="57"/>
  <c r="B68" i="57" s="1"/>
  <c r="F114" i="57"/>
  <c r="L84" i="57"/>
  <c r="L114" i="57"/>
  <c r="G127" i="57"/>
  <c r="G128" i="57" s="1"/>
  <c r="F115" i="57"/>
  <c r="F83" i="57"/>
  <c r="F86" i="57"/>
  <c r="O47" i="57"/>
  <c r="I83" i="57"/>
  <c r="F113" i="57"/>
  <c r="Q115" i="57"/>
  <c r="T16" i="57"/>
  <c r="F84" i="57"/>
  <c r="K83" i="57"/>
  <c r="L87" i="57"/>
  <c r="F116" i="57"/>
  <c r="G139" i="57"/>
  <c r="G140" i="57" s="1"/>
  <c r="P83" i="57"/>
  <c r="Q113" i="57"/>
  <c r="L116" i="57"/>
  <c r="Q132" i="58"/>
  <c r="Q133" i="58" s="1"/>
  <c r="Q128" i="58"/>
  <c r="M139" i="58"/>
  <c r="P44" i="58"/>
  <c r="D144" i="58"/>
  <c r="D151" i="58"/>
  <c r="D72" i="58"/>
  <c r="E72" i="58" s="1"/>
  <c r="F72" i="58" s="1"/>
  <c r="D79" i="58"/>
  <c r="E79" i="58" s="1"/>
  <c r="F79" i="58" s="1"/>
  <c r="O51" i="58"/>
  <c r="H108" i="58"/>
  <c r="Q103" i="58"/>
  <c r="S10" i="58"/>
  <c r="O44" i="58"/>
  <c r="D143" i="58"/>
  <c r="L82" i="58"/>
  <c r="L84" i="58"/>
  <c r="H101" i="58"/>
  <c r="P51" i="58"/>
  <c r="F68" i="58"/>
  <c r="L74" i="58"/>
  <c r="L75" i="58"/>
  <c r="L76" i="58"/>
  <c r="L77" i="58"/>
  <c r="L78" i="58"/>
  <c r="D67" i="58" s="1"/>
  <c r="E67" i="58" s="1"/>
  <c r="D150" i="58"/>
  <c r="A30" i="58"/>
  <c r="D69" i="58"/>
  <c r="E69" i="58" s="1"/>
  <c r="J29" i="58"/>
  <c r="N66" i="58"/>
  <c r="F70" i="58"/>
  <c r="Q83" i="58"/>
  <c r="Q85" i="58"/>
  <c r="L69" i="58"/>
  <c r="D146" i="58" s="1"/>
  <c r="F74" i="58"/>
  <c r="F75" i="58"/>
  <c r="F76" i="58"/>
  <c r="F77" i="58"/>
  <c r="P47" i="57"/>
  <c r="D189" i="57"/>
  <c r="D196" i="57"/>
  <c r="D89" i="57"/>
  <c r="E89" i="57" s="1"/>
  <c r="F89" i="57" s="1"/>
  <c r="D96" i="57"/>
  <c r="E96" i="57" s="1"/>
  <c r="F96" i="57" s="1"/>
  <c r="O54" i="57"/>
  <c r="S10" i="57"/>
  <c r="X29" i="57"/>
  <c r="L113" i="57"/>
  <c r="L115" i="57"/>
  <c r="H132" i="57"/>
  <c r="P54" i="57"/>
  <c r="L91" i="57"/>
  <c r="L92" i="57"/>
  <c r="L93" i="57"/>
  <c r="L94" i="57"/>
  <c r="L95" i="57"/>
  <c r="A30" i="57"/>
  <c r="H133" i="57"/>
  <c r="H172" i="57" s="1"/>
  <c r="L83" i="57"/>
  <c r="D208" i="57" s="1"/>
  <c r="F88" i="57"/>
  <c r="N83" i="57"/>
  <c r="F87" i="57"/>
  <c r="Q114" i="57"/>
  <c r="Q116" i="57"/>
  <c r="L86" i="57"/>
  <c r="F91" i="57"/>
  <c r="F93" i="57"/>
  <c r="F94" i="57"/>
  <c r="Q208" i="57" l="1"/>
  <c r="M208" i="57"/>
  <c r="O208" i="57" s="1"/>
  <c r="D206" i="57"/>
  <c r="D209" i="57"/>
  <c r="D205" i="57"/>
  <c r="D210" i="57"/>
  <c r="C210" i="57"/>
  <c r="D207" i="57"/>
  <c r="AF110" i="57"/>
  <c r="D110" i="57"/>
  <c r="E110" i="57" s="1"/>
  <c r="F110" i="57" s="1"/>
  <c r="C110" i="57"/>
  <c r="D185" i="57"/>
  <c r="Q185" i="57" s="1"/>
  <c r="D106" i="57"/>
  <c r="E106" i="57" s="1"/>
  <c r="D109" i="57"/>
  <c r="E109" i="57" s="1"/>
  <c r="D107" i="57"/>
  <c r="E107" i="57" s="1"/>
  <c r="D108" i="57"/>
  <c r="E108" i="57" s="1"/>
  <c r="D105" i="57"/>
  <c r="E105" i="57" s="1"/>
  <c r="P68" i="57"/>
  <c r="C68" i="57"/>
  <c r="D203" i="57"/>
  <c r="C203" i="57"/>
  <c r="D199" i="57"/>
  <c r="D202" i="57"/>
  <c r="D198" i="57"/>
  <c r="D200" i="57"/>
  <c r="D201" i="57"/>
  <c r="D101" i="57"/>
  <c r="E101" i="57" s="1"/>
  <c r="D98" i="57"/>
  <c r="E98" i="57" s="1"/>
  <c r="D102" i="57"/>
  <c r="E102" i="57" s="1"/>
  <c r="D86" i="57"/>
  <c r="E86" i="57" s="1"/>
  <c r="AF86" i="57" s="1"/>
  <c r="D100" i="57"/>
  <c r="E100" i="57" s="1"/>
  <c r="D99" i="57"/>
  <c r="E99" i="57" s="1"/>
  <c r="AF103" i="57"/>
  <c r="D103" i="57"/>
  <c r="E103" i="57" s="1"/>
  <c r="F103" i="57" s="1"/>
  <c r="C103" i="57"/>
  <c r="P61" i="57"/>
  <c r="C61" i="57"/>
  <c r="E47" i="57"/>
  <c r="Y47" i="57" s="1"/>
  <c r="D195" i="57"/>
  <c r="Q195" i="57" s="1"/>
  <c r="Q172" i="57"/>
  <c r="I172" i="57"/>
  <c r="K172" i="57" s="1"/>
  <c r="Q177" i="57"/>
  <c r="Q178" i="57" s="1"/>
  <c r="D191" i="57"/>
  <c r="M191" i="57" s="1"/>
  <c r="O191" i="57" s="1"/>
  <c r="D188" i="57"/>
  <c r="Q188" i="57" s="1"/>
  <c r="Q173" i="57"/>
  <c r="I173" i="57"/>
  <c r="K173" i="57" s="1"/>
  <c r="D184" i="57"/>
  <c r="Q69" i="58"/>
  <c r="AF69" i="58"/>
  <c r="AF67" i="58"/>
  <c r="Q67" i="58"/>
  <c r="Q146" i="58"/>
  <c r="M146" i="58"/>
  <c r="Q150" i="58"/>
  <c r="M150" i="58"/>
  <c r="D71" i="58"/>
  <c r="E71" i="58" s="1"/>
  <c r="D68" i="58"/>
  <c r="E68" i="58" s="1"/>
  <c r="Q143" i="58"/>
  <c r="M143" i="58"/>
  <c r="D76" i="58"/>
  <c r="E76" i="58" s="1"/>
  <c r="D75" i="58"/>
  <c r="E75" i="58" s="1"/>
  <c r="D148" i="58"/>
  <c r="E44" i="58"/>
  <c r="Y44" i="58" s="1"/>
  <c r="D44" i="58"/>
  <c r="Q151" i="58"/>
  <c r="M151" i="58"/>
  <c r="Q144" i="58"/>
  <c r="M144" i="58"/>
  <c r="D77" i="58"/>
  <c r="E77" i="58" s="1"/>
  <c r="D70" i="58"/>
  <c r="E70" i="58" s="1"/>
  <c r="D74" i="58"/>
  <c r="E74" i="58" s="1"/>
  <c r="D149" i="58"/>
  <c r="X30" i="58"/>
  <c r="J30" i="58"/>
  <c r="A31" i="58"/>
  <c r="D78" i="58"/>
  <c r="E78" i="58" s="1"/>
  <c r="D142" i="58"/>
  <c r="D147" i="58"/>
  <c r="M96" i="58"/>
  <c r="J96" i="58" s="1"/>
  <c r="H109" i="58"/>
  <c r="D140" i="58"/>
  <c r="D141" i="58"/>
  <c r="E51" i="58"/>
  <c r="Y51" i="58" s="1"/>
  <c r="D51" i="58"/>
  <c r="D92" i="57"/>
  <c r="E92" i="57" s="1"/>
  <c r="Q133" i="57"/>
  <c r="H139" i="57"/>
  <c r="Q196" i="57"/>
  <c r="M196" i="57"/>
  <c r="O196" i="57" s="1"/>
  <c r="X30" i="57"/>
  <c r="A31" i="57"/>
  <c r="A32" i="57" s="1"/>
  <c r="A33" i="57" s="1"/>
  <c r="A34" i="57" s="1"/>
  <c r="J30" i="57"/>
  <c r="Q189" i="57"/>
  <c r="M189" i="57"/>
  <c r="O189" i="57" s="1"/>
  <c r="D193" i="57"/>
  <c r="D187" i="57"/>
  <c r="D85" i="57"/>
  <c r="E85" i="57" s="1"/>
  <c r="D186" i="57"/>
  <c r="D84" i="57"/>
  <c r="E84" i="57" s="1"/>
  <c r="D192" i="57"/>
  <c r="D54" i="57"/>
  <c r="E54" i="57"/>
  <c r="Y54" i="57" s="1"/>
  <c r="D95" i="57"/>
  <c r="E95" i="57" s="1"/>
  <c r="D93" i="57"/>
  <c r="E93" i="57" s="1"/>
  <c r="D87" i="57"/>
  <c r="E87" i="57" s="1"/>
  <c r="D91" i="57"/>
  <c r="E91" i="57" s="1"/>
  <c r="D194" i="57"/>
  <c r="D88" i="57"/>
  <c r="E88" i="57" s="1"/>
  <c r="D94" i="57"/>
  <c r="E94" i="57" s="1"/>
  <c r="D47" i="57"/>
  <c r="M185" i="57" l="1"/>
  <c r="O185" i="57" s="1"/>
  <c r="M207" i="57"/>
  <c r="O207" i="57" s="1"/>
  <c r="Q207" i="57"/>
  <c r="Q210" i="57"/>
  <c r="M210" i="57"/>
  <c r="O210" i="57" s="1"/>
  <c r="Q205" i="57"/>
  <c r="M205" i="57"/>
  <c r="O205" i="57" s="1"/>
  <c r="Q209" i="57"/>
  <c r="M209" i="57"/>
  <c r="O209" i="57" s="1"/>
  <c r="M206" i="57"/>
  <c r="O206" i="57" s="1"/>
  <c r="Q206" i="57"/>
  <c r="AF108" i="57"/>
  <c r="Q108" i="57"/>
  <c r="AF107" i="57"/>
  <c r="Q107" i="57"/>
  <c r="AF109" i="57"/>
  <c r="Q109" i="57"/>
  <c r="AF106" i="57"/>
  <c r="Q106" i="57"/>
  <c r="AF105" i="57"/>
  <c r="Q105" i="57"/>
  <c r="D68" i="57"/>
  <c r="E68" i="57"/>
  <c r="Y68" i="57" s="1"/>
  <c r="Q201" i="57"/>
  <c r="M201" i="57"/>
  <c r="O201" i="57" s="1"/>
  <c r="M200" i="57"/>
  <c r="O200" i="57" s="1"/>
  <c r="Q200" i="57"/>
  <c r="Q198" i="57"/>
  <c r="M198" i="57"/>
  <c r="O198" i="57" s="1"/>
  <c r="Q202" i="57"/>
  <c r="M202" i="57"/>
  <c r="O202" i="57" s="1"/>
  <c r="Q199" i="57"/>
  <c r="M199" i="57"/>
  <c r="O199" i="57" s="1"/>
  <c r="Q86" i="57"/>
  <c r="Q203" i="57"/>
  <c r="M203" i="57"/>
  <c r="O203" i="57" s="1"/>
  <c r="AF100" i="57"/>
  <c r="Q100" i="57"/>
  <c r="AF102" i="57"/>
  <c r="Q102" i="57"/>
  <c r="AF98" i="57"/>
  <c r="Q98" i="57"/>
  <c r="AF99" i="57"/>
  <c r="Q99" i="57"/>
  <c r="AF101" i="57"/>
  <c r="Q101" i="57"/>
  <c r="E61" i="57"/>
  <c r="Y61" i="57" s="1"/>
  <c r="E29" i="57" s="1"/>
  <c r="F29" i="57" s="1"/>
  <c r="D61" i="57"/>
  <c r="X34" i="57"/>
  <c r="J34" i="57"/>
  <c r="X33" i="57"/>
  <c r="J33" i="57"/>
  <c r="X32" i="57"/>
  <c r="J32" i="57"/>
  <c r="Q191" i="57"/>
  <c r="M195" i="57"/>
  <c r="O195" i="57" s="1"/>
  <c r="M188" i="57"/>
  <c r="O188" i="57" s="1"/>
  <c r="Q184" i="57"/>
  <c r="M184" i="57"/>
  <c r="O184" i="57" s="1"/>
  <c r="AF74" i="58"/>
  <c r="Q74" i="58"/>
  <c r="AF70" i="58"/>
  <c r="Q70" i="58"/>
  <c r="AF75" i="58"/>
  <c r="Q75" i="58"/>
  <c r="AF76" i="58"/>
  <c r="Q76" i="58"/>
  <c r="AF77" i="58"/>
  <c r="Q77" i="58"/>
  <c r="AF68" i="58"/>
  <c r="Q68" i="58"/>
  <c r="Q140" i="58"/>
  <c r="M140" i="58"/>
  <c r="S8" i="58"/>
  <c r="Q149" i="58"/>
  <c r="M149" i="58"/>
  <c r="X31" i="58"/>
  <c r="J31" i="58"/>
  <c r="Q147" i="58"/>
  <c r="M147" i="58"/>
  <c r="Q142" i="58"/>
  <c r="M142" i="58"/>
  <c r="AF78" i="58"/>
  <c r="Q78" i="58"/>
  <c r="E28" i="58"/>
  <c r="F28" i="58" s="1"/>
  <c r="E29" i="58"/>
  <c r="F29" i="58" s="1"/>
  <c r="Q148" i="58"/>
  <c r="M148" i="58"/>
  <c r="Q141" i="58"/>
  <c r="M141" i="58"/>
  <c r="AF71" i="58"/>
  <c r="Q71" i="58"/>
  <c r="AF93" i="57"/>
  <c r="Q93" i="57"/>
  <c r="AF88" i="57"/>
  <c r="Q88" i="57"/>
  <c r="AF87" i="57"/>
  <c r="Q87" i="57"/>
  <c r="AF94" i="57"/>
  <c r="Q94" i="57"/>
  <c r="AF91" i="57"/>
  <c r="Q91" i="57"/>
  <c r="AF92" i="57"/>
  <c r="Q92" i="57"/>
  <c r="Q194" i="57"/>
  <c r="M194" i="57"/>
  <c r="O194" i="57" s="1"/>
  <c r="Q192" i="57"/>
  <c r="M192" i="57"/>
  <c r="O192" i="57" s="1"/>
  <c r="AF84" i="57"/>
  <c r="Q84" i="57"/>
  <c r="M127" i="57"/>
  <c r="J127" i="57" s="1"/>
  <c r="H140" i="57"/>
  <c r="Q186" i="57"/>
  <c r="M186" i="57"/>
  <c r="O186" i="57" s="1"/>
  <c r="J31" i="57"/>
  <c r="X31" i="57"/>
  <c r="AF85" i="57"/>
  <c r="Q85" i="57"/>
  <c r="AF95" i="57"/>
  <c r="Q95" i="57"/>
  <c r="Q187" i="57"/>
  <c r="M187" i="57"/>
  <c r="O187" i="57" s="1"/>
  <c r="Q193" i="57"/>
  <c r="M193" i="57"/>
  <c r="O193" i="57" s="1"/>
  <c r="E28" i="57" l="1"/>
  <c r="F28" i="57" s="1"/>
  <c r="E31" i="57"/>
  <c r="F31" i="57" s="1"/>
  <c r="E34" i="57"/>
  <c r="F34" i="57" s="1"/>
  <c r="S8" i="57"/>
  <c r="F33" i="58"/>
  <c r="F19" i="58" s="1"/>
  <c r="F36" i="57" l="1"/>
  <c r="F19" i="57" s="1"/>
  <c r="H19" i="57" s="1"/>
  <c r="F20" i="58"/>
  <c r="H19" i="58"/>
  <c r="F20" i="57" l="1"/>
  <c r="F76" i="14"/>
  <c r="F72" i="14" l="1"/>
  <c r="F71" i="14"/>
  <c r="F69" i="14" l="1"/>
  <c r="B16" i="13" l="1"/>
  <c r="B8" i="13"/>
  <c r="T28" i="44" l="1"/>
  <c r="T34" i="44" s="1"/>
  <c r="W4" i="44" l="1"/>
  <c r="I25" i="44" s="1"/>
  <c r="I32" i="44" s="1"/>
  <c r="W7" i="44"/>
  <c r="T25" i="44" s="1"/>
  <c r="T32" i="44" s="1"/>
  <c r="C19" i="44"/>
  <c r="N19" i="44"/>
  <c r="C21" i="44"/>
  <c r="N21" i="44"/>
  <c r="I28" i="44"/>
  <c r="I34" i="44" s="1"/>
  <c r="F36" i="44" l="1"/>
  <c r="Q36" i="44"/>
  <c r="U3" i="13" l="1"/>
  <c r="AA1" i="13"/>
  <c r="F64" i="14" l="1"/>
  <c r="F63" i="14"/>
  <c r="E22" i="43"/>
  <c r="E21" i="43"/>
  <c r="E20" i="43"/>
  <c r="E19" i="43"/>
  <c r="E18" i="43"/>
  <c r="E17" i="43"/>
  <c r="E16" i="43"/>
  <c r="E15" i="43"/>
  <c r="E12" i="43"/>
  <c r="E11" i="43"/>
  <c r="C10" i="43"/>
  <c r="E10" i="43" s="1"/>
  <c r="C9" i="43"/>
  <c r="E9" i="43" s="1"/>
  <c r="C8" i="43"/>
  <c r="E8" i="43" s="1"/>
  <c r="C7" i="43"/>
  <c r="E7" i="43" s="1"/>
  <c r="C6" i="43"/>
  <c r="E6" i="43" s="1"/>
  <c r="C5" i="43"/>
  <c r="E5" i="43" s="1"/>
  <c r="C4" i="43"/>
  <c r="E4" i="43" s="1"/>
  <c r="C3" i="43"/>
  <c r="E3" i="43" s="1"/>
  <c r="E23" i="43" l="1"/>
  <c r="E13" i="43"/>
  <c r="F62" i="14"/>
  <c r="F61" i="14"/>
  <c r="AG28" i="13"/>
  <c r="AE28" i="13"/>
  <c r="AC28" i="13"/>
  <c r="H28" i="13"/>
  <c r="AD28" i="13" s="1"/>
  <c r="D16" i="13" s="1"/>
  <c r="A28" i="13"/>
  <c r="X28" i="13" s="1"/>
  <c r="J28" i="13" l="1"/>
  <c r="Q35" i="13" l="1"/>
  <c r="Q36" i="13" s="1"/>
  <c r="D11" i="16" l="1"/>
  <c r="AB1" i="13" l="1"/>
  <c r="X1" i="13" l="1"/>
  <c r="C16" i="13"/>
  <c r="P15" i="13"/>
  <c r="L15" i="13"/>
  <c r="F15" i="13"/>
  <c r="P14" i="13"/>
  <c r="L14" i="13"/>
  <c r="F14" i="13"/>
  <c r="P13" i="13"/>
  <c r="L13" i="13"/>
  <c r="F13" i="13"/>
  <c r="P12" i="13"/>
  <c r="L12" i="13"/>
  <c r="F12" i="13"/>
  <c r="V11" i="13"/>
  <c r="P11" i="13"/>
  <c r="L11" i="13"/>
  <c r="F11" i="13"/>
  <c r="P8" i="13"/>
  <c r="Q7" i="13"/>
  <c r="M7" i="13"/>
  <c r="N7" i="13" s="1"/>
  <c r="Q6" i="13"/>
  <c r="M6" i="13"/>
  <c r="N6" i="13" s="1"/>
  <c r="Q5" i="13"/>
  <c r="M5" i="13"/>
  <c r="N5" i="13" s="1"/>
  <c r="Q4" i="13"/>
  <c r="M4" i="13"/>
  <c r="N4" i="13" s="1"/>
  <c r="Q3" i="13"/>
  <c r="M3" i="13"/>
  <c r="N3" i="13" s="1"/>
  <c r="O8" i="13" l="1"/>
  <c r="D8" i="13" s="1"/>
  <c r="U4" i="13"/>
  <c r="C8" i="13"/>
  <c r="V12" i="13"/>
  <c r="V13" i="13" s="1"/>
  <c r="V14" i="13" s="1"/>
  <c r="V15" i="13" s="1"/>
  <c r="V16" i="13" s="1"/>
  <c r="V17" i="13" s="1"/>
  <c r="E16" i="13"/>
  <c r="F16" i="13" s="1"/>
  <c r="AF16" i="13"/>
  <c r="V1" i="13" l="1"/>
  <c r="E8" i="13"/>
  <c r="Y8" i="13" s="1"/>
  <c r="Y1" i="13" s="1"/>
  <c r="U5" i="13"/>
  <c r="U6" i="13" s="1"/>
  <c r="U7" i="13" s="1"/>
  <c r="U8" i="13" s="1"/>
  <c r="U9" i="13" s="1"/>
  <c r="E28" i="13"/>
  <c r="F28" i="13" s="1"/>
  <c r="F19" i="16"/>
  <c r="H19" i="16" s="1"/>
  <c r="U1" i="13" l="1"/>
  <c r="B35" i="13" l="1"/>
  <c r="K35" i="13" l="1"/>
  <c r="C35" i="13"/>
  <c r="Q34" i="13"/>
  <c r="I34" i="13"/>
  <c r="K34" i="13" s="1"/>
  <c r="Q33" i="13"/>
  <c r="I33" i="13"/>
  <c r="K33" i="13" s="1"/>
  <c r="Q32" i="13"/>
  <c r="I32" i="13"/>
  <c r="K32" i="13" s="1"/>
  <c r="Q31" i="13"/>
  <c r="I31" i="13"/>
  <c r="K31" i="13" s="1"/>
  <c r="Z30" i="13"/>
  <c r="Q30" i="13"/>
  <c r="I30" i="13"/>
  <c r="K30" i="13" s="1"/>
  <c r="P10" i="13"/>
  <c r="N10" i="13"/>
  <c r="L10" i="13"/>
  <c r="D11" i="13" s="1"/>
  <c r="K10" i="13"/>
  <c r="I10" i="13"/>
  <c r="D12" i="13" l="1"/>
  <c r="E12" i="13" s="1"/>
  <c r="D15" i="13"/>
  <c r="E15" i="13" s="1"/>
  <c r="D14" i="13"/>
  <c r="E14" i="13" s="1"/>
  <c r="D13" i="13"/>
  <c r="E13" i="13" s="1"/>
  <c r="Z31" i="13"/>
  <c r="Z32" i="13" s="1"/>
  <c r="Z33" i="13" s="1"/>
  <c r="Z34" i="13" s="1"/>
  <c r="Z35" i="13" s="1"/>
  <c r="Z36" i="13" s="1"/>
  <c r="Z1" i="13" l="1"/>
  <c r="AF13" i="13"/>
  <c r="Q13" i="13"/>
  <c r="AF14" i="13"/>
  <c r="Q14" i="13"/>
  <c r="AF15" i="13"/>
  <c r="Q15" i="13"/>
  <c r="E11" i="13"/>
  <c r="Q11" i="13" s="1"/>
  <c r="AF12" i="13"/>
  <c r="Q12" i="13"/>
  <c r="AF11" i="13" l="1"/>
  <c r="F22" i="14" l="1"/>
  <c r="J19" i="16" l="1"/>
  <c r="O19" i="16" s="1"/>
  <c r="H16" i="16"/>
  <c r="J16" i="16" s="1"/>
  <c r="K19" i="16" l="1"/>
  <c r="M19" i="16"/>
  <c r="F39" i="14" l="1"/>
  <c r="F38" i="14"/>
  <c r="B25" i="13" l="1"/>
  <c r="D25" i="13" s="1"/>
  <c r="W20" i="13"/>
  <c r="H25" i="13"/>
  <c r="H24" i="13"/>
  <c r="H23" i="13"/>
  <c r="H22" i="13"/>
  <c r="H21" i="13"/>
  <c r="H20" i="13"/>
  <c r="F2" i="14"/>
  <c r="F3" i="14"/>
  <c r="F4" i="14"/>
  <c r="F5" i="14"/>
  <c r="F6" i="14"/>
  <c r="F7" i="14"/>
  <c r="F8" i="14"/>
  <c r="F9" i="14"/>
  <c r="F10" i="14"/>
  <c r="F11" i="14"/>
  <c r="F12" i="14"/>
  <c r="F13" i="14"/>
  <c r="F14" i="14"/>
  <c r="F15" i="14"/>
  <c r="F16" i="14"/>
  <c r="F17" i="14"/>
  <c r="F18" i="14"/>
  <c r="F19" i="14"/>
  <c r="F20" i="14"/>
  <c r="F21" i="14"/>
  <c r="F23" i="14"/>
  <c r="F24" i="14"/>
  <c r="F25" i="14"/>
  <c r="F26" i="14"/>
  <c r="F27" i="14"/>
  <c r="F28" i="14"/>
  <c r="F29" i="14"/>
  <c r="F30" i="14"/>
  <c r="F31" i="14"/>
  <c r="F32" i="14"/>
  <c r="F33" i="14"/>
  <c r="F34" i="14"/>
  <c r="F35" i="14"/>
  <c r="F36" i="14"/>
  <c r="F37" i="14"/>
  <c r="F40" i="14"/>
  <c r="F41" i="14"/>
  <c r="F42" i="14"/>
  <c r="F43" i="14"/>
  <c r="F44" i="14"/>
  <c r="F45" i="14"/>
  <c r="F46" i="14"/>
  <c r="F47" i="14"/>
  <c r="F48" i="14"/>
  <c r="F49" i="14"/>
  <c r="F50" i="14"/>
  <c r="F51" i="14"/>
  <c r="F52" i="14"/>
  <c r="F53" i="14"/>
  <c r="F54" i="14"/>
  <c r="F55" i="14"/>
  <c r="F56" i="14"/>
  <c r="F57" i="14"/>
  <c r="F58" i="14"/>
  <c r="F59" i="14"/>
  <c r="F60" i="14"/>
  <c r="F65" i="14"/>
  <c r="F66" i="14"/>
  <c r="F68" i="14"/>
  <c r="F70" i="14"/>
  <c r="F73" i="14"/>
  <c r="F74" i="14"/>
  <c r="F75"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8" i="14"/>
  <c r="F249" i="14"/>
  <c r="F250" i="14"/>
  <c r="F251" i="14"/>
  <c r="F252" i="14"/>
  <c r="F253" i="14"/>
  <c r="F254" i="14"/>
  <c r="F255" i="14"/>
  <c r="F256" i="14"/>
  <c r="F257" i="14"/>
  <c r="F258" i="14"/>
  <c r="F259" i="14"/>
  <c r="F260" i="14"/>
  <c r="F261" i="14"/>
  <c r="F262" i="14"/>
  <c r="F263" i="14"/>
  <c r="F264" i="14"/>
  <c r="F265" i="14"/>
  <c r="F266" i="14"/>
  <c r="F267" i="14"/>
  <c r="F268" i="14"/>
  <c r="F269" i="14"/>
  <c r="F270" i="14"/>
  <c r="F271" i="14"/>
  <c r="F272" i="14"/>
  <c r="F273" i="14"/>
  <c r="F274" i="14"/>
  <c r="F275" i="14"/>
  <c r="F276" i="14"/>
  <c r="F277" i="14"/>
  <c r="F278" i="14"/>
  <c r="F279" i="14"/>
  <c r="F280" i="14"/>
  <c r="F281" i="14"/>
  <c r="F282" i="14"/>
  <c r="F283" i="14"/>
  <c r="F284" i="14"/>
  <c r="F285" i="14"/>
  <c r="F286" i="14"/>
  <c r="F287" i="14"/>
  <c r="F288" i="14"/>
  <c r="F289" i="14"/>
  <c r="F290" i="14"/>
  <c r="F291" i="14"/>
  <c r="F292" i="14"/>
  <c r="F293" i="14"/>
  <c r="F294" i="14"/>
  <c r="F295" i="14"/>
  <c r="F296" i="14"/>
  <c r="F297" i="14"/>
  <c r="F298" i="14"/>
  <c r="F299" i="14"/>
  <c r="F300" i="14"/>
  <c r="F301" i="14"/>
  <c r="F302" i="14"/>
  <c r="F303" i="14"/>
  <c r="F304" i="14"/>
  <c r="F305" i="14"/>
  <c r="F306" i="14"/>
  <c r="F307" i="14"/>
  <c r="F308" i="14"/>
  <c r="F309" i="14"/>
  <c r="F310" i="14"/>
  <c r="F311" i="14"/>
  <c r="F312" i="14"/>
  <c r="F313" i="14"/>
  <c r="F314" i="14"/>
  <c r="F315" i="14"/>
  <c r="F316" i="14"/>
  <c r="F317" i="14"/>
  <c r="F318" i="14"/>
  <c r="F319" i="14"/>
  <c r="F320" i="14"/>
  <c r="F321" i="14"/>
  <c r="F322" i="14"/>
  <c r="F323" i="14"/>
  <c r="F324" i="14"/>
  <c r="F325" i="14"/>
  <c r="F326" i="14"/>
  <c r="F327" i="14"/>
  <c r="F328" i="14"/>
  <c r="F329" i="14"/>
  <c r="F330" i="14"/>
  <c r="F331" i="14"/>
  <c r="F332" i="14"/>
  <c r="F333" i="14"/>
  <c r="F334" i="14"/>
  <c r="F335" i="14"/>
  <c r="F336" i="14"/>
  <c r="F337" i="14"/>
  <c r="F338" i="14"/>
  <c r="F339" i="14"/>
  <c r="F340" i="14"/>
  <c r="F341" i="14"/>
  <c r="F342" i="14"/>
  <c r="F343" i="14"/>
  <c r="F344" i="14"/>
  <c r="F345" i="14"/>
  <c r="F346" i="14"/>
  <c r="F347" i="14"/>
  <c r="F348" i="14"/>
  <c r="F349" i="14"/>
  <c r="F350" i="14"/>
  <c r="F351" i="14"/>
  <c r="F352" i="14"/>
  <c r="F353" i="14"/>
  <c r="F354" i="14"/>
  <c r="F355" i="14"/>
  <c r="F356" i="14"/>
  <c r="F357" i="14"/>
  <c r="F358" i="14"/>
  <c r="F359" i="14"/>
  <c r="F360" i="14"/>
  <c r="F361" i="14"/>
  <c r="F362" i="14"/>
  <c r="F363" i="14"/>
  <c r="F364" i="14"/>
  <c r="F365" i="14"/>
  <c r="F366" i="14"/>
  <c r="F367" i="14"/>
  <c r="F368" i="14"/>
  <c r="F369" i="14"/>
  <c r="F370" i="14"/>
  <c r="F371" i="14"/>
  <c r="F372" i="14"/>
  <c r="F373" i="14"/>
  <c r="F374" i="14"/>
  <c r="F375" i="14"/>
  <c r="F376" i="14"/>
  <c r="F377" i="14"/>
  <c r="F378" i="14"/>
  <c r="F379" i="14"/>
  <c r="F380" i="14"/>
  <c r="F381" i="14"/>
  <c r="F382" i="14"/>
  <c r="F383" i="14"/>
  <c r="F384" i="14"/>
  <c r="F385" i="14"/>
  <c r="F386" i="14"/>
  <c r="F387" i="14"/>
  <c r="F388" i="14"/>
  <c r="F389" i="14"/>
  <c r="F390" i="14"/>
  <c r="F391" i="14"/>
  <c r="F392" i="14"/>
  <c r="F393" i="14"/>
  <c r="F394" i="14"/>
  <c r="F395" i="14"/>
  <c r="F396" i="14"/>
  <c r="F397" i="14"/>
  <c r="F398" i="14"/>
  <c r="F399" i="14"/>
  <c r="F400" i="14"/>
  <c r="F401" i="14"/>
  <c r="F402" i="14"/>
  <c r="F403" i="14"/>
  <c r="F404" i="14"/>
  <c r="F405" i="14"/>
  <c r="F406" i="14"/>
  <c r="F407" i="14"/>
  <c r="F408" i="14"/>
  <c r="F409" i="14"/>
  <c r="F410" i="14"/>
  <c r="F411" i="14"/>
  <c r="F412" i="14"/>
  <c r="F413" i="14"/>
  <c r="F414" i="14"/>
  <c r="F415" i="14"/>
  <c r="F416" i="14"/>
  <c r="F417" i="14"/>
  <c r="F418" i="14"/>
  <c r="F419" i="14"/>
  <c r="F420" i="14"/>
  <c r="F421" i="14"/>
  <c r="F422" i="14"/>
  <c r="F423" i="14"/>
  <c r="F424" i="14"/>
  <c r="F425" i="14"/>
  <c r="F426" i="14"/>
  <c r="F427" i="14"/>
  <c r="F428" i="14"/>
  <c r="F429" i="14"/>
  <c r="F430" i="14"/>
  <c r="F431" i="14"/>
  <c r="F432" i="14"/>
  <c r="F433" i="14"/>
  <c r="F434" i="14"/>
  <c r="F435" i="14"/>
  <c r="F436" i="14"/>
  <c r="F437" i="14"/>
  <c r="F438" i="14"/>
  <c r="F439" i="14"/>
  <c r="F440" i="14"/>
  <c r="F441" i="14"/>
  <c r="F442" i="14"/>
  <c r="F443" i="14"/>
  <c r="F444" i="14"/>
  <c r="F445" i="14"/>
  <c r="F446" i="14"/>
  <c r="F447" i="14"/>
  <c r="F448" i="14"/>
  <c r="F449" i="14"/>
  <c r="F450" i="14"/>
  <c r="F451" i="14"/>
  <c r="F452" i="14"/>
  <c r="F453" i="14"/>
  <c r="F454" i="14"/>
  <c r="F455" i="14"/>
  <c r="F456" i="14"/>
  <c r="F457" i="14"/>
  <c r="F458" i="14"/>
  <c r="F459" i="14"/>
  <c r="F460" i="14"/>
  <c r="F461" i="14"/>
  <c r="F462" i="14"/>
  <c r="F463" i="14"/>
  <c r="F464" i="14"/>
  <c r="F465" i="14"/>
  <c r="F466" i="14"/>
  <c r="F467" i="14"/>
  <c r="F468" i="14"/>
  <c r="F469" i="14"/>
  <c r="F470" i="14"/>
  <c r="F471" i="14"/>
  <c r="F472" i="14"/>
  <c r="F473" i="14"/>
  <c r="F474" i="14"/>
  <c r="F475" i="14"/>
  <c r="F476" i="14"/>
  <c r="F477" i="14"/>
  <c r="F478" i="14"/>
  <c r="F479" i="14"/>
  <c r="F480" i="14"/>
  <c r="F481" i="14"/>
  <c r="F482" i="14"/>
  <c r="F483" i="14"/>
  <c r="F484" i="14"/>
  <c r="F485" i="14"/>
  <c r="F486" i="14"/>
  <c r="F487" i="14"/>
  <c r="F488" i="14"/>
  <c r="F489" i="14"/>
  <c r="F490" i="14"/>
  <c r="F491" i="14"/>
  <c r="F492" i="14"/>
  <c r="F493" i="14"/>
  <c r="F494" i="14"/>
  <c r="F495" i="14"/>
  <c r="F496" i="14"/>
  <c r="F497" i="14"/>
  <c r="F498" i="14"/>
  <c r="F499" i="14"/>
  <c r="F500" i="14"/>
  <c r="F501" i="14"/>
  <c r="F502" i="14"/>
  <c r="F503" i="14"/>
  <c r="F504" i="14"/>
  <c r="F505" i="14"/>
  <c r="F506" i="14"/>
  <c r="F507" i="14"/>
  <c r="F508" i="14"/>
  <c r="F509" i="14"/>
  <c r="F510" i="14"/>
  <c r="F511" i="14"/>
  <c r="F512" i="14"/>
  <c r="F513" i="14"/>
  <c r="F514" i="14"/>
  <c r="F515" i="14"/>
  <c r="F516" i="14"/>
  <c r="F517" i="14"/>
  <c r="F518" i="14"/>
  <c r="F519" i="14"/>
  <c r="F520" i="14"/>
  <c r="F521" i="14"/>
  <c r="F522" i="14"/>
  <c r="F523" i="14"/>
  <c r="F524" i="14"/>
  <c r="F525" i="14"/>
  <c r="F526" i="14"/>
  <c r="F527" i="14"/>
  <c r="F528" i="14"/>
  <c r="F529" i="14"/>
  <c r="F530" i="14"/>
  <c r="F531" i="14"/>
  <c r="F532" i="14"/>
  <c r="F533" i="14"/>
  <c r="O16" i="16"/>
  <c r="H17" i="16"/>
  <c r="J17" i="16" s="1"/>
  <c r="O17" i="16" s="1"/>
  <c r="H18" i="16"/>
  <c r="J18" i="16" l="1"/>
  <c r="O18" i="16" s="1"/>
  <c r="W21" i="13"/>
  <c r="D20" i="13"/>
  <c r="Q20" i="13" s="1"/>
  <c r="D21" i="13"/>
  <c r="D22" i="13"/>
  <c r="D23" i="13"/>
  <c r="D24" i="13"/>
  <c r="Q24" i="13" s="1"/>
  <c r="M18" i="16"/>
  <c r="C25" i="13"/>
  <c r="M16" i="16"/>
  <c r="K16" i="16"/>
  <c r="W22" i="13"/>
  <c r="W23" i="13" s="1"/>
  <c r="W24" i="13" s="1"/>
  <c r="W25" i="13" s="1"/>
  <c r="W26" i="13" s="1"/>
  <c r="K17" i="16"/>
  <c r="M17" i="16"/>
  <c r="K18" i="16" l="1"/>
  <c r="W1" i="13"/>
  <c r="M25" i="13"/>
  <c r="O25" i="13" s="1"/>
  <c r="Q25" i="13"/>
  <c r="M20" i="13"/>
  <c r="O20" i="13" s="1"/>
  <c r="Q22" i="13"/>
  <c r="M22" i="13"/>
  <c r="O22" i="13" s="1"/>
  <c r="M24" i="13"/>
  <c r="O24" i="13" s="1"/>
  <c r="M21" i="13"/>
  <c r="O21" i="13" s="1"/>
  <c r="Q21" i="13"/>
  <c r="M23" i="13"/>
  <c r="O23" i="13" s="1"/>
  <c r="Q2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Gerton Starink</author>
  </authors>
  <commentList>
    <comment ref="J15" authorId="0" shapeId="0" xr:uid="{00000000-0006-0000-0000-000001000000}">
      <text>
        <r>
          <rPr>
            <b/>
            <sz val="9"/>
            <color indexed="81"/>
            <rFont val="Tahoma"/>
            <family val="2"/>
          </rPr>
          <t>Gerton Starink:</t>
        </r>
        <r>
          <rPr>
            <sz val="9"/>
            <color indexed="81"/>
            <rFont val="Tahoma"/>
            <family val="2"/>
          </rPr>
          <t xml:space="preserve">
is de totale oppervlakte van de opening in 1 gevel. Bij v=2,5 dus deze oppervlakte 2x (in minimaal 
2 gevels of gevel-dak) aanbrengen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Jelle Willems</author>
    <author>tc={377EB322-3A3F-4B99-972F-6888977E86DB}</author>
  </authors>
  <commentList>
    <comment ref="P84" authorId="0" shapeId="0" xr:uid="{390F309A-4DC4-47E9-B566-74D85F7E0920}">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86" authorId="1" shapeId="0" xr:uid="{377EB322-3A3F-4B99-972F-6888977E86DB}">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Jelle Willems</author>
    <author>tc={03762ACC-D580-4CE5-AE11-9829DDAD774D}</author>
  </authors>
  <commentList>
    <comment ref="P84" authorId="0" shapeId="0" xr:uid="{F2D10812-61AC-4AD0-8ED6-1979A6EAEFA5}">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86" authorId="1" shapeId="0" xr:uid="{03762ACC-D580-4CE5-AE11-9829DDAD774D}">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Jelle Willems</author>
    <author>tc={A8F410D3-4884-4168-B4FC-CC848FE4A259}</author>
  </authors>
  <commentList>
    <comment ref="P84" authorId="0" shapeId="0" xr:uid="{42BB4E61-6F4E-4D19-BC6F-2907378B5AC4}">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86" authorId="1" shapeId="0" xr:uid="{A8F410D3-4884-4168-B4FC-CC848FE4A259}">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Jelle Willems</author>
    <author>tc={CAF199D3-E74F-4022-9574-14AD9ED51A1C}</author>
  </authors>
  <commentList>
    <comment ref="P84" authorId="0" shapeId="0" xr:uid="{C31A703B-DEE6-4044-A5BB-78610F17BAEB}">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86" authorId="1" shapeId="0" xr:uid="{CAF199D3-E74F-4022-9574-14AD9ED51A1C}">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Jelle Willems</author>
    <author>tc={9E24EA6D-63C6-4B63-8EA5-FE24E3FB028E}</author>
  </authors>
  <commentList>
    <comment ref="P84" authorId="0" shapeId="0" xr:uid="{C66D95A2-8B3E-41A0-A852-0D0C5B3FB59F}">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86" authorId="1" shapeId="0" xr:uid="{9E24EA6D-63C6-4B63-8EA5-FE24E3FB028E}">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Jelle Willems</author>
    <author>tc={592DFEA0-E4C5-4337-B01A-2DE60BC45590}</author>
  </authors>
  <commentList>
    <comment ref="P77" authorId="0" shapeId="0" xr:uid="{9056FA2E-78CF-4E4E-9AF5-B1CC5ED6A2D9}">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65" authorId="1" shapeId="0" xr:uid="{592DFEA0-E4C5-4337-B01A-2DE60BC45590}">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Jelle Willems</author>
    <author>tc={2C1E3090-D675-4680-AEF8-F301D93976FE}</author>
  </authors>
  <commentList>
    <comment ref="P77" authorId="0" shapeId="0" xr:uid="{AC1AC8BD-B6B6-4B90-93A3-38DFD0E4BB64}">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65" authorId="1" shapeId="0" xr:uid="{2C1E3090-D675-4680-AEF8-F301D93976FE}">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Jelle Willems</author>
    <author>tc={EF99098F-A7F4-4D02-8768-5EA34B782D47}</author>
  </authors>
  <commentList>
    <comment ref="P67" authorId="0" shapeId="0" xr:uid="{A1572BDA-ECF6-475C-88B8-744D38094D36}">
      <text>
        <r>
          <rPr>
            <sz val="9"/>
            <color indexed="81"/>
            <rFont val="Tahoma"/>
            <family val="2"/>
          </rPr>
          <t>Cellen worden gekleurd door middel van voorwaardelijke opmaak. Als niet de goede kleur wordt weergeven, kan de voorwaardelijke opmaak handmatig worden verwijderd. Dit wordt gedaan door op de specifieke cel te gaan staan. Vervolgens op de tab start -&gt; voorwaardelijke opmaak -&gt; regels wissen  -&gt; regels uit geselecteerde cellen verwijderen.</t>
        </r>
      </text>
    </comment>
    <comment ref="O141" authorId="1" shapeId="0" xr:uid="{EF99098F-A7F4-4D02-8768-5EA34B782D47}">
      <text>
        <t>[Threaded comment]
Your version of Excel allows you to read this threaded comment; however, any edits to it will get removed if the file is opened in a newer version of Excel. Learn more: https://go.microsoft.com/fwlink/?linkid=870924
Comment:
    let op verschillende manieren van spuien bepalen:
- let op inwenidge hoek en uitwendige hoek en luchtsnelheid
- verschil op verblijfsgebied niveau en verblijfsruimteniveau.
nagaan bij Sandra of Wouter!!!!</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JKL</author>
  </authors>
  <commentList>
    <comment ref="F19" authorId="0" shapeId="0" xr:uid="{00000000-0006-0000-0700-000001000000}">
      <text>
        <r>
          <rPr>
            <b/>
            <sz val="10"/>
            <color indexed="81"/>
            <rFont val="Tahoma"/>
            <family val="2"/>
          </rPr>
          <t xml:space="preserve">Let op:
</t>
        </r>
        <r>
          <rPr>
            <sz val="10"/>
            <color indexed="81"/>
            <rFont val="Tahoma"/>
            <family val="2"/>
          </rPr>
          <t xml:space="preserve">enkel het aantal gevel daken tellen waarin een gevelopening zit, welke geopend kan worden.
OP WONINGNIVEAU
iets zeggen over hellingshoek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<sst xmlns="http://schemas.openxmlformats.org/spreadsheetml/2006/main" count="10658" uniqueCount="1163">
  <si>
    <t>project</t>
  </si>
  <si>
    <t>projectnummer</t>
  </si>
  <si>
    <t>opdrachtgever</t>
  </si>
  <si>
    <t>datum</t>
  </si>
  <si>
    <t>afmetingen</t>
  </si>
  <si>
    <t>&lt;OPDRACHT&gt;</t>
  </si>
  <si>
    <t>&lt;OPDRACHTNUMMER&gt;</t>
  </si>
  <si>
    <t>&lt;OPDRACHTGEVER&gt;</t>
  </si>
  <si>
    <t>gebruiksfunctie:</t>
  </si>
  <si>
    <t>woonfunctie</t>
  </si>
  <si>
    <t>woonfunctie gelegen in woongebouw</t>
  </si>
  <si>
    <t>bijeenkomstfunctie</t>
  </si>
  <si>
    <t>andere woonfunctie</t>
  </si>
  <si>
    <t>celfunctie</t>
  </si>
  <si>
    <t>gezondheidszorgfunctie</t>
  </si>
  <si>
    <t xml:space="preserve"> </t>
  </si>
  <si>
    <t>totaal</t>
  </si>
  <si>
    <t>woonfunctie van een woonwagen</t>
  </si>
  <si>
    <t>b1</t>
  </si>
  <si>
    <t>b2</t>
  </si>
  <si>
    <t xml:space="preserve">b3 </t>
  </si>
  <si>
    <t>b4</t>
  </si>
  <si>
    <t>b5</t>
  </si>
  <si>
    <t>VG</t>
  </si>
  <si>
    <t>VG per m²</t>
  </si>
  <si>
    <t>min</t>
  </si>
  <si>
    <t>ruimte voor alcoholgebruik</t>
  </si>
  <si>
    <t>ruimte voor binnenluchtvervuilende activiteiten</t>
  </si>
  <si>
    <t>n.t.</t>
  </si>
  <si>
    <t>VR per m²</t>
  </si>
  <si>
    <t>industriefunctie</t>
  </si>
  <si>
    <t>kantoorfunctie</t>
  </si>
  <si>
    <t>VENTILATIE</t>
  </si>
  <si>
    <t>SPUIVOORZIENING</t>
  </si>
  <si>
    <t>vereist</t>
  </si>
  <si>
    <t>nee</t>
  </si>
  <si>
    <t>ja</t>
  </si>
  <si>
    <t>VR</t>
  </si>
  <si>
    <t>ALGEMENE RUIMTEN</t>
  </si>
  <si>
    <t>DAGLICHT</t>
  </si>
  <si>
    <t>% VG</t>
  </si>
  <si>
    <t>m² VR</t>
  </si>
  <si>
    <t>bijeenkomst voor kinderopvang (spelactiviteiten)</t>
  </si>
  <si>
    <t>bijeenkomst voor kinderopvang (andere ruimte)</t>
  </si>
  <si>
    <t>dag en nacht met toilet</t>
  </si>
  <si>
    <t>dag en nacht zonder toilet</t>
  </si>
  <si>
    <t>andere ruimte</t>
  </si>
  <si>
    <t>TOEGANKELIJKHEIDSECTOR</t>
  </si>
  <si>
    <t>gebruiksoppervlak:</t>
  </si>
  <si>
    <t>VERBLIJFSGEBIED</t>
  </si>
  <si>
    <t>aanw.</t>
  </si>
  <si>
    <t>int. toeg.</t>
  </si>
  <si>
    <t>br</t>
  </si>
  <si>
    <t>h</t>
  </si>
  <si>
    <t>A</t>
  </si>
  <si>
    <t>VERBLIJFSRUIMTE</t>
  </si>
  <si>
    <t>4 m x 3 m</t>
  </si>
  <si>
    <t>3,3 m x 3,3 m</t>
  </si>
  <si>
    <t>oppervlak</t>
  </si>
  <si>
    <t>TOILETRUIMTE</t>
  </si>
  <si>
    <t>B1</t>
  </si>
  <si>
    <t>B2</t>
  </si>
  <si>
    <t>B3</t>
  </si>
  <si>
    <t>B4</t>
  </si>
  <si>
    <t>B5</t>
  </si>
  <si>
    <t>BADRUIMTE</t>
  </si>
  <si>
    <r>
      <t>woonfunctie met een go &gt; 500m</t>
    </r>
    <r>
      <rPr>
        <vertAlign val="superscript"/>
        <sz val="10"/>
        <rFont val="Arial"/>
        <family val="2"/>
      </rPr>
      <t xml:space="preserve">2 </t>
    </r>
    <r>
      <rPr>
        <sz val="10"/>
        <rFont val="Arial"/>
        <family val="2"/>
      </rPr>
      <t>niet in woongebouw en niet van woonwagen</t>
    </r>
  </si>
  <si>
    <t>woonfunctie niet gelegen in woongebouw (en niet in woonwagen)</t>
  </si>
  <si>
    <t>meterruimte</t>
  </si>
  <si>
    <t>liftschacht</t>
  </si>
  <si>
    <t>opslaan afval</t>
  </si>
  <si>
    <t>gvkr</t>
  </si>
  <si>
    <t>2 l/s per m3</t>
  </si>
  <si>
    <t>minimaal 2l/s</t>
  </si>
  <si>
    <t>100 l/s</t>
  </si>
  <si>
    <t>logiesfunctie niet gelegen in een logiesgebouw</t>
  </si>
  <si>
    <t>logiesfunctie gelegen in een logiesgebouw</t>
  </si>
  <si>
    <t>eis 1</t>
  </si>
  <si>
    <t>eis 2</t>
  </si>
  <si>
    <t>h = 12,5 of woongebouw &gt; 3500 m2 en h = 1,5</t>
  </si>
  <si>
    <t>wf &gt; 500m2</t>
  </si>
  <si>
    <r>
      <t>woonfunctie met een go &lt; 50 m</t>
    </r>
    <r>
      <rPr>
        <vertAlign val="superscript"/>
        <sz val="10"/>
        <rFont val="Arial"/>
        <family val="2"/>
      </rPr>
      <t xml:space="preserve">2 </t>
    </r>
    <r>
      <rPr>
        <sz val="10"/>
        <rFont val="Arial"/>
        <family val="2"/>
      </rPr>
      <t>in woongebouw</t>
    </r>
  </si>
  <si>
    <r>
      <t>woonfunctie met een go &gt; 500 m</t>
    </r>
    <r>
      <rPr>
        <vertAlign val="superscript"/>
        <sz val="10"/>
        <rFont val="Arial"/>
        <family val="2"/>
      </rPr>
      <t xml:space="preserve">2 </t>
    </r>
    <r>
      <rPr>
        <sz val="10"/>
        <rFont val="Arial"/>
        <family val="2"/>
      </rPr>
      <t>niet van woonwagen</t>
    </r>
  </si>
  <si>
    <t>ruimte voor het aanschouwen van sport</t>
  </si>
  <si>
    <t>bijeenkomst voor kinderopvang (slapen)</t>
  </si>
  <si>
    <t>lid 5</t>
  </si>
  <si>
    <t>lid 1 of lid 4</t>
  </si>
  <si>
    <t>ruimte voor bezoekers</t>
  </si>
  <si>
    <t>ruimte uitsluitend voor bezoekers</t>
  </si>
  <si>
    <t>ruimte voor aan bed gebonden patiënten</t>
  </si>
  <si>
    <t>lichte industriefunctie</t>
  </si>
  <si>
    <t>andere industriefunctie (binnenluchtvervuilende activiteiten)</t>
  </si>
  <si>
    <t>andere industriefunctie (andere ruimte)</t>
  </si>
  <si>
    <t>ruimte voor uitoefenen van een sport</t>
  </si>
  <si>
    <t>ruimte voor winkelen publiek</t>
  </si>
  <si>
    <t>stallen van motorvoertuigen</t>
  </si>
  <si>
    <t>opslaan van afval</t>
  </si>
  <si>
    <t>andere overige gebruiksfuncie</t>
  </si>
  <si>
    <t xml:space="preserve"> - </t>
  </si>
  <si>
    <t>logiesfunctie</t>
  </si>
  <si>
    <t>onderwijsfunctie</t>
  </si>
  <si>
    <t>sportfunctie</t>
  </si>
  <si>
    <t>winkelfunctie</t>
  </si>
  <si>
    <t>overige gebruiksfunctie</t>
  </si>
  <si>
    <t>?</t>
  </si>
  <si>
    <t>eis 3</t>
  </si>
  <si>
    <t>niet-gemeenschappelijk vg voor kortstondig verblijf</t>
  </si>
  <si>
    <t>niet-gemeenschappelijk vg dag en nacht met toilet</t>
  </si>
  <si>
    <t>Art 4.4</t>
  </si>
  <si>
    <t>4.21 lid 1</t>
  </si>
  <si>
    <t>4.21 lid 3</t>
  </si>
  <si>
    <t>Bouwbesluit artikel</t>
  </si>
  <si>
    <t>4.24 lid 1</t>
  </si>
  <si>
    <t>4.24 lid 2</t>
  </si>
  <si>
    <t>4.24 lid 3</t>
  </si>
  <si>
    <r>
      <t xml:space="preserve">ruimte niet voor </t>
    </r>
    <r>
      <rPr>
        <sz val="10"/>
        <rFont val="Arial"/>
        <family val="2"/>
      </rPr>
      <t>dag en nacht met toilet</t>
    </r>
  </si>
  <si>
    <r>
      <t xml:space="preserve">ruimte niet voor </t>
    </r>
    <r>
      <rPr>
        <sz val="10"/>
        <rFont val="Arial"/>
        <family val="2"/>
      </rPr>
      <t>dag en nacht zonder toilet</t>
    </r>
  </si>
  <si>
    <t>verblijfsgebied voor lichamelijke oefening</t>
  </si>
  <si>
    <t>winkelfunctie voor het slijtersbedrijf</t>
  </si>
  <si>
    <t>indien 55% van g.o. = toilet, bad of technische ruimte (art 4,21 lid 5)</t>
  </si>
  <si>
    <t>4.23 lid 1/2</t>
  </si>
  <si>
    <t>4.26 lid 1</t>
  </si>
  <si>
    <t>4.28 lid 1</t>
  </si>
  <si>
    <t>4.28 lid 2</t>
  </si>
  <si>
    <t>4.28 lid 3</t>
  </si>
  <si>
    <t>niet-gemeenschappelijke vr uitsluitend voor dagverblijf</t>
  </si>
  <si>
    <t>vr voor personen niet ouder dan 5 jaar</t>
  </si>
  <si>
    <t>vg/vr in logiesgebouw in toegankelijkheidsgebied</t>
  </si>
  <si>
    <t>vg/vr niet in logiesgebouw in toegankelijkheidsgebied</t>
  </si>
  <si>
    <t>voor personenvervoer met  g.o. &gt;50 m²</t>
  </si>
  <si>
    <t>&gt;360 m²</t>
  </si>
  <si>
    <t>woningtype:</t>
  </si>
  <si>
    <t>verblijfsruimten</t>
  </si>
  <si>
    <t>ruimte</t>
  </si>
  <si>
    <t>kozijnmerk</t>
  </si>
  <si>
    <t xml:space="preserve">aantal </t>
  </si>
  <si>
    <r>
      <t xml:space="preserve">Tabel 1 - Belemmeringsfactor </t>
    </r>
    <r>
      <rPr>
        <i/>
        <sz val="10"/>
        <rFont val="Arial"/>
        <family val="2"/>
      </rPr>
      <t>C</t>
    </r>
    <r>
      <rPr>
        <vertAlign val="subscript"/>
        <sz val="10"/>
        <rFont val="Arial"/>
        <family val="2"/>
      </rPr>
      <t>b;</t>
    </r>
    <r>
      <rPr>
        <i/>
        <vertAlign val="subscript"/>
        <sz val="10"/>
        <rFont val="Arial"/>
        <family val="2"/>
      </rPr>
      <t>i</t>
    </r>
    <r>
      <rPr>
        <sz val="10"/>
        <rFont val="Arial"/>
        <family val="2"/>
      </rPr>
      <t xml:space="preserve"> voor verticale en naar buiten hellende daglichtopeningen </t>
    </r>
    <r>
      <rPr>
        <i/>
        <sz val="10"/>
        <rFont val="Arial"/>
        <family val="2"/>
      </rPr>
      <t xml:space="preserve">i </t>
    </r>
    <r>
      <rPr>
        <sz val="10"/>
        <rFont val="Arial"/>
        <family val="2"/>
      </rPr>
      <t xml:space="preserve">als functie van de belemmeringshoek </t>
    </r>
    <r>
      <rPr>
        <i/>
        <sz val="10"/>
        <rFont val="Arial"/>
        <family val="2"/>
      </rPr>
      <t>α</t>
    </r>
    <r>
      <rPr>
        <sz val="10"/>
        <rFont val="Arial"/>
        <family val="2"/>
      </rPr>
      <t xml:space="preserve"> (voor tegenoverliggende belemmeringen) en </t>
    </r>
    <r>
      <rPr>
        <i/>
        <sz val="10"/>
        <rFont val="Arial"/>
        <family val="2"/>
      </rPr>
      <t>β</t>
    </r>
    <r>
      <rPr>
        <sz val="10"/>
        <rFont val="Arial"/>
        <family val="2"/>
      </rPr>
      <t xml:space="preserve"> (voor overstekken)</t>
    </r>
  </si>
  <si>
    <r>
      <t xml:space="preserve">β </t>
    </r>
    <r>
      <rPr>
        <b/>
        <sz val="10"/>
        <rFont val="Arial"/>
        <family val="2"/>
      </rPr>
      <t>in °</t>
    </r>
  </si>
  <si>
    <t xml:space="preserve"> α in °</t>
  </si>
  <si>
    <t>Van</t>
  </si>
  <si>
    <t>&lt;ruimte&gt;</t>
  </si>
  <si>
    <t>®</t>
  </si>
  <si>
    <t>&lt;type&gt;</t>
  </si>
  <si>
    <t>merk</t>
  </si>
  <si>
    <t>soort ventilatievoorziening</t>
  </si>
  <si>
    <t>DucoFlat 12</t>
  </si>
  <si>
    <t>Duco</t>
  </si>
  <si>
    <t>rooster</t>
  </si>
  <si>
    <t>(voor schuiframen)</t>
  </si>
  <si>
    <t>Ducogrille G 30P/ M 30P</t>
  </si>
  <si>
    <t>2,53 l/s/dm2 bij 1 Pa</t>
  </si>
  <si>
    <t>(muurrooster)</t>
  </si>
  <si>
    <t>DucoKlep 25</t>
  </si>
  <si>
    <t>DucoLine 10 ZR</t>
  </si>
  <si>
    <t>DucoLine 17 ZR</t>
  </si>
  <si>
    <t>DucoLine 22 ZR</t>
  </si>
  <si>
    <t>suskast</t>
  </si>
  <si>
    <t>DucoSmart 60</t>
  </si>
  <si>
    <t>DucoTon 10</t>
  </si>
  <si>
    <t>DucoTon 18</t>
  </si>
  <si>
    <t>DucoTop 50 ZR</t>
  </si>
  <si>
    <t>GlasMax 10</t>
  </si>
  <si>
    <t>GlasMax 15</t>
  </si>
  <si>
    <t>GlasMax 20</t>
  </si>
  <si>
    <t>HR 14 ZR (VERVALLEN)</t>
  </si>
  <si>
    <t>CR/FGR: Roosters NIET meer leverbaar</t>
  </si>
  <si>
    <t>HR 17 ZR (VERVALLEN)</t>
  </si>
  <si>
    <t>HR 23 ZR (VERVALLEN)</t>
  </si>
  <si>
    <t>LuxTronic</t>
  </si>
  <si>
    <t>(hoort bij DucoTronic Systeem</t>
  </si>
  <si>
    <t>muurdemper</t>
  </si>
  <si>
    <t>MiniMax 10</t>
  </si>
  <si>
    <t>MiniMax 15</t>
  </si>
  <si>
    <t>MiniMax 20</t>
  </si>
  <si>
    <t>MultiTronic</t>
  </si>
  <si>
    <t>14 per rooster</t>
  </si>
  <si>
    <t>luchttoevoerbox</t>
  </si>
  <si>
    <t>Silenzio 200 Plus Uno</t>
  </si>
  <si>
    <t>Silenzio 200 Uno</t>
  </si>
  <si>
    <t>Silenzio 250 Uno</t>
  </si>
  <si>
    <t>StylistaTronic Alto 13</t>
  </si>
  <si>
    <t>StylistaTronic Alto 19</t>
  </si>
  <si>
    <t>StylistaTronic Corto 13</t>
  </si>
  <si>
    <t>StylistaTronic Corto 21</t>
  </si>
  <si>
    <t>StylistaTronic Largo 11</t>
  </si>
  <si>
    <t>StylistaTronic Largo 20</t>
  </si>
  <si>
    <t>StylistaTronic Medio 10</t>
  </si>
  <si>
    <t>StylistaTronic Medio 19</t>
  </si>
  <si>
    <t>TopTronic</t>
  </si>
  <si>
    <t>SusStream luna 14 ZR</t>
  </si>
  <si>
    <t>SusStream luna 24 ZR</t>
  </si>
  <si>
    <t>SusStream luna 26 ZR</t>
  </si>
  <si>
    <t>SusStream luna 27 ZR</t>
  </si>
  <si>
    <t>SusStream marsa 14 ZR</t>
  </si>
  <si>
    <t>SusStream marsa 22 ZR</t>
  </si>
  <si>
    <t>SusStream marsa 27 ZR</t>
  </si>
  <si>
    <t>SusStream marsa 28 ZR</t>
  </si>
  <si>
    <t>SusStream suna 12 ZR</t>
  </si>
  <si>
    <t>SusStream suna 18 ZR</t>
  </si>
  <si>
    <t>SusStream suna 25 ZR</t>
  </si>
  <si>
    <t>SusStream suna 27 ZR</t>
  </si>
  <si>
    <t>SusStream terra 13 ZR</t>
  </si>
  <si>
    <t>SusStream terra 21 ZR</t>
  </si>
  <si>
    <t>SusStream terra 26 ZR</t>
  </si>
  <si>
    <t>SusStream terra 27 ZR</t>
  </si>
  <si>
    <t>Topstream 14 ZR</t>
  </si>
  <si>
    <t>Topstream 21 ZR</t>
  </si>
  <si>
    <t>Buva</t>
  </si>
  <si>
    <t>Alusta</t>
  </si>
  <si>
    <t>DucoFit 50 ZR</t>
  </si>
  <si>
    <t>onzichtbare kalfplaatsing</t>
  </si>
  <si>
    <t>onzichtbare plaatsing/ discrete opstelling, geen kalfplaatsing</t>
  </si>
  <si>
    <t>plaatsing in ramen</t>
  </si>
  <si>
    <t>DucoKlep 15</t>
  </si>
  <si>
    <t>susrooster</t>
  </si>
  <si>
    <t>Ducoklep 17</t>
  </si>
  <si>
    <t>plaatsing op glas, toe te passen bij ducotronic</t>
  </si>
  <si>
    <t>onzichtbare plaatsing, toepasssen bij ducotronic</t>
  </si>
  <si>
    <t>DucoMax Alto 10 ZR A</t>
  </si>
  <si>
    <t>DucoMax Alto 10 ZR B</t>
  </si>
  <si>
    <t>DucoMax Alto 10 ZR C</t>
  </si>
  <si>
    <t>DucoMax Alto 10 ZR D</t>
  </si>
  <si>
    <t>DucoMax Alto 15 ZR A</t>
  </si>
  <si>
    <t>DucoMax Alto 15 ZR B</t>
  </si>
  <si>
    <t>DucoMax Alto 15 ZR C</t>
  </si>
  <si>
    <t>DucoMax Alto 15 ZR D</t>
  </si>
  <si>
    <t>inbouwoptie A</t>
  </si>
  <si>
    <t>inbouwoptie B</t>
  </si>
  <si>
    <t>inbouwoptie C</t>
  </si>
  <si>
    <t>inbouwoptie D</t>
  </si>
  <si>
    <t>DucoMax Alto 20 ZR A</t>
  </si>
  <si>
    <t>DucoMax Alto 25 ZR A</t>
  </si>
  <si>
    <t>DucoMax Corto 10 ZR A</t>
  </si>
  <si>
    <t>DucoMax Corto 15 ZR A</t>
  </si>
  <si>
    <t>DucoMax Corto 20 ZR A</t>
  </si>
  <si>
    <t>DucoMax Corto 25 ZR A</t>
  </si>
  <si>
    <t>DucoMax Largo 10 ZR A</t>
  </si>
  <si>
    <t>DucoMax Largo 15 ZR A</t>
  </si>
  <si>
    <t>DucoMax Largo 20 ZR A</t>
  </si>
  <si>
    <t>DucoMax Largo 25 ZR A</t>
  </si>
  <si>
    <t>DucoMax Medio 10 ZR A</t>
  </si>
  <si>
    <t>DucoMax Medio 15 ZR A</t>
  </si>
  <si>
    <t>DucoMax Medio 20 ZR A</t>
  </si>
  <si>
    <t>DucoMax Medio 25 ZR A</t>
  </si>
  <si>
    <t>v
[m/s]</t>
  </si>
  <si>
    <t>diverse</t>
  </si>
  <si>
    <t xml:space="preserve">eis
</t>
  </si>
  <si>
    <t xml:space="preserve"> x </t>
  </si>
  <si>
    <t>Æ</t>
  </si>
  <si>
    <t>dm³/s/m¹</t>
  </si>
  <si>
    <t>dm³/s</t>
  </si>
  <si>
    <t>&lt;merk&gt;</t>
  </si>
  <si>
    <t>&lt;verblijfsruimte&gt;</t>
  </si>
  <si>
    <t>aantal VG</t>
  </si>
  <si>
    <t>aantal VR</t>
  </si>
  <si>
    <t>Daglicht</t>
  </si>
  <si>
    <t>Ventilatie</t>
  </si>
  <si>
    <t>Spuiventilatie</t>
  </si>
  <si>
    <t xml:space="preserve">. </t>
  </si>
  <si>
    <t>Datum</t>
  </si>
  <si>
    <t>Aantal dagen oud</t>
  </si>
  <si>
    <t>Omschrijving</t>
  </si>
  <si>
    <t>Wanneer het aantal verblijfsruimten op 1 wordt gezet geeft excel een fout, de macro loopt vast.</t>
  </si>
  <si>
    <t>macro</t>
  </si>
  <si>
    <t>Type</t>
  </si>
  <si>
    <t>Aangemaakt door</t>
  </si>
  <si>
    <t>mha</t>
  </si>
  <si>
    <t>Op te lossen door</t>
  </si>
  <si>
    <t>-</t>
  </si>
  <si>
    <t>mha/mdu</t>
  </si>
  <si>
    <t>Mogelijkheid om meerdere roosters en overstroom voorzieningen per verblijfsruimten aan te geven, overleggen met mdu.</t>
  </si>
  <si>
    <t>mdu/dhe/mha</t>
  </si>
  <si>
    <t>zorgen dat de kleuren goed staan, de kleuren moeten duidelijk maken waar de gebruiker wel of niet wat moet invoeren</t>
  </si>
  <si>
    <t>gebruiker op een knop laten drukken (bijvoorbeeld bevestigen dat daglicht vr voldoet). Na het drukken op de knop (bevestigen) resultaat afdrukgereed maken (rood weghalen)</t>
  </si>
  <si>
    <t>10% toets zolder ruimte</t>
  </si>
  <si>
    <t>Status</t>
  </si>
  <si>
    <t>gesloten</t>
  </si>
  <si>
    <t>invoeren van verblijfsgebieden en verblijfsruimten. (15 verblijfsruimten, 10 verblijfsgebieden, 5 rijen per verblijfsgebied. Kozijnen en roosters door gebruiker in te voeren</t>
  </si>
  <si>
    <t>Overbodige gegevens verbergen, overleggen met mdu.</t>
  </si>
  <si>
    <t>per onderwerp informatie opnemen, bijvoorbeeld verwijzingen naar notities, normen en eventuele toelichting op het werkblad, overleggen met mdu.</t>
  </si>
  <si>
    <t>mdu</t>
  </si>
  <si>
    <t>VG en VR in één</t>
  </si>
  <si>
    <t>gelijkwaardige oplossing 10%VG / gekrijtstreepte oppervlak bij daglicht?</t>
  </si>
  <si>
    <t>mdu/mha</t>
  </si>
  <si>
    <t>nadenken over ventilatiebalansberekeningen</t>
  </si>
  <si>
    <t>oppervlakte vg overnemen tbv ventilatie (zie samenvoegen VG / VR)</t>
  </si>
  <si>
    <t>omdraaien kolom "merk" en "aantal"</t>
  </si>
  <si>
    <t xml:space="preserve">mdu </t>
  </si>
  <si>
    <t>printknop / verbergknop</t>
  </si>
  <si>
    <t>Cb-factor koppelen</t>
  </si>
  <si>
    <t>roostertype koppelen</t>
  </si>
  <si>
    <t>aantal rijen per toe te voegen VG</t>
  </si>
  <si>
    <t>aantal rijen per toe te voegen VR</t>
  </si>
  <si>
    <t>hulp in het gegevensblad zo afstemmen dat het aantal rijen per VG/VR is in te stellen door de gebruiker</t>
  </si>
  <si>
    <t>epsilon koppelen aan hellingshoek</t>
  </si>
  <si>
    <t xml:space="preserve">mha </t>
  </si>
  <si>
    <t>mhe aka dhe</t>
  </si>
  <si>
    <t>iets met de roosters doen,</t>
  </si>
  <si>
    <t>opmaak werkblad</t>
  </si>
  <si>
    <t>mdu/mhe/mha</t>
  </si>
  <si>
    <t>ventilatiebalansberekening, macro's op elkaar afstemmen</t>
  </si>
  <si>
    <t>Bingo 16</t>
  </si>
  <si>
    <t>Bingo 21</t>
  </si>
  <si>
    <t>Bingo 30</t>
  </si>
  <si>
    <t>ABC 16</t>
  </si>
  <si>
    <t>ABC 26</t>
  </si>
  <si>
    <t>Bingo Cybele 20</t>
  </si>
  <si>
    <t>Bingo Cybele 30</t>
  </si>
  <si>
    <t>Thermob 131 lamel</t>
  </si>
  <si>
    <t>Thermob 131 kap</t>
  </si>
  <si>
    <t>Thermob 151 lamel</t>
  </si>
  <si>
    <t>Thermob 151 kap</t>
  </si>
  <si>
    <t>Thermob 181 lamel</t>
  </si>
  <si>
    <t>Thermob 181 kap</t>
  </si>
  <si>
    <t>Bingo Celare</t>
  </si>
  <si>
    <t>Compacto</t>
  </si>
  <si>
    <t>schuifpuien</t>
  </si>
  <si>
    <t xml:space="preserve">Thermob 135 </t>
  </si>
  <si>
    <t>Thermob 155</t>
  </si>
  <si>
    <t>Thermob 185</t>
  </si>
  <si>
    <t>schuifpuien mogelijk</t>
  </si>
  <si>
    <t>BingoForte 100</t>
  </si>
  <si>
    <t>BingoForte 150</t>
  </si>
  <si>
    <t>BingoForte 200</t>
  </si>
  <si>
    <t>Virgo Alumien 100</t>
  </si>
  <si>
    <t>Virgo Alumien 150</t>
  </si>
  <si>
    <t>Virgo Alumien 200</t>
  </si>
  <si>
    <t>Virgo Alumien 250</t>
  </si>
  <si>
    <t>Virgo Belinda 100</t>
  </si>
  <si>
    <t>Virgo Belinda 150</t>
  </si>
  <si>
    <t>Virgo Belinda 200</t>
  </si>
  <si>
    <t>Virgo Belinda 250</t>
  </si>
  <si>
    <t>Virgo Claudia 100</t>
  </si>
  <si>
    <t>Virgo Claudia 150</t>
  </si>
  <si>
    <t>Virgo Claudia 200</t>
  </si>
  <si>
    <t>Virgo Claudia 250</t>
  </si>
  <si>
    <t>Virgo Desiree 100</t>
  </si>
  <si>
    <t>Virgo Desiree 150</t>
  </si>
  <si>
    <t>Virgo Desiree 200</t>
  </si>
  <si>
    <t>Virgo Desiree 250</t>
  </si>
  <si>
    <t>Virgo Maxime 100</t>
  </si>
  <si>
    <t>Virgo Maxime 150</t>
  </si>
  <si>
    <t>Virgo Maxime 200</t>
  </si>
  <si>
    <t>Virgo Maxime 250</t>
  </si>
  <si>
    <t>Max. geluidwerende presatie</t>
  </si>
  <si>
    <t>Taurus Eveline 110</t>
  </si>
  <si>
    <t>Taurus Eveline 150</t>
  </si>
  <si>
    <t>Taurus Eveline 200</t>
  </si>
  <si>
    <t>Taurus Eveline 250</t>
  </si>
  <si>
    <t>Taurus Felicia 110</t>
  </si>
  <si>
    <t>Taurus Felicia 150</t>
  </si>
  <si>
    <t>Taurus Felicia 200</t>
  </si>
  <si>
    <t>Taurus Felicia 250</t>
  </si>
  <si>
    <t>Taurus Gina 110</t>
  </si>
  <si>
    <t>Taurus Gina 150</t>
  </si>
  <si>
    <t>Taurus Gina 200</t>
  </si>
  <si>
    <t>Taurus Gina 250</t>
  </si>
  <si>
    <t>Taurus Hilde 110</t>
  </si>
  <si>
    <t>Taurus Hilde 150</t>
  </si>
  <si>
    <t>Taurus Hilde 200</t>
  </si>
  <si>
    <t>Taurus Hilde 250</t>
  </si>
  <si>
    <t>Taurus Hercules 150</t>
  </si>
  <si>
    <t>Taurus Hercules 200</t>
  </si>
  <si>
    <t>Taurus Hercules 250</t>
  </si>
  <si>
    <t>Taurus Hercules 100</t>
  </si>
  <si>
    <t>Cadet Standaard 110</t>
  </si>
  <si>
    <t>Cadet Standaard 150</t>
  </si>
  <si>
    <t>Cadet Standaard 200</t>
  </si>
  <si>
    <t>Cadet Plus 110</t>
  </si>
  <si>
    <t>Cadet Plus 150</t>
  </si>
  <si>
    <t>Cadet Plus 200</t>
  </si>
  <si>
    <t>Cadet Plus 250</t>
  </si>
  <si>
    <t>Cadet Extra 110</t>
  </si>
  <si>
    <t>Cadet Extra 150</t>
  </si>
  <si>
    <t>Cadet Extra 200</t>
  </si>
  <si>
    <t>Cadet Extra 250</t>
  </si>
  <si>
    <t>Cadet Super 110</t>
  </si>
  <si>
    <t>Cadet Super 150</t>
  </si>
  <si>
    <t>Cadet Super 200</t>
  </si>
  <si>
    <t>Cadet Super 250</t>
  </si>
  <si>
    <t>Cadet HVH Standaard 110</t>
  </si>
  <si>
    <t>Cadet HVH Standaard 150</t>
  </si>
  <si>
    <t>Cadet HVH Standaard 200</t>
  </si>
  <si>
    <t>Cadet HVH Extra 110</t>
  </si>
  <si>
    <t>Cadet HVH Extra 150</t>
  </si>
  <si>
    <t>Cadet HVH Extra 200</t>
  </si>
  <si>
    <t>Cadet HVH Extra 250</t>
  </si>
  <si>
    <t>Cadet HVH Super 110</t>
  </si>
  <si>
    <t>Cadet HVH Super 150</t>
  </si>
  <si>
    <t>Cadet HVH Super 200</t>
  </si>
  <si>
    <t>Cadet HVH Super 250</t>
  </si>
  <si>
    <t>Cadet HVH Plus 110</t>
  </si>
  <si>
    <t>Cadet HVH Plus 150</t>
  </si>
  <si>
    <t>Cadet HVH Plus 200</t>
  </si>
  <si>
    <t>Cadet Inverse Standaard 110</t>
  </si>
  <si>
    <t>Cadet Inverse Standaard 150</t>
  </si>
  <si>
    <t>Cadet Inverse Standaard 200</t>
  </si>
  <si>
    <t>Cadet Inverse Plus 110</t>
  </si>
  <si>
    <t>Cadet Inverse Plus 150</t>
  </si>
  <si>
    <t>Cadet Inverse Plus 200</t>
  </si>
  <si>
    <t>Cadet Inverse Extra 110</t>
  </si>
  <si>
    <t>Cadet Inverse Extra 150</t>
  </si>
  <si>
    <t>Cadet Inverse Extra 200</t>
  </si>
  <si>
    <t>Cadet Inverse Super 110</t>
  </si>
  <si>
    <t>Cadet Inverse Super 150</t>
  </si>
  <si>
    <t>Cadet Inverse Super 200</t>
  </si>
  <si>
    <t>onzichtbare suskast</t>
  </si>
  <si>
    <t>Orion Bonum 110</t>
  </si>
  <si>
    <t>Orion Bonum 150</t>
  </si>
  <si>
    <t>Orion Bonum 200</t>
  </si>
  <si>
    <t>Orion Ultra 110</t>
  </si>
  <si>
    <t>Orion Ultra 150</t>
  </si>
  <si>
    <t>Orion Ultra 200</t>
  </si>
  <si>
    <t>Orion Ultra 250</t>
  </si>
  <si>
    <t>Orion Ultra 300</t>
  </si>
  <si>
    <t>Orion Hyper 110</t>
  </si>
  <si>
    <t>Orion Hyper 150</t>
  </si>
  <si>
    <t>Orion Hyper 200</t>
  </si>
  <si>
    <t>Orion Hyper 250</t>
  </si>
  <si>
    <t>Orion Hyper 300</t>
  </si>
  <si>
    <t>Orion Summum 110</t>
  </si>
  <si>
    <t>Orion Summum 150</t>
  </si>
  <si>
    <t>Orion Summum 200</t>
  </si>
  <si>
    <t>Orion Summum 250</t>
  </si>
  <si>
    <t>Orion Summum 300</t>
  </si>
  <si>
    <t>Orion HVH Bonum 110</t>
  </si>
  <si>
    <t>Orion HVH Bonum 150</t>
  </si>
  <si>
    <t>Orion HVH Bonum 200</t>
  </si>
  <si>
    <t>Orion HVH Ultra 110</t>
  </si>
  <si>
    <t>Orion HVH Ultra 150</t>
  </si>
  <si>
    <t>Orion HVH Ultra 200</t>
  </si>
  <si>
    <t>Orion HVH Ultra 300</t>
  </si>
  <si>
    <t>Orion HVH Hyper 110</t>
  </si>
  <si>
    <t>Orion HVH Hyper 150</t>
  </si>
  <si>
    <t>Orion HVH Hyper 200</t>
  </si>
  <si>
    <t>Orion HVH Hyper 250</t>
  </si>
  <si>
    <r>
      <t xml:space="preserve">Orion </t>
    </r>
    <r>
      <rPr>
        <sz val="10"/>
        <rFont val="Arial"/>
        <family val="2"/>
      </rPr>
      <t xml:space="preserve">HVH </t>
    </r>
    <r>
      <rPr>
        <sz val="10"/>
        <rFont val="Arial"/>
        <family val="2"/>
      </rPr>
      <t>Hyper 300</t>
    </r>
  </si>
  <si>
    <t>Orion HVH Summum 110</t>
  </si>
  <si>
    <t>Orion HVH Summum 150</t>
  </si>
  <si>
    <t>Orion HVH Summum 200</t>
  </si>
  <si>
    <t>Orion HVH Summum 250</t>
  </si>
  <si>
    <t>Orion HVH Summum 300</t>
  </si>
  <si>
    <t>Orion HVH Bonum 300</t>
  </si>
  <si>
    <t>Orion Inverse Bonum 110</t>
  </si>
  <si>
    <t>Orion Inverse Bonum 150</t>
  </si>
  <si>
    <t>Orion Inverse Bonum 200</t>
  </si>
  <si>
    <t>Orion Inverse Ultra 110</t>
  </si>
  <si>
    <t>Orion Inverse Ultra 150</t>
  </si>
  <si>
    <t>Orion Inverse Ultra 200</t>
  </si>
  <si>
    <t>Orion Inverse Ultra 250</t>
  </si>
  <si>
    <t>Orion Inverse Ultra 300</t>
  </si>
  <si>
    <t>Orion Inverse Hyper 110</t>
  </si>
  <si>
    <t>Orion Inverse Hyper 150</t>
  </si>
  <si>
    <t>Orion Inverse Hyper 200</t>
  </si>
  <si>
    <t>Orion Inverse Hyper 250</t>
  </si>
  <si>
    <t>Orion Inverse Hyper 300</t>
  </si>
  <si>
    <t>Orion Inverse Summum 110</t>
  </si>
  <si>
    <t>Orion Inverse Summum 150</t>
  </si>
  <si>
    <t>Orion Inverse Summum 200</t>
  </si>
  <si>
    <t>Orion Inverse Summum 250</t>
  </si>
  <si>
    <t>Orion Inverse Summum 300</t>
  </si>
  <si>
    <t>Orion Inverse Bonum 300</t>
  </si>
  <si>
    <t>brandwerende raamventilatierooster</t>
  </si>
  <si>
    <t>FireMax ZR 10</t>
  </si>
  <si>
    <t>FireMax ZR 15</t>
  </si>
  <si>
    <t>FireMax ZR 20</t>
  </si>
  <si>
    <t>rooster en suskast</t>
  </si>
  <si>
    <t>voor zware geluidsbelasting</t>
  </si>
  <si>
    <t>TwinTronic Corto</t>
  </si>
  <si>
    <t>TwinTronic Basso</t>
  </si>
  <si>
    <t>TwinTronic Medio</t>
  </si>
  <si>
    <t>TwinTronic Alto</t>
  </si>
  <si>
    <t>TwinTronic Largo</t>
  </si>
  <si>
    <t>GlasMaxTronic 10</t>
  </si>
  <si>
    <t>GlasMaxTronic 15</t>
  </si>
  <si>
    <t>GlasMaxTronic 20</t>
  </si>
  <si>
    <t>MiniMaxTronic 10</t>
  </si>
  <si>
    <t>MiniMaxTronic 15</t>
  </si>
  <si>
    <t>MiniMaxTronic 20</t>
  </si>
  <si>
    <t>voor lichte geluidsbelasting</t>
  </si>
  <si>
    <t>MaxTronic Alto 10 ZR A</t>
  </si>
  <si>
    <t>MaxTronic Alto 10 ZR B</t>
  </si>
  <si>
    <t>MaxTronic Alto 10 ZR C</t>
  </si>
  <si>
    <t>MaxTronic Alto 10 ZR D</t>
  </si>
  <si>
    <t>MaxTronic Alto 15 ZR A</t>
  </si>
  <si>
    <t>MaxTronic Alto 15 ZR B</t>
  </si>
  <si>
    <t>MaxTronic Alto 15 ZR C</t>
  </si>
  <si>
    <t>MaxTronic Alto 15 ZR D</t>
  </si>
  <si>
    <t>MaxTronic Alto 20 ZR A</t>
  </si>
  <si>
    <t>MaxTronic Alto 25 ZR A</t>
  </si>
  <si>
    <t>MaxTronic Corto 10 ZR A</t>
  </si>
  <si>
    <t>MaxTronic Corto 15 ZR A</t>
  </si>
  <si>
    <t>MaxTronic Corto 20 ZR A</t>
  </si>
  <si>
    <t>MaxTronic Corto 25 ZR A</t>
  </si>
  <si>
    <t>MaxTronic Largo 10 ZR A</t>
  </si>
  <si>
    <t>MaxTronic Largo 15 ZR A</t>
  </si>
  <si>
    <t>MaxTronic Largo 20 ZR A</t>
  </si>
  <si>
    <t>MaxTronic Largo 25 ZR A</t>
  </si>
  <si>
    <t>MaxTronic Medio 10 ZR A</t>
  </si>
  <si>
    <t>MaxTronic Medio 15 ZR A</t>
  </si>
  <si>
    <t>MaxTronic Medio 20 ZR A</t>
  </si>
  <si>
    <t>MaxTronic Medio 25 ZR A</t>
  </si>
  <si>
    <t>onzichtbare plaatsing</t>
  </si>
  <si>
    <t xml:space="preserve">onzichtbare plaatsing </t>
  </si>
  <si>
    <t>DucoMax Alto 20 ZR B</t>
  </si>
  <si>
    <t>DucoMax Alto 20 ZR C</t>
  </si>
  <si>
    <t>DucoMax Alto 20 ZR D</t>
  </si>
  <si>
    <t>DucoMax Alto 25 ZR B</t>
  </si>
  <si>
    <t>DucoMax Alto 25 ZR C</t>
  </si>
  <si>
    <t>DucoMax Alto 25 ZR D</t>
  </si>
  <si>
    <t>DucoMax Corto 10 ZR B</t>
  </si>
  <si>
    <t>DucoMax Corto 10 ZR C</t>
  </si>
  <si>
    <t>DucoMax Corto 10 ZR D</t>
  </si>
  <si>
    <t>DucoMax Corto 15 ZR B</t>
  </si>
  <si>
    <t>DucoMax Corto 15 ZR C</t>
  </si>
  <si>
    <t>DucoMax Corto 15 ZR D</t>
  </si>
  <si>
    <t>DucoMax Corto 20 ZR B</t>
  </si>
  <si>
    <t>DucoMax Corto 20 ZR C</t>
  </si>
  <si>
    <t>DucoMax Corto 20 ZR D</t>
  </si>
  <si>
    <t>DucoMax Corto 25 ZR B</t>
  </si>
  <si>
    <t>DucoMax Corto 25 ZR C</t>
  </si>
  <si>
    <t>DucoMax Corto 25 ZR D</t>
  </si>
  <si>
    <t>DucoMax Largo 10 ZR B</t>
  </si>
  <si>
    <t>DucoMax Largo 10 ZR C</t>
  </si>
  <si>
    <t>DucoMax Largo 10 ZR D</t>
  </si>
  <si>
    <t>DucoMax Largo 15 ZR B</t>
  </si>
  <si>
    <t>DucoMax Largo 15 ZR C</t>
  </si>
  <si>
    <t>DucoMax Largo 15 ZR D</t>
  </si>
  <si>
    <t>DucoMax Largo 20 ZR B</t>
  </si>
  <si>
    <t>DucoMax Largo 20 ZR C</t>
  </si>
  <si>
    <t>DucoMax Largo 20 ZR D</t>
  </si>
  <si>
    <t>DucoMax Largo 25 ZR B</t>
  </si>
  <si>
    <t>DucoMax Largo 25 ZR C</t>
  </si>
  <si>
    <t>DucoMax Largo 25 ZR D</t>
  </si>
  <si>
    <t>DucoMax Medio 10 ZR B</t>
  </si>
  <si>
    <t>DucoMax Medio 10 ZR C</t>
  </si>
  <si>
    <t>DucoMax Medio 10 ZR D</t>
  </si>
  <si>
    <t>DucoMax Medio 15 ZR B</t>
  </si>
  <si>
    <t>DucoMax Medio 15 ZR C</t>
  </si>
  <si>
    <t>DucoMax Medio 15 ZR D</t>
  </si>
  <si>
    <t>DucoMax Medio 20 ZR B</t>
  </si>
  <si>
    <t>DucoMax Medio 20 ZR C</t>
  </si>
  <si>
    <t>DucoMax Medio 20 ZR D</t>
  </si>
  <si>
    <t>DucoMax Medio 25 ZR B</t>
  </si>
  <si>
    <t>DucoMax Medio 25 ZR C</t>
  </si>
  <si>
    <t>DucoMax Medio 25 ZR D</t>
  </si>
  <si>
    <t>MaxTronic Alto 20 ZR B</t>
  </si>
  <si>
    <t>MaxTronic Alto 20 ZR C</t>
  </si>
  <si>
    <t>MaxTronic Alto 20 ZR D</t>
  </si>
  <si>
    <t>MD28K25V</t>
  </si>
  <si>
    <t>per stuk</t>
  </si>
  <si>
    <t>MD28K22,5V</t>
  </si>
  <si>
    <t>MD28K20V</t>
  </si>
  <si>
    <t>MD28K16V</t>
  </si>
  <si>
    <t>MD25K20V</t>
  </si>
  <si>
    <t>MD25K16V</t>
  </si>
  <si>
    <t>MD20K16V</t>
  </si>
  <si>
    <t>MD20K11V</t>
  </si>
  <si>
    <t>MD16K11V</t>
  </si>
  <si>
    <t>WD25K20V 34X34 cm</t>
  </si>
  <si>
    <t>WD25K20V 38x38 cm</t>
  </si>
  <si>
    <t>RONDO 25K20V</t>
  </si>
  <si>
    <t>RONDO 20K16V</t>
  </si>
  <si>
    <t>RONDO 20K11V</t>
  </si>
  <si>
    <t>DD25K20V</t>
  </si>
  <si>
    <t>Monumen25K20V</t>
  </si>
  <si>
    <t>nadenken over praktische oplossing spuiventilatie &gt; informatieknop bijwerken</t>
  </si>
  <si>
    <t>ventilatiebalans: verkeersruimten toevoegen + macro schrijven invoer roostercapaciteit (minimaal / productspecifiek)</t>
  </si>
  <si>
    <t>check opmerkingen rsw + nog openstaande punten (zie boven)</t>
  </si>
  <si>
    <t>toelichtende teksten opstellen + instructie iedrbbbr</t>
  </si>
  <si>
    <t>woningtype bovenaan laten zetten gekoppeld aan werkbladnaam</t>
  </si>
  <si>
    <t>Fitstream 11 ZR</t>
  </si>
  <si>
    <t>Fitstream 14 ZR</t>
  </si>
  <si>
    <t>Fitstream 16 ZR</t>
  </si>
  <si>
    <t>Fitstream 21 ZR</t>
  </si>
  <si>
    <t>AcouStream GL-14 ZR</t>
  </si>
  <si>
    <t>AcouStream GL-18 ZR</t>
  </si>
  <si>
    <t>AcouStream GL-23 ZR</t>
  </si>
  <si>
    <t>AcouStream VD-14 ZR</t>
  </si>
  <si>
    <t>AcouStream VD-18 ZR</t>
  </si>
  <si>
    <t>AcouStream VD-23 ZR</t>
  </si>
  <si>
    <t>SusStream luna 170/10 ZR</t>
  </si>
  <si>
    <t>Ventileren door een hellenddak</t>
  </si>
  <si>
    <t>SusStream luna 170/15 ZR</t>
  </si>
  <si>
    <t>SusStream luna 170/20 ZR</t>
  </si>
  <si>
    <t>SusStream luna 170/25 ZR</t>
  </si>
  <si>
    <t>SusStream marsa 210/10 ZR</t>
  </si>
  <si>
    <t>SusStream marsa 210/15 ZR</t>
  </si>
  <si>
    <t>SusStream marsa 210/20 ZR</t>
  </si>
  <si>
    <t>SusStream marsa 210/25 ZR</t>
  </si>
  <si>
    <t>SusStream suna 290/10 ZR</t>
  </si>
  <si>
    <t>SusStream suna 290/15 ZR</t>
  </si>
  <si>
    <t>SusStream suna 290/20 ZR</t>
  </si>
  <si>
    <t>SusStream suna 290/25 ZR</t>
  </si>
  <si>
    <t>SusStream terra 250/10 ZR</t>
  </si>
  <si>
    <t>SusStream terra 250/15 ZR</t>
  </si>
  <si>
    <t>SusStream terra 250/20 ZR</t>
  </si>
  <si>
    <t>SusStream terra 250/25 ZR</t>
  </si>
  <si>
    <t>SlideStream ZR</t>
  </si>
  <si>
    <t>voor plaatsing in een schuifpui</t>
  </si>
  <si>
    <t>zonwering met geïntegreerde ventilatievoorziening</t>
  </si>
  <si>
    <t>SunStream 140 mm ZR</t>
  </si>
  <si>
    <t>SunStream 170 mm ZR</t>
  </si>
  <si>
    <t>SunStream 200 mm ZR</t>
  </si>
  <si>
    <t>roosterfabrikant</t>
  </si>
  <si>
    <t>overstroom</t>
  </si>
  <si>
    <t>MaxTronic Alto 25 ZR B</t>
  </si>
  <si>
    <t>MaxTronic Alto 25 ZR C</t>
  </si>
  <si>
    <t>MaxTronic Alto 25 ZR D</t>
  </si>
  <si>
    <t>MaxTronic Corto 10 ZR B</t>
  </si>
  <si>
    <t>MaxTronic Corto 10 ZR C</t>
  </si>
  <si>
    <t>MaxTronic Corto 10 ZR D</t>
  </si>
  <si>
    <t>MaxTronic Corto 15 ZR B</t>
  </si>
  <si>
    <t>MaxTronic Corto 15 ZR C</t>
  </si>
  <si>
    <t>MaxTronic Corto 15 ZR D</t>
  </si>
  <si>
    <t>MaxTronic Corto 20 ZR B</t>
  </si>
  <si>
    <t>MaxTronic Corto 20 ZR C</t>
  </si>
  <si>
    <t>MaxTronic Corto 20 ZR D</t>
  </si>
  <si>
    <t>MaxTronic Corto 25 ZR B</t>
  </si>
  <si>
    <t>MaxTronic Corto 25 ZR C</t>
  </si>
  <si>
    <t>MaxTronic Corto 25 ZR D</t>
  </si>
  <si>
    <t>MaxTronic Largo 10 ZR B</t>
  </si>
  <si>
    <t>MaxTronic Largo 10 ZR C</t>
  </si>
  <si>
    <t>MaxTronic Largo 10 ZR D</t>
  </si>
  <si>
    <t>MaxTronic Largo 15 ZR B</t>
  </si>
  <si>
    <t>MaxTronic Largo 15 ZR C</t>
  </si>
  <si>
    <t>MaxTronic Largo 15 ZR D</t>
  </si>
  <si>
    <t>MaxTronic Largo 20 ZR B</t>
  </si>
  <si>
    <t>MaxTronic Largo 20 ZR C</t>
  </si>
  <si>
    <t>MaxTronic Largo 20 ZR D</t>
  </si>
  <si>
    <t>MaxTronic Largo 25 ZR B</t>
  </si>
  <si>
    <t>MaxTronic Largo 25 ZR C</t>
  </si>
  <si>
    <t>MaxTronic Largo 25 ZR D</t>
  </si>
  <si>
    <t>MaxTronic Medio 10 ZR B</t>
  </si>
  <si>
    <t>MaxTronic Medio 10 ZR C</t>
  </si>
  <si>
    <t>MaxTronic Medio 10 ZR D</t>
  </si>
  <si>
    <t>MaxTronic Medio 15 ZR B</t>
  </si>
  <si>
    <t>MaxTronic Medio 15 ZR C</t>
  </si>
  <si>
    <t>MaxTronic Medio 15 ZR D</t>
  </si>
  <si>
    <t>MaxTronic Medio 20 ZR B</t>
  </si>
  <si>
    <t>MaxTronic Medio 20 ZR C</t>
  </si>
  <si>
    <t>MaxTronic Medio 20 ZR D</t>
  </si>
  <si>
    <t>MaxTronic Medio 25 ZR B</t>
  </si>
  <si>
    <t>MaxTronic Medio 25 ZR C</t>
  </si>
  <si>
    <t>MaxTronic Medio 25 ZR D</t>
  </si>
  <si>
    <t>Bedrijfslogo is oud, hier moet een mooi (goede kwaliteit) nieuw logo voor komen</t>
  </si>
  <si>
    <t>Tabel 2 - Belemmeringsfactor Cb;i voor naar binnen hellende daglichtopeningen i als functie van de belemmeringshoek α (voor tegenoverliggende belemmeringen) en de hellingshoek ε</t>
  </si>
  <si>
    <r>
      <t xml:space="preserve">ε </t>
    </r>
    <r>
      <rPr>
        <b/>
        <sz val="10"/>
        <rFont val="Arial"/>
        <family val="2"/>
      </rPr>
      <t>in °</t>
    </r>
  </si>
  <si>
    <r>
      <t xml:space="preserve">α </t>
    </r>
    <r>
      <rPr>
        <b/>
        <sz val="10"/>
        <rFont val="Arial"/>
        <family val="2"/>
      </rPr>
      <t>in °</t>
    </r>
  </si>
  <si>
    <t>van</t>
  </si>
  <si>
    <t>dhe</t>
  </si>
  <si>
    <t>onder het kopje verblijfsgebieden / -ruimten alles aanpassen zoals in het tabblad is aangegeven</t>
  </si>
  <si>
    <t>verblijfsgebied</t>
  </si>
  <si>
    <t>aantal</t>
  </si>
  <si>
    <t>Anetto aanwezig tbv spuiventilatie</t>
  </si>
  <si>
    <t>ε</t>
  </si>
  <si>
    <t>a</t>
  </si>
  <si>
    <t>b</t>
  </si>
  <si>
    <t xml:space="preserve">voldoende verblijfsgebied aanwezig? </t>
  </si>
  <si>
    <t>voldoende toiletruimten aanwezig?</t>
  </si>
  <si>
    <t>voldoende badruimten aanwezig?</t>
  </si>
  <si>
    <t>=&gt;</t>
  </si>
  <si>
    <t>eis</t>
  </si>
  <si>
    <t>info knoppen in alle grijze balken</t>
  </si>
  <si>
    <t>infobalk boven VG/VR terugplaatsen</t>
  </si>
  <si>
    <t xml:space="preserve">Afdrukopmaakpaginainstellingen </t>
  </si>
  <si>
    <t>allen mogen een mening hebben</t>
  </si>
  <si>
    <t>benaming volgens bouwbesluit versus de algemeen bekende benamingen voor woonkamers, keukens, slaapkamers, etc.</t>
  </si>
  <si>
    <t>dhe aka mhe</t>
  </si>
  <si>
    <t>Alusta roosters</t>
  </si>
  <si>
    <t>Duco roosters</t>
  </si>
  <si>
    <t>Buva roosters</t>
  </si>
  <si>
    <t>opmerking</t>
  </si>
  <si>
    <t>HULPTEKST</t>
  </si>
  <si>
    <t>Overzicht ventilatieroosters =&gt; tweede datablad</t>
  </si>
  <si>
    <t>verblijfsgebieden toevoegen aan overzicht roosters, macro aanpassen, uiteindelijk alles onder de macro's aan het begin zetten</t>
  </si>
  <si>
    <t>omschrijving</t>
  </si>
  <si>
    <t>snelheid</t>
  </si>
  <si>
    <t>aantal gevels</t>
  </si>
  <si>
    <t>macro advgro1 en advgro2 aanpassen zodat er een witregel komt</t>
  </si>
  <si>
    <t>eisen in gegevensblad koppelen aan verzamelblad</t>
  </si>
  <si>
    <t>wanneer het blad moet worden ingesteld op 1 vr en er zijn nog vg's dan geeft het blad een foutmelding</t>
  </si>
  <si>
    <t>ventilatie, rijen verbergen</t>
  </si>
  <si>
    <t>werkblad beveiligen</t>
  </si>
  <si>
    <t>55% van gebruiksoppervlakte:</t>
  </si>
  <si>
    <t>aanwezige verblijfsgebiedoppervlakte:</t>
  </si>
  <si>
    <t>bouwlaag 1:</t>
  </si>
  <si>
    <t>bouwlaag 2:</t>
  </si>
  <si>
    <t>bouwlaag 3:</t>
  </si>
  <si>
    <t>bouwlaag 4:</t>
  </si>
  <si>
    <t>bouwlaag 5:</t>
  </si>
  <si>
    <t>project:</t>
  </si>
  <si>
    <t>projectnummer:</t>
  </si>
  <si>
    <t>opdrachtgever:</t>
  </si>
  <si>
    <t>datum:</t>
  </si>
  <si>
    <t>gebruiksoppervlakte:</t>
  </si>
  <si>
    <t>showventro</t>
  </si>
  <si>
    <t>rijen zichbaar</t>
  </si>
  <si>
    <t>open</t>
  </si>
  <si>
    <t xml:space="preserve">logo wordt soms niet juist meegenomen bij kopieren </t>
  </si>
  <si>
    <t>tussenvoegen extra VR nog niet mogelijk, heeft voor nu geen prioriteit</t>
  </si>
  <si>
    <t>voorwaardelijke opmaak overstroomvoorzieningen =&gt; extra macro</t>
  </si>
  <si>
    <t>soms foutmelding roosters (zie mail mariska)</t>
  </si>
  <si>
    <t>opzet ventilatiebalansberekeningen =&gt; hoe te verbeteren =&gt; check vakgroep</t>
  </si>
  <si>
    <t>mha / mdu</t>
  </si>
  <si>
    <t>lettertype Arial vs Verdana =&gt; soms niet goed</t>
  </si>
  <si>
    <t>mha / dhe / mdu</t>
  </si>
  <si>
    <t>hoe noemen we 'extra VG' ??</t>
  </si>
  <si>
    <t>ntb</t>
  </si>
  <si>
    <t>kozijnmerkenstaat, doen we daar iets mee? Nu niet, misschien later......</t>
  </si>
  <si>
    <t>geschikt maken voor NEN 2057:2011</t>
  </si>
  <si>
    <t>wijziging van 2003 nog doorvoeren in Cb</t>
  </si>
  <si>
    <t>knop 'nieuwe tabblad'</t>
  </si>
  <si>
    <t xml:space="preserve">open </t>
  </si>
  <si>
    <t>mdu / mha</t>
  </si>
  <si>
    <t>opties met vrije invoer en toch beveiliging?</t>
  </si>
  <si>
    <t>pop-up schermen terug te brengen tot 1?</t>
  </si>
  <si>
    <t>toevoercapaciteit</t>
  </si>
  <si>
    <t>roosterfabrikant:</t>
  </si>
  <si>
    <t xml:space="preserve">Buva </t>
  </si>
  <si>
    <t>nader te bepalen</t>
  </si>
  <si>
    <t>systeem C - natuurlijke toevoer &amp; mechanische afvoer</t>
  </si>
  <si>
    <t>systeem B - mechanische toevoer &amp; natuurlijke afvoer</t>
  </si>
  <si>
    <t>systeem A - natuurlijke toevoer &amp;  afvoer</t>
  </si>
  <si>
    <t>systeem D - mechanische toevoer &amp; afvoer</t>
  </si>
  <si>
    <t>intern</t>
  </si>
  <si>
    <t>ventilatieprincipe:</t>
  </si>
  <si>
    <t>keuken</t>
  </si>
  <si>
    <t>toilet</t>
  </si>
  <si>
    <t>badkamer</t>
  </si>
  <si>
    <t>van ruimte</t>
  </si>
  <si>
    <t>naar ruimte</t>
  </si>
  <si>
    <t>debiet</t>
  </si>
  <si>
    <t>Overstroomvoorzieningen</t>
  </si>
  <si>
    <t>overige ruimten</t>
  </si>
  <si>
    <t>verkeersruimte</t>
  </si>
  <si>
    <t>verblijfsruimte ≥ 11 m² &amp; breedte ≥ 3 m aanwezig?</t>
  </si>
  <si>
    <t>n.v.t.</t>
  </si>
  <si>
    <t>tussenwoning</t>
  </si>
  <si>
    <t>opstelruimte voor wasautomaat en / of wasdroger</t>
  </si>
  <si>
    <t>bergruimte (niet zijnde een trapkast)</t>
  </si>
  <si>
    <t>woonkamer / keuken</t>
  </si>
  <si>
    <t>slaapkamer 1</t>
  </si>
  <si>
    <t>berekening op basis van ventilatiebalans</t>
  </si>
  <si>
    <t>70 % eis conform Bb '12 artikel 3.29 lid 5 niet van toepassing</t>
  </si>
  <si>
    <t>ventilatietoevoer overige ruimten</t>
  </si>
  <si>
    <t>aanvullende eisen:</t>
  </si>
  <si>
    <t>Bingo ABC 16</t>
  </si>
  <si>
    <t>Bingo ABC 26</t>
  </si>
  <si>
    <t>Bingo Cybele Forte 14</t>
  </si>
  <si>
    <t>Bingo Cybele Forte 20</t>
  </si>
  <si>
    <t>Bingo Cybele Forte 26</t>
  </si>
  <si>
    <t>Susrooster</t>
  </si>
  <si>
    <t>DD25-20V</t>
  </si>
  <si>
    <t>MD16-11V</t>
  </si>
  <si>
    <t>MD20-11V</t>
  </si>
  <si>
    <t>MD20-16V</t>
  </si>
  <si>
    <t>MD25-16V</t>
  </si>
  <si>
    <t>MD25-20V</t>
  </si>
  <si>
    <t>MD28-16V</t>
  </si>
  <si>
    <t>MD28-20V</t>
  </si>
  <si>
    <t>MD28-22,5V</t>
  </si>
  <si>
    <t>MD28-25V</t>
  </si>
  <si>
    <t>Monument</t>
  </si>
  <si>
    <t>RONDO 20-11V</t>
  </si>
  <si>
    <t>RONDO 20-16V</t>
  </si>
  <si>
    <t>RONDO 25-20V</t>
  </si>
  <si>
    <t>DD28-20V</t>
  </si>
  <si>
    <t>Muurdemper</t>
  </si>
  <si>
    <t>per stuk?</t>
  </si>
  <si>
    <t>WD25-20V middenkap</t>
  </si>
  <si>
    <t>WD25-20V grote kap</t>
  </si>
  <si>
    <t>Virgo Alumien ZR 100</t>
  </si>
  <si>
    <t>Virgo Alumien ZR 150</t>
  </si>
  <si>
    <t>Virgo Alumien ZR 200</t>
  </si>
  <si>
    <t>Virgo Alumien ZR 250</t>
  </si>
  <si>
    <t>Virgo Belinda ZR 100</t>
  </si>
  <si>
    <t>Virgo Belinda ZR 150</t>
  </si>
  <si>
    <t>Virgo Belinda ZR 200</t>
  </si>
  <si>
    <t>Virgo Belinda ZR 250</t>
  </si>
  <si>
    <t>Virgo Claudia ZR 100</t>
  </si>
  <si>
    <t>Virgo Claudia ZR 150</t>
  </si>
  <si>
    <t>Virgo Claudia ZR 200</t>
  </si>
  <si>
    <t>Virgo Claudia ZR 250</t>
  </si>
  <si>
    <t>Virgo Désirée 100</t>
  </si>
  <si>
    <t>Virgo Désirée 150</t>
  </si>
  <si>
    <t>Virgo Désirée 200</t>
  </si>
  <si>
    <t>Virgo Désirée 250</t>
  </si>
  <si>
    <t>Virgo Désirée ZR 100</t>
  </si>
  <si>
    <t>Virgo Désirée ZR 150</t>
  </si>
  <si>
    <t>Virgo Désirée ZR 200</t>
  </si>
  <si>
    <t>Virgo Désirée ZR 250</t>
  </si>
  <si>
    <t>Virgo Maxime ZR 100</t>
  </si>
  <si>
    <t>Virgo Maxime ZR 150</t>
  </si>
  <si>
    <t>Virgo Maxime ZR 200</t>
  </si>
  <si>
    <t>Virgo Maxime ZR 250</t>
  </si>
  <si>
    <t>Vent-O-Sun Screen AK40</t>
  </si>
  <si>
    <t>Vent-O-Sun Screen AK80</t>
  </si>
  <si>
    <t>Vent-O-Sun Screen AK120</t>
  </si>
  <si>
    <t xml:space="preserve">combinatie van een ventilatierooster met een verticaal screen </t>
  </si>
  <si>
    <t>Vent-O-Sun Valarm AK40</t>
  </si>
  <si>
    <t>Vent-O-Sun Valarm AK80</t>
  </si>
  <si>
    <t>Vent-O-Sun Valarm AK120</t>
  </si>
  <si>
    <t>rdi / mha</t>
  </si>
  <si>
    <t>elektronische gevelventilatie niet opgenomen</t>
  </si>
  <si>
    <t>SusStream pluta 27</t>
  </si>
  <si>
    <t>SusStream pluta 130/25</t>
  </si>
  <si>
    <t>SlideStream 10 ZR</t>
  </si>
  <si>
    <t>SlideStream 12 ZR</t>
  </si>
  <si>
    <t>Fireslide GL9</t>
  </si>
  <si>
    <t>Fireslide GL13</t>
  </si>
  <si>
    <t>Fireslide K</t>
  </si>
  <si>
    <t>Firestream V Top 11 ZR</t>
  </si>
  <si>
    <t>Firestream V Top 17 ZR</t>
  </si>
  <si>
    <t>Firestream V Acou 12 ZR</t>
  </si>
  <si>
    <t>Firestream V Acou 16 ZR</t>
  </si>
  <si>
    <t>Firestream V Acou 21 ZR</t>
  </si>
  <si>
    <t>brandwerend, niet zelfregelend</t>
  </si>
  <si>
    <t>brandwerend, zelfregelend</t>
  </si>
  <si>
    <t>Firestream pluta (L)</t>
  </si>
  <si>
    <t>FireStream luna 1 (L)</t>
  </si>
  <si>
    <t>FireStream luna 2 (L)</t>
  </si>
  <si>
    <t>FireStream luna 3 (L)</t>
  </si>
  <si>
    <t>FireStream luna 4 (L)</t>
  </si>
  <si>
    <t>Firestream marsa 1 (L)</t>
  </si>
  <si>
    <t>Firestream marsa 2 (L)</t>
  </si>
  <si>
    <t>Firestream marsa 3 (L)</t>
  </si>
  <si>
    <t>Firestream marsa 4 (L)</t>
  </si>
  <si>
    <t>Firestream suna 1 (L)</t>
  </si>
  <si>
    <t>Firestream suna 2 (L)</t>
  </si>
  <si>
    <t>Firestream suna 3 (L)</t>
  </si>
  <si>
    <t>Firestream suna 4 (L)</t>
  </si>
  <si>
    <t>Firestream terra 1 (L)</t>
  </si>
  <si>
    <t>Firestream terra 2 (L)</t>
  </si>
  <si>
    <t>Firestream terra 3 (L)</t>
  </si>
  <si>
    <t>Firestream terra 4 (L)</t>
  </si>
  <si>
    <t>DucoKlep 15 ZR</t>
  </si>
  <si>
    <t>DucoFlat 12 ZR</t>
  </si>
  <si>
    <t>GlasMax 25</t>
  </si>
  <si>
    <t>GlasMaxTronic 25</t>
  </si>
  <si>
    <t>TwinTronic Corto AK</t>
  </si>
  <si>
    <t xml:space="preserve">MaxTronic Alto 10 ZR </t>
  </si>
  <si>
    <t xml:space="preserve">MaxTronic Alto 15 ZR </t>
  </si>
  <si>
    <t xml:space="preserve">MaxTronic Alto 20 ZR </t>
  </si>
  <si>
    <t xml:space="preserve">MaxTronic Alto 25 ZR </t>
  </si>
  <si>
    <t xml:space="preserve">MaxTronic Corto 10 ZR </t>
  </si>
  <si>
    <t xml:space="preserve">MaxTronic Corto 15 ZR </t>
  </si>
  <si>
    <t xml:space="preserve">MaxTronic Corto 20 ZR </t>
  </si>
  <si>
    <t xml:space="preserve">MaxTronic Corto 25 ZR </t>
  </si>
  <si>
    <t xml:space="preserve">MaxTronic Largo 10 ZR </t>
  </si>
  <si>
    <t xml:space="preserve">MaxTronic Largo 15 ZR </t>
  </si>
  <si>
    <t xml:space="preserve">MaxTronic Largo 20 ZR </t>
  </si>
  <si>
    <t xml:space="preserve">MaxTronic Largo 25 ZR </t>
  </si>
  <si>
    <t xml:space="preserve">MaxTronic Medio 10 ZR </t>
  </si>
  <si>
    <t xml:space="preserve">MaxTronic Medio 15 ZR </t>
  </si>
  <si>
    <t xml:space="preserve">MaxTronic Medio 20 ZR </t>
  </si>
  <si>
    <t xml:space="preserve">MaxTronic Medio 25 ZR </t>
  </si>
  <si>
    <t>TwinTronic Alto AK</t>
  </si>
  <si>
    <t>TwinTronic Basso AK</t>
  </si>
  <si>
    <t>TwinTronic Largo AK</t>
  </si>
  <si>
    <t>TwinTronic Medio AK</t>
  </si>
  <si>
    <t>DucoTon 10 ZR</t>
  </si>
  <si>
    <t>DucoLine 23 ZR</t>
  </si>
  <si>
    <t>Ducodoor</t>
  </si>
  <si>
    <t>deurrooster</t>
  </si>
  <si>
    <t>RenoTop 60 ZR</t>
  </si>
  <si>
    <t>RenoTop 60 ZR AK</t>
  </si>
  <si>
    <t>bestemd voor renovatie</t>
  </si>
  <si>
    <t>Silenzio 250 ZR</t>
  </si>
  <si>
    <t>Silenzio 250 ZR AK</t>
  </si>
  <si>
    <t>Roofmax ZR</t>
  </si>
  <si>
    <t>Dak</t>
  </si>
  <si>
    <t>DucoTwin 120 ZR Corto</t>
  </si>
  <si>
    <t>DucoTwin 120 ZR Basso</t>
  </si>
  <si>
    <t>DucoTwin 120 ZR Medio</t>
  </si>
  <si>
    <t>DucoTwin 120 ZR Alto</t>
  </si>
  <si>
    <t>DucoTwin 120 ZR Largo</t>
  </si>
  <si>
    <t>DucoTwin 120 ZR AK Corto</t>
  </si>
  <si>
    <t>DucoTwin 120 ZR AK Basso</t>
  </si>
  <si>
    <t>DucoTwin 120 ZR AK Medio</t>
  </si>
  <si>
    <t>DucoTwin 120 ZR AK Alto</t>
  </si>
  <si>
    <t>DucoTwin 120 ZR AK Largo</t>
  </si>
  <si>
    <t>rooster in combinatie met zonwering</t>
  </si>
  <si>
    <t>DucoTwin 50 ZR Medio</t>
  </si>
  <si>
    <t>DucoTwin 50 ZR Largo</t>
  </si>
  <si>
    <t>Cadet Extra 110 (oud rooster)</t>
  </si>
  <si>
    <t>Cadet Extra 150 (oud rooster)</t>
  </si>
  <si>
    <t>Cadet Extra 200 (oud rooster)</t>
  </si>
  <si>
    <t>Cadet Extra 250 (oud rooster)</t>
  </si>
  <si>
    <t>Cadet Plus 110 (oud rooster)</t>
  </si>
  <si>
    <t>Cadet Plus 150 (oud rooster)</t>
  </si>
  <si>
    <t>Cadet Plus 200 (oud rooster)</t>
  </si>
  <si>
    <t>Cadet Plus 250 (oud rooster)</t>
  </si>
  <si>
    <t>Cadet Standaard 110 (oud rooster)</t>
  </si>
  <si>
    <t>Cadet Standaard 150 (oud rooster)</t>
  </si>
  <si>
    <t>Cadet Standaard 200 (oud rooster)</t>
  </si>
  <si>
    <t>Cadet Super 110 (oud rooster)</t>
  </si>
  <si>
    <t>Cadet Super 150 (oud rooster)</t>
  </si>
  <si>
    <t>Cadet Super 200 (oud rooster)</t>
  </si>
  <si>
    <t>Cadet Super 250 (oud rooster)</t>
  </si>
  <si>
    <t>Ducogrille G 30P/ M 30P (oud rooster)</t>
  </si>
  <si>
    <t>Ducoklep 17 (oud rooster)</t>
  </si>
  <si>
    <t>DucoKlep 25 (oud rooster)</t>
  </si>
  <si>
    <t>HR 14 ZR (oud rooster)</t>
  </si>
  <si>
    <t>HR 17 ZR (oud rooster)</t>
  </si>
  <si>
    <t>HR 23 ZR (oud rooster)</t>
  </si>
  <si>
    <t>LuxTronic (oud rooster)</t>
  </si>
  <si>
    <t>MaxTronic Alto 10 ZR A (oud rooster)</t>
  </si>
  <si>
    <t>MaxTronic Alto 10 ZR B (oud rooster)</t>
  </si>
  <si>
    <t>MaxTronic Alto 10 ZR C (oud rooster)</t>
  </si>
  <si>
    <t>Thermob 185 (oud rooster)</t>
  </si>
  <si>
    <t>StylistaTronic Medio 19 (oud rooster)</t>
  </si>
  <si>
    <t>StylistaTronic Medio 10 (oud rooster)</t>
  </si>
  <si>
    <t>StylistaTronic Largo 20 (oud rooster)</t>
  </si>
  <si>
    <t>StylistaTronic Largo 11 (oud rooster)</t>
  </si>
  <si>
    <t>StylistaTronic Corto 21 (oud rooster)</t>
  </si>
  <si>
    <t>StylistaTronic Corto 13 (oud rooster)</t>
  </si>
  <si>
    <t>StylistaTronic Alto 19 (oud rooster)</t>
  </si>
  <si>
    <t>StylistaTronic Alto 13 (oud rooster)</t>
  </si>
  <si>
    <t>SlideStream ZR (oud rooster)</t>
  </si>
  <si>
    <t>Orion Ultra 300 (oud rooster)</t>
  </si>
  <si>
    <t>Orion Ultra 250 (oud rooster)</t>
  </si>
  <si>
    <t>Orion Ultra 200 (oud rooster)</t>
  </si>
  <si>
    <t>Orion Ultra 150 (oud rooster)</t>
  </si>
  <si>
    <t>Orion Ultra 110 (oud rooster)</t>
  </si>
  <si>
    <t>Orion Summum 300 (oud rooster)</t>
  </si>
  <si>
    <t>Orion Summum 250 (oud rooster)</t>
  </si>
  <si>
    <t>Orion Summum 200 (oud rooster)</t>
  </si>
  <si>
    <t>Orion Summum 150 (oud rooster)</t>
  </si>
  <si>
    <t>Orion Summum 110 (oud rooster)</t>
  </si>
  <si>
    <t>Orion Hyper 300 (oud rooster)</t>
  </si>
  <si>
    <t>Orion Hyper 250 (oud rooster)</t>
  </si>
  <si>
    <t>Orion Hyper 200 (oud rooster)</t>
  </si>
  <si>
    <t>Orion Hyper 150 (oud rooster)</t>
  </si>
  <si>
    <t>Orion Hyper 110 (oud rooster)</t>
  </si>
  <si>
    <t>Orion Bonum 200 (oud rooster)</t>
  </si>
  <si>
    <t>Orion Bonum 150 (oud rooster)</t>
  </si>
  <si>
    <t>Orion Bonum 110 (oud rooster)</t>
  </si>
  <si>
    <t>MaxTronic Medio 25 ZR D (oud rooster)</t>
  </si>
  <si>
    <t>MaxTronic Medio 25 ZR C (oud rooster)</t>
  </si>
  <si>
    <t>MaxTronic Medio 25 ZR B (oud rooster)</t>
  </si>
  <si>
    <t>MaxTronic Medio 25 ZR A (oud rooster)</t>
  </si>
  <si>
    <t>MaxTronic Medio 20 ZR D (oud rooster)</t>
  </si>
  <si>
    <t>MaxTronic Medio 20 ZR C (oud rooster)</t>
  </si>
  <si>
    <t>MaxTronic Alto 10 ZR D (oud rooster)</t>
  </si>
  <si>
    <t>MaxTronic Alto 15 ZR A (oud rooster)</t>
  </si>
  <si>
    <t>MaxTronic Alto 15 ZR B (oud rooster)</t>
  </si>
  <si>
    <t>MaxTronic Alto 15 ZR C (oud rooster)</t>
  </si>
  <si>
    <t>MaxTronic Alto 15 ZR D (oud rooster)</t>
  </si>
  <si>
    <t>MaxTronic Alto 20 ZR A (oud rooster)</t>
  </si>
  <si>
    <t>MaxTronic Alto 20 ZR B (oud rooster)</t>
  </si>
  <si>
    <t>MaxTronic Alto 20 ZR C (oud rooster)</t>
  </si>
  <si>
    <t>MaxTronic Alto 20 ZR D (oud rooster)</t>
  </si>
  <si>
    <t>MaxTronic Alto 25 ZR A (oud rooster)</t>
  </si>
  <si>
    <t>MaxTronic Alto 25 ZR B (oud rooster)</t>
  </si>
  <si>
    <t>MaxTronic Alto 25 ZR C (oud rooster)</t>
  </si>
  <si>
    <t>MaxTronic Alto 25 ZR D (oud rooster)</t>
  </si>
  <si>
    <t>MaxTronic Corto 10 ZR A (oud rooster)</t>
  </si>
  <si>
    <t>MaxTronic Corto 10 ZR B (oud rooster)</t>
  </si>
  <si>
    <t>MaxTronic Corto 10 ZR C (oud rooster)</t>
  </si>
  <si>
    <t>MaxTronic Corto 10 ZR D (oud rooster)</t>
  </si>
  <si>
    <t>MaxTronic Corto 15 ZR A (oud rooster)</t>
  </si>
  <si>
    <t>MaxTronic Corto 15 ZR B (oud rooster)</t>
  </si>
  <si>
    <t>MaxTronic Corto 15 ZR C (oud rooster)</t>
  </si>
  <si>
    <t>MaxTronic Corto 15 ZR D (oud rooster)</t>
  </si>
  <si>
    <t>MaxTronic Corto 20 ZR A (oud rooster)</t>
  </si>
  <si>
    <t>MaxTronic Corto 20 ZR B (oud rooster)</t>
  </si>
  <si>
    <t>MaxTronic Corto 20 ZR C (oud rooster)</t>
  </si>
  <si>
    <t>MaxTronic Corto 20 ZR D (oud rooster)</t>
  </si>
  <si>
    <t>MaxTronic Corto 25 ZR A (oud rooster)</t>
  </si>
  <si>
    <t>MaxTronic Corto 25 ZR B (oud rooster)</t>
  </si>
  <si>
    <t>MaxTronic Corto 25 ZR C (oud rooster)</t>
  </si>
  <si>
    <t>MaxTronic Corto 25 ZR D (oud rooster)</t>
  </si>
  <si>
    <t>MaxTronic Largo 10 ZR A (oud rooster)</t>
  </si>
  <si>
    <t>MaxTronic Largo 10 ZR B (oud rooster)</t>
  </si>
  <si>
    <t>MaxTronic Largo 10 ZR C (oud rooster)</t>
  </si>
  <si>
    <t>MaxTronic Largo 10 ZR D (oud rooster)</t>
  </si>
  <si>
    <t>MaxTronic Largo 15 ZR A (oud rooster)</t>
  </si>
  <si>
    <t>MaxTronic Largo 15 ZR B (oud rooster)</t>
  </si>
  <si>
    <t>MaxTronic Largo 15 ZR C (oud rooster)</t>
  </si>
  <si>
    <t>MaxTronic Largo 15 ZR D (oud rooster)</t>
  </si>
  <si>
    <t>MaxTronic Largo 20 ZR A (oud rooster)</t>
  </si>
  <si>
    <t>MaxTronic Largo 20 ZR B (oud rooster)</t>
  </si>
  <si>
    <t>MaxTronic Largo 20 ZR C (oud rooster)</t>
  </si>
  <si>
    <t>MaxTronic Largo 20 ZR D (oud rooster)</t>
  </si>
  <si>
    <t>MaxTronic Largo 25 ZR A (oud rooster)</t>
  </si>
  <si>
    <t>MaxTronic Largo 25 ZR B (oud rooster)</t>
  </si>
  <si>
    <t>MaxTronic Largo 25 ZR C (oud rooster)</t>
  </si>
  <si>
    <t>MaxTronic Largo 25 ZR D (oud rooster)</t>
  </si>
  <si>
    <t>MaxTronic Medio 10 ZR A (oud rooster)</t>
  </si>
  <si>
    <t>MaxTronic Medio 10 ZR B (oud rooster)</t>
  </si>
  <si>
    <t>MaxTronic Medio 10 ZR C (oud rooster)</t>
  </si>
  <si>
    <t>MaxTronic Medio 10 ZR D (oud rooster)</t>
  </si>
  <si>
    <t>MaxTronic Medio 15 ZR A (oud rooster)</t>
  </si>
  <si>
    <t>MaxTronic Medio 15 ZR B (oud rooster)</t>
  </si>
  <si>
    <t>MaxTronic Medio 15 ZR C (oud rooster)</t>
  </si>
  <si>
    <t>MaxTronic Medio 15 ZR D (oud rooster)</t>
  </si>
  <si>
    <t>MaxTronic Medio 20 ZR A (oud rooster)</t>
  </si>
  <si>
    <t>MaxTronic Medio 20 ZR B (oud rooster)</t>
  </si>
  <si>
    <t>Thermob 135 (oud rooster)</t>
  </si>
  <si>
    <t>Thermob 155 (oud rooster)</t>
  </si>
  <si>
    <t>roosters gecheckt door Ruben Dijkstra (groen = onveranderd, geel = gewijzigd, rood = oud rooster)</t>
  </si>
  <si>
    <t>formule 70% regel aangepast (wel / niet van toepassing 70 % regel)</t>
  </si>
  <si>
    <t>mogelijkheid om extra vg van bijvoorbeeld de hal / overloop in het blad op te nemen</t>
  </si>
  <si>
    <t>formule voor het verbergen van de rijen t.p.v. de ventilatieroosters aangepast</t>
  </si>
  <si>
    <t>opmerking "zie rapport voor nadere toelichting overstroomvoorzieningen" uitgelijnd</t>
  </si>
  <si>
    <t>Versie</t>
  </si>
  <si>
    <t>2.19</t>
  </si>
  <si>
    <t>2.18</t>
  </si>
  <si>
    <t>2.17</t>
  </si>
  <si>
    <t>Merk ??</t>
  </si>
  <si>
    <t>sector</t>
  </si>
  <si>
    <t>hoogte</t>
  </si>
  <si>
    <t>afstand</t>
  </si>
  <si>
    <t>hoek</t>
  </si>
  <si>
    <t>gemiddeld</t>
  </si>
  <si>
    <t>2.20</t>
  </si>
  <si>
    <t>hulp daglicht toegevoegd</t>
  </si>
  <si>
    <t>gegevens validatie ventilatie overige ruimten verwijderd</t>
  </si>
  <si>
    <t xml:space="preserve">uitgangspunten: </t>
  </si>
  <si>
    <t>Gemiddeld:</t>
  </si>
  <si>
    <t>Aantal sectoren belemmerd:</t>
  </si>
  <si>
    <t>D</t>
  </si>
  <si>
    <t>Hoogte raam:</t>
  </si>
  <si>
    <t>C</t>
  </si>
  <si>
    <t>Hoogte B:</t>
  </si>
  <si>
    <t>B</t>
  </si>
  <si>
    <t>Variant B</t>
  </si>
  <si>
    <t>Variant A</t>
  </si>
  <si>
    <t>Een gelijk verlopend overstek aanwezig is</t>
  </si>
  <si>
    <t>Alfa maximaal is</t>
  </si>
  <si>
    <t>Wanneer:</t>
  </si>
  <si>
    <t>Bepaling belemmeringshoeken met belemmeringen en overstekken gezamenlijk aanwezig</t>
  </si>
  <si>
    <t>Kozijn 1, woningtype A</t>
  </si>
  <si>
    <t>Kozijn type:</t>
  </si>
  <si>
    <t>variant b</t>
  </si>
  <si>
    <t>Uitkomst</t>
  </si>
  <si>
    <t>variant a</t>
  </si>
  <si>
    <t>Invullen</t>
  </si>
  <si>
    <t>Projectnummer</t>
  </si>
  <si>
    <t>Project</t>
  </si>
  <si>
    <t>Tekening kenmerken:</t>
  </si>
  <si>
    <t>&lt;datum&gt;</t>
  </si>
  <si>
    <t>2.23</t>
  </si>
  <si>
    <t>jwi</t>
  </si>
  <si>
    <t>macro/blad</t>
  </si>
  <si>
    <t>aanpassingen in code / pulldown data uit blad gefilterd.</t>
  </si>
  <si>
    <t>Type ventilatie systeem</t>
  </si>
  <si>
    <t>Type rooster fabrikant</t>
  </si>
  <si>
    <t>Uitgangspunt ventilatie</t>
  </si>
  <si>
    <t>berekening op basis van minimale capaciteit</t>
  </si>
  <si>
    <t>70%-eis</t>
  </si>
  <si>
    <t>70 % eis conform Bb '12 artikel 3.29 lid 5 van toepassing</t>
  </si>
  <si>
    <t>Eerste runtime verblijfsgebied opzetten</t>
  </si>
  <si>
    <t>blad</t>
  </si>
  <si>
    <t>updaten voorwaardelijke opmaak bij kopje toevoer ventilatie lucht.</t>
  </si>
  <si>
    <t>&lt;status tekeningen (VO / DO / Vergunningsaanvraag)&gt;</t>
  </si>
  <si>
    <t>poging 2 om voorwaardelijke opmaak correct er in te krijgen + kleine visuele aanpassingen</t>
  </si>
  <si>
    <t>kleine aanpassingen in manier waarop de balanssituatie word bepaald</t>
  </si>
  <si>
    <t>70% eis staat standaard op van toepassing</t>
  </si>
  <si>
    <t>stallingsgarage</t>
  </si>
  <si>
    <t>gemeenschappelijke verkeersruimte</t>
  </si>
  <si>
    <t>opslagruimte voor huishoudelijk afval</t>
  </si>
  <si>
    <t>jbb</t>
  </si>
  <si>
    <t>niet geschikt voor U-bouw; ander bestand aangemaakt; niet zomaar gebruikt!</t>
  </si>
  <si>
    <t>onduidelijk wat de totale ventilatiecapaciteit is en waarmee wordt gerekend, tekstueel aangepast en het totaal wordt nu weergegeven</t>
  </si>
  <si>
    <t>vereist vlg. Bouwbesluit</t>
  </si>
  <si>
    <t>x</t>
  </si>
  <si>
    <t>2.26</t>
  </si>
  <si>
    <t>- een gedeelte van de code is herschreven om het efficienter te laten verlopen. Tevens is de methode van vg/vr's toevoegen wat meer opgeknipte in lossere, duidelijkere procedures.
- overzicht met ventilatiestroom is toegevoegd aan het blad. Deze word automatisch gevuld bij het eerste keer opzetten van het blad.</t>
  </si>
  <si>
    <t>2.28</t>
  </si>
  <si>
    <t>correctiefactor voor verticaal vlak (a = 24, b = 62) is aangeplast n.a.v. Yammer bericht van Cor op d.d. 16 nov '17</t>
  </si>
  <si>
    <t>2.27</t>
  </si>
  <si>
    <t>voorwaardelijke opmaak bij 55%-eis. Tekst kleurde rood tussen 18 en 24 m² verblijfsgebied. De voorwaardelijek opmaaak veranderd naar mininaal 18 m²</t>
  </si>
  <si>
    <t>macro / blad</t>
  </si>
  <si>
    <t>kleine wijziging in de code: beveiliging uit zetten voordat er rijen toegevoegd kunnen worden.
Bij 70% eis opmerking toegevoegd mbt ventilatieprincipe systeem D</t>
  </si>
  <si>
    <t>Kleine aanpassing in macro om VG/VR toe te voegen. Nu worden rijen op de goede plek toegevoegd als er rijen verborgen zijn.</t>
  </si>
  <si>
    <t>Bij 70% eis opmerking aangepast mbt ventilatieprincipe systeem D, wanneer systeem D met 2 zone regeling of CO2 sturing wordt toegepast, is de 70% eis wel van toepassing</t>
  </si>
  <si>
    <t>BOUWBESLUITBEREKENINGEN WOONFUNCTIE</t>
  </si>
  <si>
    <t>PROJECTGEGEVENS</t>
  </si>
  <si>
    <t>VENTILATIE OVERIGE RUIMTEN</t>
  </si>
  <si>
    <t>OPPERVLAKTE-OVERZICHT</t>
  </si>
  <si>
    <t>VERBLIJFSGEBIEDEN / -RUIMTEN</t>
  </si>
  <si>
    <t>DAGLICHTTOETREDING</t>
  </si>
  <si>
    <t>VENTILATIESYSTEEM</t>
  </si>
  <si>
    <t>VENTILATIETOEVOER</t>
  </si>
  <si>
    <t>VENTILATIEAFVOER BOUWBESLUIT 2012</t>
  </si>
  <si>
    <t>VENTILATIEAFVOER PRIVAATRECHTELIJKE EISEN</t>
  </si>
  <si>
    <t>OVERSTROOMVOORZIENINGEN</t>
  </si>
  <si>
    <t>SPUIVENTILATIE</t>
  </si>
  <si>
    <t>belemmering a</t>
  </si>
  <si>
    <t>belemmering b</t>
  </si>
  <si>
    <r>
      <t>C</t>
    </r>
    <r>
      <rPr>
        <sz val="6"/>
        <color theme="1"/>
        <rFont val="Verdana"/>
        <family val="2"/>
      </rPr>
      <t xml:space="preserve">b </t>
    </r>
    <r>
      <rPr>
        <sz val="8"/>
        <color theme="1"/>
        <rFont val="HELEVTICA"/>
      </rPr>
      <t>factor</t>
    </r>
  </si>
  <si>
    <r>
      <t>C</t>
    </r>
    <r>
      <rPr>
        <sz val="6"/>
        <color theme="1"/>
        <rFont val="Verdana"/>
        <family val="2"/>
      </rPr>
      <t xml:space="preserve">b </t>
    </r>
    <r>
      <rPr>
        <sz val="8"/>
        <color theme="1"/>
        <rFont val="HELVETICA"/>
      </rPr>
      <t>factor</t>
    </r>
  </si>
  <si>
    <t>α</t>
  </si>
  <si>
    <t>β</t>
  </si>
  <si>
    <r>
      <t>A</t>
    </r>
    <r>
      <rPr>
        <b/>
        <vertAlign val="subscript"/>
        <sz val="11"/>
        <color theme="0"/>
        <rFont val="Helvetica Light"/>
      </rPr>
      <t xml:space="preserve">vloer;bruto </t>
    </r>
  </si>
  <si>
    <r>
      <t>A</t>
    </r>
    <r>
      <rPr>
        <b/>
        <vertAlign val="subscript"/>
        <sz val="11"/>
        <color theme="0"/>
        <rFont val="Helvetica Light"/>
      </rPr>
      <t>krijtstreep</t>
    </r>
  </si>
  <si>
    <r>
      <t>A</t>
    </r>
    <r>
      <rPr>
        <b/>
        <vertAlign val="subscript"/>
        <sz val="11"/>
        <color theme="0"/>
        <rFont val="Helvetica Light"/>
      </rPr>
      <t>vloer;netto 
(na krijtstrepen)</t>
    </r>
  </si>
  <si>
    <r>
      <t>A</t>
    </r>
    <r>
      <rPr>
        <b/>
        <vertAlign val="subscript"/>
        <sz val="11"/>
        <color theme="0"/>
        <rFont val="Helvetica Light"/>
      </rPr>
      <t>vloer;extra</t>
    </r>
  </si>
  <si>
    <r>
      <t>A</t>
    </r>
    <r>
      <rPr>
        <b/>
        <vertAlign val="subscript"/>
        <sz val="11"/>
        <color theme="0"/>
        <rFont val="Helvetica Light"/>
      </rPr>
      <t>vloer;aanwezig</t>
    </r>
  </si>
  <si>
    <r>
      <t>A</t>
    </r>
    <r>
      <rPr>
        <b/>
        <vertAlign val="subscript"/>
        <sz val="11"/>
        <color theme="0"/>
        <rFont val="Helvetica Light"/>
      </rPr>
      <t>d</t>
    </r>
  </si>
  <si>
    <r>
      <t>C</t>
    </r>
    <r>
      <rPr>
        <b/>
        <vertAlign val="subscript"/>
        <sz val="11"/>
        <color theme="0"/>
        <rFont val="Helvetica Light"/>
      </rPr>
      <t>LTA</t>
    </r>
  </si>
  <si>
    <r>
      <t>C</t>
    </r>
    <r>
      <rPr>
        <b/>
        <vertAlign val="subscript"/>
        <sz val="11"/>
        <color theme="0"/>
        <rFont val="Helvetica Light"/>
      </rPr>
      <t>u</t>
    </r>
  </si>
  <si>
    <r>
      <t>C</t>
    </r>
    <r>
      <rPr>
        <b/>
        <vertAlign val="subscript"/>
        <sz val="11"/>
        <color theme="0"/>
        <rFont val="Helvetica Light"/>
      </rPr>
      <t>b</t>
    </r>
  </si>
  <si>
    <r>
      <t>A</t>
    </r>
    <r>
      <rPr>
        <b/>
        <vertAlign val="subscript"/>
        <sz val="11"/>
        <color theme="0"/>
        <rFont val="Helvetica Light"/>
      </rPr>
      <t>e</t>
    </r>
  </si>
  <si>
    <r>
      <t>A</t>
    </r>
    <r>
      <rPr>
        <b/>
        <vertAlign val="subscript"/>
        <sz val="11"/>
        <color theme="0"/>
        <rFont val="Helvetica Light"/>
      </rPr>
      <t>vloer</t>
    </r>
  </si>
  <si>
    <r>
      <t>A</t>
    </r>
    <r>
      <rPr>
        <b/>
        <vertAlign val="subscript"/>
        <sz val="11"/>
        <color theme="0"/>
        <rFont val="Helvetica Light"/>
      </rPr>
      <t>netto;vereist</t>
    </r>
  </si>
  <si>
    <r>
      <t>A</t>
    </r>
    <r>
      <rPr>
        <b/>
        <vertAlign val="subscript"/>
        <sz val="11"/>
        <color theme="0"/>
        <rFont val="Helvetica Light"/>
      </rPr>
      <t>netto;minimaal;aanwezig</t>
    </r>
  </si>
  <si>
    <t>BOUWBESLUITBEREKENINGEN NIEUWBOUW (BOUWBESLUIT 2012)</t>
  </si>
  <si>
    <r>
      <t xml:space="preserve">Afronding vloeroppervlakten vlgns nen 2580 </t>
    </r>
    <r>
      <rPr>
        <i/>
        <sz val="11"/>
        <rFont val="Helvetica LIGHT"/>
      </rPr>
      <t>(nagekomen, democratisch besloten dat we dit aan de invoerder/invoerster overlaten)</t>
    </r>
  </si>
  <si>
    <r>
      <t>q</t>
    </r>
    <r>
      <rPr>
        <b/>
        <vertAlign val="subscript"/>
        <sz val="11"/>
        <color theme="0"/>
        <rFont val="Helvetica Light"/>
      </rPr>
      <t>v</t>
    </r>
    <r>
      <rPr>
        <b/>
        <sz val="11"/>
        <color theme="0"/>
        <rFont val="Helvetica Light"/>
      </rPr>
      <t xml:space="preserve">
[dm</t>
    </r>
    <r>
      <rPr>
        <b/>
        <vertAlign val="superscript"/>
        <sz val="11"/>
        <color theme="0"/>
        <rFont val="Helvetica LIGHT"/>
      </rPr>
      <t>3</t>
    </r>
    <r>
      <rPr>
        <b/>
        <sz val="11"/>
        <color theme="0"/>
        <rFont val="Helvetica Light"/>
      </rPr>
      <t>/s]</t>
    </r>
  </si>
  <si>
    <r>
      <t>A</t>
    </r>
    <r>
      <rPr>
        <b/>
        <vertAlign val="subscript"/>
        <sz val="11"/>
        <color theme="0"/>
        <rFont val="Helvetica Light"/>
      </rPr>
      <t>netto;mininaal</t>
    </r>
  </si>
  <si>
    <r>
      <t>A</t>
    </r>
    <r>
      <rPr>
        <b/>
        <vertAlign val="subscript"/>
        <sz val="11"/>
        <color theme="0"/>
        <rFont val="Helvetica Light"/>
      </rPr>
      <t>netto;minimaal</t>
    </r>
  </si>
  <si>
    <r>
      <t>A</t>
    </r>
    <r>
      <rPr>
        <b/>
        <vertAlign val="subscript"/>
        <sz val="8"/>
        <rFont val="Helvetica Light"/>
      </rPr>
      <t>D</t>
    </r>
  </si>
  <si>
    <r>
      <t>C</t>
    </r>
    <r>
      <rPr>
        <b/>
        <vertAlign val="subscript"/>
        <sz val="8"/>
        <rFont val="Helvetica Light"/>
      </rPr>
      <t>LTA</t>
    </r>
  </si>
  <si>
    <r>
      <t>C</t>
    </r>
    <r>
      <rPr>
        <b/>
        <vertAlign val="subscript"/>
        <sz val="8"/>
        <rFont val="Helvetica Light"/>
      </rPr>
      <t>u</t>
    </r>
  </si>
  <si>
    <r>
      <t>C</t>
    </r>
    <r>
      <rPr>
        <b/>
        <vertAlign val="subscript"/>
        <sz val="8"/>
        <rFont val="Helvetica Light"/>
      </rPr>
      <t>b</t>
    </r>
  </si>
  <si>
    <r>
      <t>A</t>
    </r>
    <r>
      <rPr>
        <b/>
        <vertAlign val="subscript"/>
        <sz val="8"/>
        <rFont val="Helvetica Light"/>
      </rPr>
      <t>e</t>
    </r>
  </si>
  <si>
    <r>
      <t>A</t>
    </r>
    <r>
      <rPr>
        <b/>
        <vertAlign val="subscript"/>
        <sz val="8"/>
        <color theme="0"/>
        <rFont val="Helvetica Light"/>
      </rPr>
      <t>vloer</t>
    </r>
  </si>
  <si>
    <r>
      <t>A</t>
    </r>
    <r>
      <rPr>
        <b/>
        <vertAlign val="subscript"/>
        <sz val="8"/>
        <rFont val="Helvetica Light"/>
      </rPr>
      <t>vloer;aanwezig</t>
    </r>
  </si>
  <si>
    <r>
      <t>A</t>
    </r>
    <r>
      <rPr>
        <b/>
        <vertAlign val="subscript"/>
        <sz val="8"/>
        <rFont val="Helvetica Light"/>
      </rPr>
      <t>netto;vereist</t>
    </r>
  </si>
  <si>
    <r>
      <t>A</t>
    </r>
    <r>
      <rPr>
        <b/>
        <vertAlign val="subscript"/>
        <sz val="8"/>
        <rFont val="Helvetica Light"/>
      </rPr>
      <t>netto;aanwezig</t>
    </r>
  </si>
  <si>
    <r>
      <t>A</t>
    </r>
    <r>
      <rPr>
        <b/>
        <vertAlign val="subscript"/>
        <sz val="9"/>
        <rFont val="Helvetica Light"/>
      </rPr>
      <t xml:space="preserve">vloer;bruto </t>
    </r>
  </si>
  <si>
    <r>
      <t>A</t>
    </r>
    <r>
      <rPr>
        <b/>
        <vertAlign val="subscript"/>
        <sz val="9"/>
        <rFont val="Helvetica Light"/>
      </rPr>
      <t>krijtstreep</t>
    </r>
  </si>
  <si>
    <r>
      <t>A</t>
    </r>
    <r>
      <rPr>
        <b/>
        <vertAlign val="subscript"/>
        <sz val="9"/>
        <rFont val="Helvetica Light"/>
      </rPr>
      <t>vloer;netto 
(na krijtstrepen)</t>
    </r>
  </si>
  <si>
    <r>
      <t>A</t>
    </r>
    <r>
      <rPr>
        <b/>
        <vertAlign val="subscript"/>
        <sz val="9"/>
        <rFont val="Helvetica Light"/>
      </rPr>
      <t>vloer;aanwezig</t>
    </r>
  </si>
  <si>
    <t>ctrl + ;</t>
  </si>
  <si>
    <t>&lt;project&gt;</t>
  </si>
  <si>
    <t>&lt;projectnummer&gt;</t>
  </si>
  <si>
    <t>&lt;opdrachtgever&gt;</t>
  </si>
  <si>
    <t>slaapkamer 2</t>
  </si>
  <si>
    <t>slaapkamer 3</t>
  </si>
  <si>
    <t>LET OP ALS MT IS, DAN GOED AANGEVEN IN RAPPORTAGE WAAROM WE UIT ZIJN GEGAAN VAN CAPACITEIT BIJ ADVIES</t>
  </si>
  <si>
    <t>Eventueel verwerken van het type ventilatiebox, dit in combinatie met de capaciteit van de box en dat er eventueel 2 boxen nodig zijn.</t>
  </si>
  <si>
    <t>advies</t>
  </si>
  <si>
    <t>niet toevoegen als bijlage, gebruik tekeningen en aanwijzingen zoals op deze tekeningen. Info bij caya/ peterS/ daphne</t>
  </si>
  <si>
    <t>uiteraard wel als klad te gebruiken :)</t>
  </si>
  <si>
    <t>goed bekijken!</t>
  </si>
  <si>
    <t>let op verschillende manieren van spuien bepalen:
- let op inwenidge hoek en uitwendige hoek en luchtsnelheid
- verschil op verblijfsgebied niveau en verblijfsruimteniveau.
nagaan bij Sandra of Wouter!!!!</t>
  </si>
  <si>
    <t>3.4</t>
  </si>
  <si>
    <t>De rijen en code voor het blok met overstroomvoorzieningen in het diagram zijn verwijderd op verzoek van Daphne Hellendoorn. Deze functionaliteit werdt praktisch niet gebruikt en is dus verwijderd.</t>
  </si>
  <si>
    <t>als er een datum is ingevuld in het datum veld en daarna word met de knop het aantal verblijfsruimten gewijzigd, dan word de datum geïntepreteerd als engelse / amerikaanse datumnotatie. Dit houd in dat bijvoorbeeld 6 december verandert naar 12 juni.
JWI: Opgelost door de datum in het invoerformulier te formateren in yyyy-mm-dd formaat. Nu wordt deze goed overgenomen.</t>
  </si>
  <si>
    <t>Westknollendam 80</t>
  </si>
  <si>
    <t>Vergunningsaanvraag</t>
  </si>
  <si>
    <t>T. Stam &amp; L. Schoemaker</t>
  </si>
  <si>
    <t>Vrijstaande woning</t>
  </si>
  <si>
    <t>woonkamer / eetkamer</t>
  </si>
  <si>
    <t>studeerkamer</t>
  </si>
  <si>
    <t>bijkeuken</t>
  </si>
  <si>
    <t>zuid</t>
  </si>
  <si>
    <t>oost</t>
  </si>
  <si>
    <t>noord</t>
  </si>
  <si>
    <t>zuid overstek</t>
  </si>
  <si>
    <t>west</t>
  </si>
  <si>
    <t>dakkapel zuid</t>
  </si>
  <si>
    <t>dakkapel noord</t>
  </si>
  <si>
    <t>uitbouw noord</t>
  </si>
  <si>
    <t>overloop</t>
  </si>
  <si>
    <t>hal</t>
  </si>
  <si>
    <t>toilet boven</t>
  </si>
  <si>
    <t>toilet beneden</t>
  </si>
  <si>
    <t>rijen verborgen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</si>
</sst>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164" formatCode="0.0"/>
    <numFmt numFmtId="165" formatCode="0.000"/>
    <numFmt numFmtId="166" formatCode="0.0\ &quot;m²&quot;"/>
    <numFmt numFmtId="167" formatCode="0.00\ &quot;m²K/W&quot;"/>
    <numFmt numFmtId="168" formatCode="s\t\a\nd\a\a\rd"/>
    <numFmt numFmtId="169" formatCode="[$-413]d\ mmmm\ yyyy;@"/>
    <numFmt numFmtId="170" formatCode="0.00\ &quot;W/m²K&quot;"/>
    <numFmt numFmtId="171" formatCode="0.00\ &quot;m²&quot;"/>
    <numFmt numFmtId="172" formatCode="\$#,##0\ ;\(\$#,##0\)"/>
    <numFmt numFmtId="173" formatCode="0\ &quot;mm&quot;"/>
    <numFmt numFmtId="174" formatCode="0\ &quot;mm&quot;\ "/>
    <numFmt numFmtId="175" formatCode="0.000\ &quot;W/mK&quot;"/>
    <numFmt numFmtId="176" formatCode="0.0000"/>
    <numFmt numFmtId="177" formatCode="0\ &quot;stuk(s)&quot;"/>
    <numFmt numFmtId="178" formatCode="0\ &quot;m²&quot;"/>
    <numFmt numFmtId="179" formatCode="0.00\ &quot;m&quot;\ "/>
    <numFmt numFmtId="180" formatCode="0\ &quot;m²&quot;\ "/>
    <numFmt numFmtId="181" formatCode="0.0\ &quot;m²&quot;\ "/>
    <numFmt numFmtId="182" formatCode="0\ &quot;%&quot;\ "/>
    <numFmt numFmtId="183" formatCode="0.0\ &quot;m&quot;\ "/>
    <numFmt numFmtId="184" formatCode="0\ &quot;stuk&quot;\ "/>
    <numFmt numFmtId="185" formatCode="0\ &quot;stuk (go alle wf &lt;125)&quot;\ "/>
    <numFmt numFmtId="186" formatCode="0\ &quot;stuk (go alle wf &lt;250)&quot;\ "/>
    <numFmt numFmtId="187" formatCode="0\ &quot;stuks (go &lt; 150 m2)&quot;\ "/>
    <numFmt numFmtId="188" formatCode="0.0\ &quot;dm³/s per m²&quot;"/>
    <numFmt numFmtId="189" formatCode="0.0\ &quot;cm²&quot;"/>
    <numFmt numFmtId="190" formatCode="&quot;verblijfsruimte&quot;\ 0"/>
    <numFmt numFmtId="191" formatCode="&quot;verblijfsgebied&quot;\ 0"/>
    <numFmt numFmtId="192" formatCode="&quot;laag&quot;\ 0"/>
    <numFmt numFmtId="193" formatCode="&quot;(gekrijtstreept oppervlak&quot;\ 0.0\ &quot;m²)&quot;\ "/>
    <numFmt numFmtId="194" formatCode="0.0\ &quot;dm³/s&quot;"/>
    <numFmt numFmtId="195" formatCode="0.0\ &quot;dm³/s.m¹&quot;"/>
    <numFmt numFmtId="196" formatCode="&quot;verblijfsruimte&quot;\ 0.0\ &quot;m²&quot;\ "/>
    <numFmt numFmtId="197" formatCode="&quot;verblijfsgebied&quot;\ 0.0\ &quot;m²&quot;\ "/>
    <numFmt numFmtId="198" formatCode="0.000\ &quot;m²&quot;\ "/>
    <numFmt numFmtId="199" formatCode="0.0\ &quot;m/s&quot;"/>
    <numFmt numFmtId="200" formatCode="&quot;(&quot;0&quot;)&quot;"/>
    <numFmt numFmtId="201" formatCode="0&quot;°&quot;"/>
    <numFmt numFmtId="202" formatCode="&quot;vereist:&quot;\ 0"/>
    <numFmt numFmtId="203" formatCode="&quot;aanwezig:&quot;\ 0"/>
    <numFmt numFmtId="204" formatCode="0\ &quot;m³/h&quot;"/>
    <numFmt numFmtId="205" formatCode="&quot;≥&quot;\ 0.000\ &quot;m²&quot;\ "/>
    <numFmt numFmtId="206" formatCode="0.0\ &quot;l/s per m2&quot;"/>
    <numFmt numFmtId="207" formatCode="0.00\ &quot;m²&quot;\ "/>
    <numFmt numFmtId="208" formatCode="0&quot;⁰&quot;"/>
    <numFmt numFmtId="209" formatCode="0.0000\ &quot;m²&quot;"/>
    <numFmt numFmtId="210" formatCode="0.000\ &quot;m/s&quot;"/>
  </numFmts>
  <fonts count="92">
    <font>
      <sz val="10"/>
      <name val="Arial"/>
    </font>
    <font>
      <sz val="11"/>
      <color theme="1"/>
      <name val="Calibri"/>
      <family val="2"/>
      <scheme val="minor"/>
    </font>
    <font>
      <sz val="10"/>
      <name val="Arial"/>
      <family val="2"/>
    </font>
    <font>
      <b/>
      <sz val="18"/>
      <name val="Arial"/>
      <family val="2"/>
    </font>
    <font>
      <b/>
      <sz val="10"/>
      <name val="Arial"/>
      <family val="2"/>
    </font>
    <font>
      <i/>
      <sz val="10"/>
      <name val="Arial"/>
      <family val="2"/>
    </font>
    <font>
      <b/>
      <sz val="18"/>
      <name val="Arial"/>
      <family val="2"/>
    </font>
    <font>
      <b/>
      <sz val="12"/>
      <name val="Arial"/>
      <family val="2"/>
    </font>
    <font>
      <sz val="8"/>
      <name val="Arial"/>
      <family val="2"/>
    </font>
    <font>
      <vertAlign val="superscript"/>
      <sz val="10"/>
      <name val="Arial"/>
      <family val="2"/>
    </font>
    <font>
      <sz val="9"/>
      <name val="Arial"/>
      <family val="2"/>
    </font>
    <font>
      <vertAlign val="subscript"/>
      <sz val="10"/>
      <name val="Arial"/>
      <family val="2"/>
    </font>
    <font>
      <i/>
      <vertAlign val="subscript"/>
      <sz val="10"/>
      <name val="Arial"/>
      <family val="2"/>
    </font>
    <font>
      <b/>
      <i/>
      <sz val="10"/>
      <name val="Arial"/>
      <family val="2"/>
    </font>
    <font>
      <b/>
      <sz val="10"/>
      <color indexed="81"/>
      <name val="Tahoma"/>
      <family val="2"/>
    </font>
    <font>
      <sz val="10"/>
      <color indexed="81"/>
      <name val="Tahoma"/>
      <family val="2"/>
    </font>
    <font>
      <sz val="10"/>
      <color indexed="10"/>
      <name val="Arial"/>
      <family val="2"/>
    </font>
    <font>
      <sz val="8"/>
      <name val="Symbol"/>
      <family val="1"/>
      <charset val="2"/>
    </font>
    <font>
      <b/>
      <sz val="8"/>
      <name val="Verdana"/>
      <family val="2"/>
    </font>
    <font>
      <sz val="8"/>
      <name val="Verdana"/>
      <family val="2"/>
    </font>
    <font>
      <sz val="8"/>
      <color theme="1"/>
      <name val="Verdana"/>
      <family val="2"/>
    </font>
    <font>
      <sz val="9"/>
      <name val="Verdana"/>
      <family val="2"/>
    </font>
    <font>
      <sz val="11"/>
      <color theme="1"/>
      <name val="Calibri"/>
      <family val="2"/>
    </font>
    <font>
      <sz val="9"/>
      <color theme="1"/>
      <name val="Verdana"/>
      <family val="2"/>
    </font>
    <font>
      <b/>
      <sz val="14"/>
      <color theme="1"/>
      <name val="Verdana"/>
      <family val="2"/>
    </font>
    <font>
      <b/>
      <sz val="20"/>
      <color theme="1"/>
      <name val="Symbol"/>
      <family val="1"/>
      <charset val="2"/>
    </font>
    <font>
      <sz val="6"/>
      <color theme="1"/>
      <name val="Verdana"/>
      <family val="2"/>
    </font>
    <font>
      <b/>
      <sz val="11"/>
      <color theme="1"/>
      <name val="Verdana"/>
      <family val="2"/>
    </font>
    <font>
      <sz val="12"/>
      <color theme="1"/>
      <name val="Symbol"/>
      <family val="1"/>
      <charset val="2"/>
    </font>
    <font>
      <sz val="12"/>
      <color theme="1"/>
      <name val="Verdana"/>
      <family val="2"/>
    </font>
    <font>
      <sz val="18"/>
      <color theme="1"/>
      <name val="Verdana"/>
      <family val="2"/>
    </font>
    <font>
      <b/>
      <sz val="10"/>
      <color theme="1"/>
      <name val="Verdana"/>
      <family val="2"/>
    </font>
    <font>
      <sz val="9"/>
      <color indexed="81"/>
      <name val="Tahoma"/>
      <family val="2"/>
    </font>
    <font>
      <b/>
      <sz val="9"/>
      <color indexed="81"/>
      <name val="Tahoma"/>
      <family val="2"/>
    </font>
    <font>
      <b/>
      <sz val="11"/>
      <color theme="0"/>
      <name val="HELVETICA"/>
    </font>
    <font>
      <b/>
      <sz val="12"/>
      <color theme="0"/>
      <name val="HELVETICA"/>
    </font>
    <font>
      <b/>
      <sz val="11"/>
      <name val="HELVETICA"/>
    </font>
    <font>
      <sz val="8"/>
      <color theme="1"/>
      <name val="HELVETICA"/>
    </font>
    <font>
      <b/>
      <sz val="11"/>
      <color theme="1"/>
      <name val="HELVETICA"/>
    </font>
    <font>
      <sz val="11"/>
      <color theme="1"/>
      <name val="HELVETICA"/>
    </font>
    <font>
      <b/>
      <sz val="11"/>
      <color rgb="FF1B5EAA"/>
      <name val="HELVETICA"/>
    </font>
    <font>
      <sz val="11"/>
      <color rgb="FF1B5EAA"/>
      <name val="HELVETICA"/>
    </font>
    <font>
      <sz val="9"/>
      <color theme="1"/>
      <name val="HELVETICA"/>
    </font>
    <font>
      <b/>
      <sz val="8"/>
      <color theme="1"/>
      <name val="HELEVTICA"/>
    </font>
    <font>
      <sz val="9"/>
      <color theme="1"/>
      <name val="HELEVTICA"/>
    </font>
    <font>
      <sz val="8"/>
      <color theme="1"/>
      <name val="HELEVTICA"/>
    </font>
    <font>
      <b/>
      <sz val="14"/>
      <color theme="1"/>
      <name val="HELEVTICA"/>
    </font>
    <font>
      <b/>
      <sz val="15"/>
      <color theme="1"/>
      <name val="HELEVTICA"/>
    </font>
    <font>
      <b/>
      <sz val="12"/>
      <color theme="0"/>
      <name val="HELEVTICA"/>
    </font>
    <font>
      <b/>
      <sz val="14"/>
      <color theme="1"/>
      <name val="HELEVTCIA"/>
    </font>
    <font>
      <b/>
      <sz val="14"/>
      <color theme="1"/>
      <name val="HELVETICA"/>
    </font>
    <font>
      <b/>
      <sz val="11"/>
      <color theme="0"/>
      <name val="HELEVTICA"/>
    </font>
    <font>
      <b/>
      <sz val="8"/>
      <color theme="0"/>
      <name val="HELVETICA"/>
    </font>
    <font>
      <b/>
      <sz val="8"/>
      <color theme="1"/>
      <name val="HELVETICA"/>
    </font>
    <font>
      <b/>
      <sz val="8"/>
      <color theme="0"/>
      <name val="HELEVTICA"/>
    </font>
    <font>
      <b/>
      <sz val="15"/>
      <color theme="0"/>
      <name val="Helvetica Light"/>
    </font>
    <font>
      <b/>
      <sz val="12"/>
      <color theme="0"/>
      <name val="Helvetica Light"/>
    </font>
    <font>
      <b/>
      <i/>
      <sz val="8"/>
      <name val="Helvetica Light"/>
    </font>
    <font>
      <sz val="8"/>
      <name val="Helvetica Light"/>
    </font>
    <font>
      <sz val="8"/>
      <color rgb="FF0000FF"/>
      <name val="Helvetica Light"/>
    </font>
    <font>
      <sz val="8"/>
      <color indexed="12"/>
      <name val="Helvetica Light"/>
    </font>
    <font>
      <sz val="8"/>
      <color indexed="48"/>
      <name val="Helvetica Light"/>
    </font>
    <font>
      <b/>
      <sz val="8"/>
      <name val="Helvetica Light"/>
    </font>
    <font>
      <b/>
      <sz val="8"/>
      <color indexed="10"/>
      <name val="Helvetica Light"/>
    </font>
    <font>
      <b/>
      <sz val="8"/>
      <color rgb="FFFF0000"/>
      <name val="Helvetica Light"/>
    </font>
    <font>
      <b/>
      <sz val="11"/>
      <color theme="0"/>
      <name val="Helvetica Light"/>
    </font>
    <font>
      <b/>
      <vertAlign val="subscript"/>
      <sz val="11"/>
      <color theme="0"/>
      <name val="Helvetica Light"/>
    </font>
    <font>
      <sz val="10"/>
      <name val="Helvetica Light"/>
    </font>
    <font>
      <b/>
      <sz val="8"/>
      <color indexed="12"/>
      <name val="Helvetica Light"/>
    </font>
    <font>
      <i/>
      <sz val="8"/>
      <color indexed="10"/>
      <name val="Helvetica Light"/>
    </font>
    <font>
      <sz val="8"/>
      <color indexed="10"/>
      <name val="Helvetica Light"/>
    </font>
    <font>
      <sz val="8"/>
      <color rgb="FFFF0000"/>
      <name val="Helvetica Light"/>
    </font>
    <font>
      <b/>
      <sz val="11"/>
      <name val="Helvetica Light"/>
    </font>
    <font>
      <i/>
      <sz val="8"/>
      <name val="Helvetica Light"/>
    </font>
    <font>
      <sz val="8"/>
      <color theme="1"/>
      <name val="Helvetica Light"/>
    </font>
    <font>
      <sz val="8"/>
      <color indexed="9"/>
      <name val="Helvetica Light"/>
    </font>
    <font>
      <sz val="11"/>
      <name val="Helvetica LIGHT"/>
    </font>
    <font>
      <i/>
      <sz val="11"/>
      <name val="Helvetica LIGHT"/>
    </font>
    <font>
      <b/>
      <sz val="10"/>
      <name val="Helvetica LIGHT"/>
    </font>
    <font>
      <sz val="10"/>
      <color indexed="12"/>
      <name val="Helvetica LIGHT"/>
    </font>
    <font>
      <b/>
      <vertAlign val="superscript"/>
      <sz val="11"/>
      <color theme="0"/>
      <name val="Helvetica LIGHT"/>
    </font>
    <font>
      <i/>
      <sz val="10"/>
      <name val="Helvetica LIGHT"/>
    </font>
    <font>
      <b/>
      <i/>
      <sz val="12"/>
      <name val="Helvetica LIGHT"/>
    </font>
    <font>
      <b/>
      <vertAlign val="subscript"/>
      <sz val="8"/>
      <name val="Helvetica Light"/>
    </font>
    <font>
      <b/>
      <sz val="8"/>
      <color theme="0"/>
      <name val="Helvetica Light"/>
    </font>
    <font>
      <b/>
      <vertAlign val="subscript"/>
      <sz val="8"/>
      <color theme="0"/>
      <name val="Helvetica Light"/>
    </font>
    <font>
      <b/>
      <sz val="9"/>
      <name val="Helvetica Light"/>
    </font>
    <font>
      <b/>
      <vertAlign val="subscript"/>
      <sz val="9"/>
      <name val="Helvetica Light"/>
    </font>
    <font>
      <sz val="8"/>
      <color rgb="FF000000"/>
      <name val="Helvetica"/>
    </font>
    <font>
      <sz val="16"/>
      <color rgb="FFFF0000"/>
      <name val="Helvetica Light"/>
    </font>
    <font>
      <sz val="16"/>
      <name val="Helvetica Light"/>
    </font>
    <font>
      <b/>
      <i/>
      <sz val="8"/>
      <color rgb="FFFF0000"/>
      <name val="Helvetica Light"/>
    </font>
  </fonts>
  <fills count="14">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22"/>
        <bgColor indexed="64"/>
      </patternFill>
    </fill>
    <fill>
      <patternFill patternType="solid">
        <fgColor theme="0"/>
        <bgColor indexed="64"/>
      </patternFill>
    </fill>
    <fill>
      <patternFill patternType="solid">
        <fgColor rgb="FF008FC1"/>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92D050"/>
        <bgColor indexed="64"/>
      </patternFill>
    </fill>
    <fill>
      <patternFill patternType="solid">
        <fgColor rgb="FFFF0000"/>
        <bgColor indexed="64"/>
      </patternFill>
    </fill>
    <fill>
      <patternFill patternType="solid">
        <fgColor theme="0" tint="-0.249977111117893"/>
        <bgColor indexed="64"/>
      </patternFill>
    </fill>
    <fill>
      <patternFill patternType="solid">
        <fgColor rgb="FF99C31D"/>
        <bgColor indexed="64"/>
      </patternFill>
    </fill>
    <fill>
      <patternFill patternType="solid">
        <fgColor rgb="FF1B5EAA"/>
        <bgColor indexed="64"/>
      </patternFill>
    </fill>
  </fills>
  <borders count="42">
    <border>
      <left/>
      <right/>
      <top/>
      <bottom/>
      <diagonal/>
    </border>
    <border>
      <left/>
      <right/>
      <top style="double">
        <color indexed="64"/>
      </top>
      <bottom/>
      <diagonal/>
    </border>
    <border>
      <left/>
      <right style="thin">
        <color indexed="64"/>
      </right>
      <top/>
      <bottom style="thick">
        <color indexed="64"/>
      </bottom>
      <diagonal/>
    </border>
    <border>
      <left style="thin">
        <color indexed="64"/>
      </left>
      <right/>
      <top/>
      <bottom/>
      <diagonal/>
    </border>
    <border>
      <left/>
      <right style="thin">
        <color indexed="64"/>
      </right>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style="thin">
        <color indexed="64"/>
      </right>
      <top/>
      <bottom/>
      <diagonal/>
    </border>
    <border>
      <left style="thin">
        <color indexed="64"/>
      </left>
      <right style="thin">
        <color indexed="64"/>
      </right>
      <top/>
      <bottom style="thick">
        <color indexed="64"/>
      </bottom>
      <diagonal/>
    </border>
    <border>
      <left style="thin">
        <color indexed="64"/>
      </left>
      <right style="thin">
        <color indexed="64"/>
      </right>
      <top style="thick">
        <color indexed="64"/>
      </top>
      <bottom/>
      <diagonal/>
    </border>
    <border>
      <left style="thin">
        <color indexed="64"/>
      </left>
      <right/>
      <top/>
      <bottom style="thick">
        <color indexed="64"/>
      </bottom>
      <diagonal/>
    </border>
    <border>
      <left/>
      <right/>
      <top/>
      <bottom style="thick">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right/>
      <top style="hair">
        <color indexed="64"/>
      </top>
      <bottom style="hair">
        <color indexed="64"/>
      </bottom>
      <diagonal/>
    </border>
    <border>
      <left/>
      <right/>
      <top style="hair">
        <color indexed="64"/>
      </top>
      <bottom/>
      <diagonal/>
    </border>
    <border>
      <left/>
      <right/>
      <top/>
      <bottom style="hair">
        <color indexed="64"/>
      </bottom>
      <diagonal/>
    </border>
    <border>
      <left/>
      <right/>
      <top style="thin">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s>
  <cellStyleXfs count="13">
    <xf numFmtId="0" fontId="0" fillId="0" borderId="0"/>
    <xf numFmtId="168" fontId="2" fillId="0" borderId="0" applyFont="0" applyFill="0" applyBorder="0" applyAlignment="0" applyProtection="0"/>
    <xf numFmtId="3" fontId="2" fillId="0" borderId="0" applyFont="0" applyFill="0" applyBorder="0" applyAlignment="0" applyProtection="0"/>
    <xf numFmtId="168" fontId="6" fillId="0" borderId="0" applyNumberFormat="0" applyFill="0" applyBorder="0" applyAlignment="0" applyProtection="0"/>
    <xf numFmtId="168" fontId="7" fillId="0" borderId="0" applyNumberFormat="0" applyFill="0" applyBorder="0" applyAlignment="0" applyProtection="0"/>
    <xf numFmtId="168" fontId="2" fillId="0" borderId="0"/>
    <xf numFmtId="168" fontId="2" fillId="0" borderId="1" applyNumberFormat="0" applyFont="0" applyFill="0" applyAlignment="0" applyProtection="0"/>
    <xf numFmtId="172" fontId="2" fillId="0" borderId="0" applyFont="0" applyFill="0" applyBorder="0" applyAlignment="0" applyProtection="0"/>
    <xf numFmtId="2" fontId="2" fillId="0" borderId="0" applyFont="0" applyFill="0" applyBorder="0" applyAlignment="0" applyProtection="0"/>
    <xf numFmtId="0" fontId="2" fillId="0" borderId="0"/>
    <xf numFmtId="168" fontId="3" fillId="0" borderId="0" applyNumberFormat="0" applyFill="0" applyBorder="0" applyAlignment="0" applyProtection="0"/>
    <xf numFmtId="0" fontId="1" fillId="0" borderId="0"/>
    <xf numFmtId="0" fontId="23" fillId="0" borderId="0"/>
  </cellStyleXfs>
  <cellXfs count="934">
    <xf numFmtId="0" fontId="0" fillId="0" borderId="0" xfId="0"/>
    <xf numFmtId="0" fontId="0" fillId="0" borderId="0" xfId="0" applyAlignment="1">
      <alignment horizontal="center"/>
    </xf>
    <xf numFmtId="0" fontId="0" fillId="0" borderId="22" xfId="0" applyBorder="1"/>
    <xf numFmtId="49" fontId="0" fillId="0" borderId="0" xfId="0" applyNumberFormat="1"/>
    <xf numFmtId="164" fontId="0" fillId="0" borderId="0" xfId="0" applyNumberFormat="1" applyAlignment="1">
      <alignment horizontal="center"/>
    </xf>
    <xf numFmtId="0" fontId="0" fillId="3" borderId="0" xfId="0" applyFill="1" applyAlignment="1">
      <alignment horizontal="center"/>
    </xf>
    <xf numFmtId="0" fontId="2" fillId="3" borderId="0" xfId="0" applyFont="1" applyFill="1"/>
    <xf numFmtId="0" fontId="2" fillId="3" borderId="0" xfId="0" applyFont="1" applyFill="1" applyAlignment="1">
      <alignment horizontal="center"/>
    </xf>
    <xf numFmtId="0" fontId="0" fillId="0" borderId="0" xfId="0" applyAlignment="1">
      <alignment horizontal="center" vertical="center"/>
    </xf>
    <xf numFmtId="0" fontId="4" fillId="0" borderId="0" xfId="0" applyFont="1"/>
    <xf numFmtId="0" fontId="2" fillId="0" borderId="0" xfId="0" applyFont="1"/>
    <xf numFmtId="49" fontId="4" fillId="0" borderId="22" xfId="0" applyNumberFormat="1" applyFont="1" applyBorder="1"/>
    <xf numFmtId="164" fontId="4" fillId="0" borderId="22" xfId="0" applyNumberFormat="1" applyFont="1" applyBorder="1"/>
    <xf numFmtId="0" fontId="4" fillId="0" borderId="22" xfId="0" applyFont="1" applyBorder="1"/>
    <xf numFmtId="0" fontId="0" fillId="5" borderId="0" xfId="0" applyFill="1"/>
    <xf numFmtId="0" fontId="0" fillId="0" borderId="0" xfId="0" applyAlignment="1">
      <alignment horizontal="left"/>
    </xf>
    <xf numFmtId="0" fontId="0" fillId="0" borderId="4"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 fontId="0" fillId="0" borderId="3" xfId="0" applyNumberFormat="1" applyBorder="1" applyAlignment="1">
      <alignment horizontal="center"/>
    </xf>
    <xf numFmtId="1" fontId="0" fillId="0" borderId="0" xfId="0" applyNumberFormat="1" applyAlignment="1">
      <alignment horizontal="center"/>
    </xf>
    <xf numFmtId="1" fontId="0" fillId="0" borderId="4" xfId="0" applyNumberFormat="1" applyBorder="1" applyAlignment="1">
      <alignment horizontal="center"/>
    </xf>
    <xf numFmtId="206" fontId="0" fillId="0" borderId="9" xfId="0" applyNumberFormat="1"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0" fillId="0" borderId="9" xfId="0" applyBorder="1"/>
    <xf numFmtId="0" fontId="0" fillId="0" borderId="2" xfId="0" applyBorder="1"/>
    <xf numFmtId="0" fontId="0" fillId="0" borderId="12" xfId="0" applyBorder="1" applyAlignment="1">
      <alignment horizontal="center"/>
    </xf>
    <xf numFmtId="178" fontId="0" fillId="0" borderId="0" xfId="0" applyNumberFormat="1" applyAlignment="1">
      <alignment horizontal="center"/>
    </xf>
    <xf numFmtId="183" fontId="0" fillId="0" borderId="0" xfId="0" applyNumberFormat="1" applyAlignment="1">
      <alignment horizontal="center"/>
    </xf>
    <xf numFmtId="183" fontId="0" fillId="0" borderId="4" xfId="0" applyNumberFormat="1" applyBorder="1" applyAlignment="1">
      <alignment horizontal="center"/>
    </xf>
    <xf numFmtId="0" fontId="0" fillId="0" borderId="5" xfId="0" applyBorder="1"/>
    <xf numFmtId="0" fontId="0" fillId="0" borderId="7"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10" xfId="0" applyBorder="1" applyAlignment="1">
      <alignment horizontal="center"/>
    </xf>
    <xf numFmtId="0" fontId="0" fillId="3" borderId="10" xfId="0" applyFill="1" applyBorder="1" applyAlignment="1">
      <alignment horizontal="center"/>
    </xf>
    <xf numFmtId="0" fontId="0" fillId="3" borderId="10" xfId="0" applyFill="1" applyBorder="1"/>
    <xf numFmtId="0" fontId="0" fillId="3" borderId="4" xfId="0" applyFill="1" applyBorder="1" applyAlignment="1">
      <alignment horizontal="center"/>
    </xf>
    <xf numFmtId="9" fontId="0" fillId="0" borderId="5" xfId="0" applyNumberFormat="1" applyBorder="1" applyAlignment="1">
      <alignment horizontal="center"/>
    </xf>
    <xf numFmtId="9" fontId="0" fillId="3" borderId="0" xfId="0" applyNumberFormat="1" applyFill="1" applyAlignment="1">
      <alignment horizontal="center"/>
    </xf>
    <xf numFmtId="178" fontId="0" fillId="0" borderId="5" xfId="0" applyNumberFormat="1" applyBorder="1" applyAlignment="1">
      <alignment horizontal="center"/>
    </xf>
    <xf numFmtId="183" fontId="0" fillId="0" borderId="5" xfId="0" applyNumberFormat="1" applyBorder="1" applyAlignment="1">
      <alignment horizontal="center"/>
    </xf>
    <xf numFmtId="183" fontId="0" fillId="0" borderId="6" xfId="0" applyNumberFormat="1" applyBorder="1" applyAlignment="1">
      <alignment horizontal="center"/>
    </xf>
    <xf numFmtId="182" fontId="0" fillId="0" borderId="5" xfId="0" applyNumberFormat="1" applyBorder="1" applyAlignment="1">
      <alignment horizontal="center"/>
    </xf>
    <xf numFmtId="180" fontId="0" fillId="0" borderId="7" xfId="0" applyNumberFormat="1" applyBorder="1" applyAlignment="1">
      <alignment horizontal="center"/>
    </xf>
    <xf numFmtId="180" fontId="0" fillId="0" borderId="5" xfId="0" applyNumberFormat="1" applyBorder="1" applyAlignment="1">
      <alignment horizontal="center"/>
    </xf>
    <xf numFmtId="180" fontId="0" fillId="0" borderId="6" xfId="0" applyNumberFormat="1" applyBorder="1" applyAlignment="1">
      <alignment horizontal="center"/>
    </xf>
    <xf numFmtId="0" fontId="0" fillId="3" borderId="8" xfId="0" applyFill="1" applyBorder="1" applyAlignment="1">
      <alignment horizontal="center"/>
    </xf>
    <xf numFmtId="9" fontId="0" fillId="0" borderId="0" xfId="0" applyNumberFormat="1" applyAlignment="1">
      <alignment horizontal="center"/>
    </xf>
    <xf numFmtId="182" fontId="0" fillId="0" borderId="0" xfId="0" applyNumberFormat="1" applyAlignment="1">
      <alignment horizontal="center"/>
    </xf>
    <xf numFmtId="184" fontId="0" fillId="0" borderId="3" xfId="0" applyNumberFormat="1" applyBorder="1" applyAlignment="1">
      <alignment horizontal="center"/>
    </xf>
    <xf numFmtId="184" fontId="0" fillId="0" borderId="0" xfId="0" applyNumberFormat="1" applyAlignment="1">
      <alignment horizontal="center"/>
    </xf>
    <xf numFmtId="184" fontId="0" fillId="0" borderId="4" xfId="0" applyNumberFormat="1" applyBorder="1" applyAlignment="1">
      <alignment horizontal="center"/>
    </xf>
    <xf numFmtId="180" fontId="0" fillId="0" borderId="3" xfId="0" applyNumberFormat="1" applyBorder="1" applyAlignment="1">
      <alignment horizontal="center"/>
    </xf>
    <xf numFmtId="180" fontId="0" fillId="0" borderId="0" xfId="0" applyNumberFormat="1" applyAlignment="1">
      <alignment horizontal="center"/>
    </xf>
    <xf numFmtId="180" fontId="0" fillId="0" borderId="4" xfId="0" applyNumberFormat="1" applyBorder="1" applyAlignment="1">
      <alignment horizontal="center"/>
    </xf>
    <xf numFmtId="0" fontId="0" fillId="3" borderId="0" xfId="0" applyFill="1"/>
    <xf numFmtId="185" fontId="0" fillId="0" borderId="0" xfId="0" applyNumberFormat="1" applyAlignment="1">
      <alignment horizontal="center"/>
    </xf>
    <xf numFmtId="185" fontId="0" fillId="0" borderId="4" xfId="0" applyNumberFormat="1" applyBorder="1" applyAlignment="1">
      <alignment horizontal="center"/>
    </xf>
    <xf numFmtId="186" fontId="0" fillId="0" borderId="0" xfId="0" applyNumberFormat="1" applyAlignment="1">
      <alignment horizontal="center"/>
    </xf>
    <xf numFmtId="186" fontId="0" fillId="0" borderId="4" xfId="0" applyNumberFormat="1" applyBorder="1" applyAlignment="1">
      <alignment horizontal="center"/>
    </xf>
    <xf numFmtId="0" fontId="0" fillId="4" borderId="0" xfId="0" applyFill="1"/>
    <xf numFmtId="0" fontId="0" fillId="4" borderId="0" xfId="0" applyFill="1" applyAlignment="1">
      <alignment horizontal="center"/>
    </xf>
    <xf numFmtId="0" fontId="0" fillId="4" borderId="4" xfId="0" applyFill="1" applyBorder="1" applyAlignment="1">
      <alignment horizontal="center"/>
    </xf>
    <xf numFmtId="0" fontId="0" fillId="4" borderId="8" xfId="0" applyFill="1" applyBorder="1" applyAlignment="1">
      <alignment horizontal="center"/>
    </xf>
    <xf numFmtId="0" fontId="0" fillId="4" borderId="3" xfId="0" applyFill="1" applyBorder="1" applyAlignment="1">
      <alignment horizontal="center"/>
    </xf>
    <xf numFmtId="9" fontId="0" fillId="4" borderId="0" xfId="0" applyNumberFormat="1" applyFill="1" applyAlignment="1">
      <alignment horizontal="center"/>
    </xf>
    <xf numFmtId="178" fontId="0" fillId="4" borderId="0" xfId="0" applyNumberFormat="1" applyFill="1" applyAlignment="1">
      <alignment horizontal="center"/>
    </xf>
    <xf numFmtId="183" fontId="0" fillId="4" borderId="0" xfId="0" applyNumberFormat="1" applyFill="1" applyAlignment="1">
      <alignment horizontal="center"/>
    </xf>
    <xf numFmtId="183" fontId="0" fillId="4" borderId="4" xfId="0" applyNumberFormat="1" applyFill="1" applyBorder="1" applyAlignment="1">
      <alignment horizontal="center"/>
    </xf>
    <xf numFmtId="1" fontId="0" fillId="4" borderId="0" xfId="0" applyNumberFormat="1" applyFill="1" applyAlignment="1">
      <alignment horizontal="center"/>
    </xf>
    <xf numFmtId="187" fontId="0" fillId="0" borderId="3" xfId="0" applyNumberFormat="1" applyBorder="1" applyAlignment="1">
      <alignment horizontal="center"/>
    </xf>
    <xf numFmtId="187" fontId="0" fillId="0" borderId="0" xfId="0" applyNumberFormat="1" applyAlignment="1">
      <alignment horizontal="center"/>
    </xf>
    <xf numFmtId="187" fontId="0" fillId="0" borderId="4" xfId="0" applyNumberFormat="1" applyBorder="1" applyAlignment="1">
      <alignment horizontal="center"/>
    </xf>
    <xf numFmtId="0" fontId="0" fillId="4" borderId="8" xfId="0" applyFill="1" applyBorder="1"/>
    <xf numFmtId="180" fontId="0" fillId="4" borderId="0" xfId="0" applyNumberFormat="1" applyFill="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5" fillId="0" borderId="0" xfId="0" applyFont="1" applyAlignment="1">
      <alignment horizontal="left"/>
    </xf>
    <xf numFmtId="178" fontId="0" fillId="3" borderId="0" xfId="0" applyNumberFormat="1" applyFill="1" applyAlignment="1">
      <alignment horizontal="center"/>
    </xf>
    <xf numFmtId="0" fontId="2" fillId="0" borderId="0" xfId="0" applyFont="1" applyAlignment="1">
      <alignment horizontal="left"/>
    </xf>
    <xf numFmtId="180" fontId="0" fillId="4" borderId="3" xfId="0" applyNumberFormat="1" applyFill="1" applyBorder="1" applyAlignment="1">
      <alignment horizontal="center"/>
    </xf>
    <xf numFmtId="180" fontId="0" fillId="4" borderId="4" xfId="0" applyNumberFormat="1" applyFill="1" applyBorder="1" applyAlignment="1">
      <alignment horizontal="center"/>
    </xf>
    <xf numFmtId="0" fontId="0" fillId="0" borderId="4" xfId="0" applyBorder="1"/>
    <xf numFmtId="0" fontId="0" fillId="4" borderId="4" xfId="0" applyFill="1" applyBorder="1"/>
    <xf numFmtId="183" fontId="0" fillId="3" borderId="0" xfId="0" applyNumberFormat="1" applyFill="1" applyAlignment="1">
      <alignment horizontal="center"/>
    </xf>
    <xf numFmtId="0" fontId="10" fillId="2" borderId="0" xfId="0" applyFont="1" applyFill="1"/>
    <xf numFmtId="49" fontId="0" fillId="0" borderId="22" xfId="0" applyNumberFormat="1" applyBorder="1"/>
    <xf numFmtId="164" fontId="0" fillId="0" borderId="22" xfId="0" applyNumberFormat="1" applyBorder="1"/>
    <xf numFmtId="164" fontId="0" fillId="0" borderId="0" xfId="0" applyNumberFormat="1" applyAlignment="1">
      <alignment horizontal="center" vertical="center"/>
    </xf>
    <xf numFmtId="164" fontId="2" fillId="3" borderId="0" xfId="0" applyNumberFormat="1" applyFont="1" applyFill="1" applyAlignment="1">
      <alignment horizontal="center"/>
    </xf>
    <xf numFmtId="183" fontId="0" fillId="3" borderId="4" xfId="0" applyNumberFormat="1" applyFill="1" applyBorder="1" applyAlignment="1">
      <alignment horizontal="center"/>
    </xf>
    <xf numFmtId="1" fontId="0" fillId="3" borderId="0" xfId="0" applyNumberFormat="1" applyFill="1" applyAlignment="1">
      <alignment horizontal="center"/>
    </xf>
    <xf numFmtId="164" fontId="16" fillId="0" borderId="0" xfId="0" applyNumberFormat="1" applyFont="1" applyAlignment="1">
      <alignment horizontal="center"/>
    </xf>
    <xf numFmtId="164" fontId="2" fillId="0" borderId="0" xfId="0" applyNumberFormat="1" applyFont="1" applyAlignment="1">
      <alignment horizontal="center"/>
    </xf>
    <xf numFmtId="0" fontId="4" fillId="5" borderId="20" xfId="0" applyFont="1" applyFill="1" applyBorder="1" applyAlignment="1">
      <alignment vertical="top" wrapText="1"/>
    </xf>
    <xf numFmtId="0" fontId="0" fillId="7" borderId="3" xfId="0" applyFill="1" applyBorder="1" applyAlignment="1">
      <alignment horizontal="center"/>
    </xf>
    <xf numFmtId="0" fontId="0" fillId="7" borderId="0" xfId="0" applyFill="1" applyAlignment="1">
      <alignment horizontal="center"/>
    </xf>
    <xf numFmtId="0" fontId="0" fillId="7" borderId="4" xfId="0" applyFill="1" applyBorder="1" applyAlignment="1">
      <alignment horizontal="center"/>
    </xf>
    <xf numFmtId="0" fontId="17" fillId="5" borderId="0" xfId="0" applyFont="1" applyFill="1" applyAlignment="1">
      <alignment horizontal="center" vertical="center"/>
    </xf>
    <xf numFmtId="49" fontId="2" fillId="0" borderId="0" xfId="0" applyNumberFormat="1" applyFont="1"/>
    <xf numFmtId="0" fontId="0" fillId="5" borderId="0" xfId="0" applyFill="1" applyAlignment="1">
      <alignment vertical="top"/>
    </xf>
    <xf numFmtId="0" fontId="0" fillId="5" borderId="0" xfId="0" applyFill="1" applyAlignment="1">
      <alignment vertical="top" wrapText="1"/>
    </xf>
    <xf numFmtId="0" fontId="4" fillId="5" borderId="13" xfId="0" applyFont="1" applyFill="1" applyBorder="1" applyAlignment="1">
      <alignment horizontal="left" vertical="top"/>
    </xf>
    <xf numFmtId="0" fontId="4" fillId="5" borderId="14" xfId="0" applyFont="1" applyFill="1" applyBorder="1" applyAlignment="1">
      <alignment horizontal="left" vertical="top"/>
    </xf>
    <xf numFmtId="0" fontId="4" fillId="5" borderId="15" xfId="0" applyFont="1" applyFill="1" applyBorder="1" applyAlignment="1">
      <alignment horizontal="left" vertical="top"/>
    </xf>
    <xf numFmtId="0" fontId="4" fillId="5" borderId="3" xfId="0" applyFont="1" applyFill="1" applyBorder="1" applyAlignment="1">
      <alignment horizontal="left" vertical="top"/>
    </xf>
    <xf numFmtId="0" fontId="4" fillId="5" borderId="0" xfId="0" applyFont="1" applyFill="1" applyAlignment="1">
      <alignment horizontal="left" vertical="top"/>
    </xf>
    <xf numFmtId="0" fontId="4" fillId="5" borderId="4" xfId="0" applyFont="1" applyFill="1" applyBorder="1" applyAlignment="1">
      <alignment horizontal="left" vertical="top"/>
    </xf>
    <xf numFmtId="0" fontId="4" fillId="5" borderId="16" xfId="0" applyFont="1" applyFill="1" applyBorder="1" applyAlignment="1">
      <alignment horizontal="center" vertical="top" wrapText="1"/>
    </xf>
    <xf numFmtId="0" fontId="0" fillId="5" borderId="16" xfId="0" applyFill="1" applyBorder="1" applyAlignment="1">
      <alignment horizontal="center"/>
    </xf>
    <xf numFmtId="0" fontId="4" fillId="5" borderId="17" xfId="0" applyFont="1" applyFill="1" applyBorder="1" applyAlignment="1">
      <alignment horizontal="left" vertical="top"/>
    </xf>
    <xf numFmtId="0" fontId="4" fillId="5" borderId="18" xfId="0" applyFont="1" applyFill="1" applyBorder="1" applyAlignment="1">
      <alignment horizontal="left" vertical="top"/>
    </xf>
    <xf numFmtId="0" fontId="4" fillId="5" borderId="19" xfId="0" applyFont="1" applyFill="1" applyBorder="1" applyAlignment="1">
      <alignment horizontal="left" vertical="top"/>
    </xf>
    <xf numFmtId="0" fontId="0" fillId="5" borderId="20" xfId="0" applyFill="1" applyBorder="1"/>
    <xf numFmtId="0" fontId="21" fillId="5" borderId="0" xfId="0" applyFont="1" applyFill="1"/>
    <xf numFmtId="0" fontId="0" fillId="8" borderId="0" xfId="0" applyFill="1"/>
    <xf numFmtId="0" fontId="0" fillId="5" borderId="16" xfId="0" applyFill="1" applyBorder="1"/>
    <xf numFmtId="0" fontId="0" fillId="5" borderId="14" xfId="0" applyFill="1" applyBorder="1"/>
    <xf numFmtId="0" fontId="0" fillId="0" borderId="14" xfId="0" applyBorder="1"/>
    <xf numFmtId="0" fontId="0" fillId="0" borderId="15" xfId="0" applyBorder="1"/>
    <xf numFmtId="0" fontId="0" fillId="5" borderId="8" xfId="0" applyFill="1" applyBorder="1"/>
    <xf numFmtId="0" fontId="0" fillId="5" borderId="18" xfId="0" applyFill="1" applyBorder="1"/>
    <xf numFmtId="0" fontId="0" fillId="0" borderId="18" xfId="0" applyBorder="1"/>
    <xf numFmtId="0" fontId="0" fillId="0" borderId="19" xfId="0" applyBorder="1"/>
    <xf numFmtId="0" fontId="21" fillId="0" borderId="0" xfId="0" applyFont="1"/>
    <xf numFmtId="0" fontId="21" fillId="0" borderId="18" xfId="0" applyFont="1" applyBorder="1"/>
    <xf numFmtId="0" fontId="21" fillId="5" borderId="14" xfId="0" applyFont="1" applyFill="1" applyBorder="1"/>
    <xf numFmtId="0" fontId="21" fillId="0" borderId="14" xfId="0" applyFont="1" applyBorder="1"/>
    <xf numFmtId="0" fontId="21" fillId="5" borderId="18" xfId="0" applyFont="1" applyFill="1" applyBorder="1"/>
    <xf numFmtId="0" fontId="2" fillId="5" borderId="21" xfId="0" applyFont="1" applyFill="1" applyBorder="1"/>
    <xf numFmtId="2" fontId="0" fillId="5" borderId="18" xfId="0" applyNumberFormat="1" applyFill="1" applyBorder="1"/>
    <xf numFmtId="1" fontId="0" fillId="5" borderId="0" xfId="0" applyNumberFormat="1" applyFill="1" applyAlignment="1">
      <alignment horizontal="center"/>
    </xf>
    <xf numFmtId="0" fontId="13" fillId="5" borderId="13" xfId="0" applyFont="1" applyFill="1" applyBorder="1" applyAlignment="1">
      <alignment horizontal="left" vertical="top" wrapText="1"/>
    </xf>
    <xf numFmtId="0" fontId="13" fillId="5" borderId="14" xfId="0" applyFont="1" applyFill="1" applyBorder="1" applyAlignment="1">
      <alignment horizontal="left" vertical="top" wrapText="1"/>
    </xf>
    <xf numFmtId="0" fontId="0" fillId="5" borderId="15" xfId="0" applyFill="1" applyBorder="1"/>
    <xf numFmtId="0" fontId="13" fillId="5" borderId="3" xfId="0" applyFont="1" applyFill="1" applyBorder="1" applyAlignment="1">
      <alignment horizontal="left" vertical="top" wrapText="1"/>
    </xf>
    <xf numFmtId="0" fontId="13" fillId="5" borderId="0" xfId="0" applyFont="1" applyFill="1" applyAlignment="1">
      <alignment horizontal="left" vertical="top" wrapText="1"/>
    </xf>
    <xf numFmtId="0" fontId="0" fillId="5" borderId="4" xfId="0" applyFill="1" applyBorder="1"/>
    <xf numFmtId="0" fontId="4" fillId="5" borderId="20" xfId="0" applyFont="1" applyFill="1" applyBorder="1" applyAlignment="1">
      <alignment horizontal="left" vertical="top" wrapText="1"/>
    </xf>
    <xf numFmtId="0" fontId="13" fillId="5" borderId="17" xfId="0" applyFont="1" applyFill="1" applyBorder="1" applyAlignment="1">
      <alignment horizontal="left" vertical="top" wrapText="1"/>
    </xf>
    <xf numFmtId="0" fontId="13" fillId="5" borderId="18" xfId="0" applyFont="1" applyFill="1" applyBorder="1" applyAlignment="1">
      <alignment horizontal="left" vertical="top" wrapText="1"/>
    </xf>
    <xf numFmtId="0" fontId="0" fillId="5" borderId="19" xfId="0" applyFill="1" applyBorder="1"/>
    <xf numFmtId="0" fontId="4" fillId="5" borderId="8" xfId="0" applyFont="1" applyFill="1" applyBorder="1" applyAlignment="1">
      <alignment vertical="top" wrapText="1"/>
    </xf>
    <xf numFmtId="0" fontId="4" fillId="5" borderId="21" xfId="0" applyFont="1" applyFill="1" applyBorder="1" applyAlignment="1">
      <alignment vertical="top" wrapText="1"/>
    </xf>
    <xf numFmtId="2" fontId="0" fillId="0" borderId="0" xfId="0" applyNumberFormat="1"/>
    <xf numFmtId="0" fontId="0" fillId="5" borderId="8" xfId="0" applyFill="1" applyBorder="1" applyAlignment="1">
      <alignment vertical="top" wrapText="1"/>
    </xf>
    <xf numFmtId="0" fontId="2" fillId="5" borderId="8" xfId="0" applyFont="1" applyFill="1" applyBorder="1" applyAlignment="1">
      <alignment vertical="top" wrapText="1"/>
    </xf>
    <xf numFmtId="0" fontId="0" fillId="5" borderId="21" xfId="0" applyFill="1" applyBorder="1" applyAlignment="1">
      <alignment vertical="top" wrapText="1"/>
    </xf>
    <xf numFmtId="49" fontId="2" fillId="7" borderId="0" xfId="0" applyNumberFormat="1" applyFont="1" applyFill="1"/>
    <xf numFmtId="164" fontId="0" fillId="7" borderId="0" xfId="0" applyNumberFormat="1" applyFill="1" applyAlignment="1">
      <alignment horizontal="center"/>
    </xf>
    <xf numFmtId="0" fontId="2" fillId="7" borderId="0" xfId="0" applyFont="1" applyFill="1"/>
    <xf numFmtId="49" fontId="0" fillId="9" borderId="0" xfId="0" applyNumberFormat="1" applyFill="1"/>
    <xf numFmtId="49" fontId="0" fillId="7" borderId="0" xfId="0" applyNumberFormat="1" applyFill="1"/>
    <xf numFmtId="164" fontId="0" fillId="10" borderId="0" xfId="0" applyNumberFormat="1" applyFill="1" applyAlignment="1">
      <alignment horizontal="center"/>
    </xf>
    <xf numFmtId="0" fontId="0" fillId="10" borderId="0" xfId="0" applyFill="1"/>
    <xf numFmtId="49" fontId="2" fillId="9" borderId="0" xfId="0" applyNumberFormat="1" applyFont="1" applyFill="1"/>
    <xf numFmtId="0" fontId="0" fillId="7" borderId="0" xfId="0" applyFill="1" applyAlignment="1">
      <alignment horizontal="center" vertical="center"/>
    </xf>
    <xf numFmtId="0" fontId="0" fillId="7" borderId="0" xfId="0" applyFill="1"/>
    <xf numFmtId="49" fontId="2" fillId="10" borderId="0" xfId="0" applyNumberFormat="1" applyFont="1" applyFill="1"/>
    <xf numFmtId="164" fontId="2" fillId="10" borderId="0" xfId="0" applyNumberFormat="1" applyFont="1" applyFill="1" applyAlignment="1">
      <alignment horizontal="center"/>
    </xf>
    <xf numFmtId="0" fontId="2" fillId="10" borderId="0" xfId="0" applyFont="1" applyFill="1"/>
    <xf numFmtId="0" fontId="0" fillId="10" borderId="0" xfId="0" applyFill="1" applyAlignment="1">
      <alignment horizontal="left"/>
    </xf>
    <xf numFmtId="0" fontId="2" fillId="7" borderId="0" xfId="0" applyFont="1" applyFill="1" applyAlignment="1">
      <alignment horizontal="center"/>
    </xf>
    <xf numFmtId="0" fontId="2" fillId="0" borderId="0" xfId="0" applyFont="1" applyAlignment="1">
      <alignment horizontal="center"/>
    </xf>
    <xf numFmtId="164" fontId="2" fillId="7" borderId="0" xfId="0" applyNumberFormat="1" applyFont="1" applyFill="1" applyAlignment="1">
      <alignment horizontal="center"/>
    </xf>
    <xf numFmtId="0" fontId="0" fillId="9" borderId="0" xfId="0" applyFill="1"/>
    <xf numFmtId="0" fontId="2" fillId="10" borderId="0" xfId="0" applyFont="1" applyFill="1" applyAlignment="1">
      <alignment horizontal="center"/>
    </xf>
    <xf numFmtId="0" fontId="0" fillId="7" borderId="0" xfId="0" applyFill="1" applyAlignment="1">
      <alignment horizontal="left"/>
    </xf>
    <xf numFmtId="0" fontId="2" fillId="9" borderId="0" xfId="0" applyFont="1" applyFill="1"/>
    <xf numFmtId="164" fontId="0" fillId="7" borderId="0" xfId="0" applyNumberFormat="1" applyFill="1" applyAlignment="1">
      <alignment horizontal="center" vertical="center"/>
    </xf>
    <xf numFmtId="0" fontId="1" fillId="0" borderId="0" xfId="11"/>
    <xf numFmtId="0" fontId="22" fillId="0" borderId="0" xfId="11" applyFont="1"/>
    <xf numFmtId="0" fontId="23" fillId="0" borderId="0" xfId="12"/>
    <xf numFmtId="0" fontId="23" fillId="11" borderId="0" xfId="12" applyFill="1"/>
    <xf numFmtId="208" fontId="24" fillId="11" borderId="0" xfId="12" applyNumberFormat="1" applyFont="1" applyFill="1"/>
    <xf numFmtId="0" fontId="25" fillId="11" borderId="0" xfId="12" applyFont="1" applyFill="1" applyAlignment="1">
      <alignment horizontal="center"/>
    </xf>
    <xf numFmtId="0" fontId="23" fillId="0" borderId="20" xfId="12" applyBorder="1"/>
    <xf numFmtId="0" fontId="28" fillId="0" borderId="28" xfId="12" applyFont="1" applyBorder="1" applyAlignment="1">
      <alignment horizontal="center" vertical="center"/>
    </xf>
    <xf numFmtId="0" fontId="23" fillId="0" borderId="19" xfId="12" applyBorder="1"/>
    <xf numFmtId="0" fontId="23" fillId="0" borderId="18" xfId="12" applyBorder="1"/>
    <xf numFmtId="0" fontId="23" fillId="0" borderId="17" xfId="12" applyBorder="1"/>
    <xf numFmtId="0" fontId="23" fillId="0" borderId="4" xfId="12" applyBorder="1"/>
    <xf numFmtId="0" fontId="23" fillId="0" borderId="3" xfId="12" applyBorder="1"/>
    <xf numFmtId="0" fontId="25" fillId="0" borderId="32" xfId="12" applyFont="1" applyBorder="1" applyAlignment="1">
      <alignment horizontal="center"/>
    </xf>
    <xf numFmtId="0" fontId="24" fillId="0" borderId="4" xfId="12" applyFont="1" applyBorder="1"/>
    <xf numFmtId="0" fontId="24" fillId="0" borderId="0" xfId="12" applyFont="1"/>
    <xf numFmtId="0" fontId="23" fillId="0" borderId="0" xfId="12" applyAlignment="1">
      <alignment vertical="center"/>
    </xf>
    <xf numFmtId="0" fontId="23" fillId="0" borderId="3" xfId="12" applyBorder="1" applyAlignment="1">
      <alignment vertical="center"/>
    </xf>
    <xf numFmtId="0" fontId="27" fillId="0" borderId="0" xfId="12" applyFont="1"/>
    <xf numFmtId="0" fontId="23" fillId="0" borderId="15" xfId="12" applyBorder="1"/>
    <xf numFmtId="0" fontId="23" fillId="0" borderId="14" xfId="12" applyBorder="1"/>
    <xf numFmtId="0" fontId="23" fillId="0" borderId="13" xfId="12" applyBorder="1"/>
    <xf numFmtId="0" fontId="20" fillId="0" borderId="0" xfId="12" applyFont="1"/>
    <xf numFmtId="208" fontId="27" fillId="0" borderId="0" xfId="12" applyNumberFormat="1" applyFont="1"/>
    <xf numFmtId="0" fontId="29" fillId="11" borderId="0" xfId="12" applyFont="1" applyFill="1" applyAlignment="1">
      <alignment vertical="center"/>
    </xf>
    <xf numFmtId="0" fontId="30" fillId="11" borderId="0" xfId="12" applyFont="1" applyFill="1" applyAlignment="1">
      <alignment vertical="center"/>
    </xf>
    <xf numFmtId="0" fontId="31" fillId="0" borderId="20" xfId="12" applyFont="1" applyBorder="1"/>
    <xf numFmtId="0" fontId="20" fillId="0" borderId="14" xfId="12" applyFont="1" applyBorder="1"/>
    <xf numFmtId="0" fontId="29" fillId="0" borderId="0" xfId="12" applyFont="1" applyAlignment="1">
      <alignment vertical="center"/>
    </xf>
    <xf numFmtId="0" fontId="2" fillId="0" borderId="0" xfId="9"/>
    <xf numFmtId="1" fontId="2" fillId="0" borderId="0" xfId="9" applyNumberFormat="1" applyAlignment="1">
      <alignment horizontal="center"/>
    </xf>
    <xf numFmtId="183" fontId="2" fillId="0" borderId="4" xfId="9" applyNumberFormat="1" applyBorder="1" applyAlignment="1">
      <alignment horizontal="center"/>
    </xf>
    <xf numFmtId="183" fontId="2" fillId="0" borderId="0" xfId="9" applyNumberFormat="1" applyAlignment="1">
      <alignment horizontal="center"/>
    </xf>
    <xf numFmtId="178" fontId="2" fillId="0" borderId="0" xfId="9" applyNumberFormat="1" applyAlignment="1">
      <alignment horizontal="center"/>
    </xf>
    <xf numFmtId="0" fontId="2" fillId="0" borderId="0" xfId="9" applyAlignment="1">
      <alignment horizontal="center"/>
    </xf>
    <xf numFmtId="164" fontId="2" fillId="0" borderId="0" xfId="9" applyNumberFormat="1" applyAlignment="1">
      <alignment horizontal="center"/>
    </xf>
    <xf numFmtId="49" fontId="2" fillId="0" borderId="0" xfId="9" applyNumberFormat="1"/>
    <xf numFmtId="0" fontId="2" fillId="0" borderId="0" xfId="9" applyAlignment="1">
      <alignment horizontal="left"/>
    </xf>
    <xf numFmtId="0" fontId="2" fillId="4" borderId="0" xfId="9" applyFill="1"/>
    <xf numFmtId="164" fontId="16" fillId="0" borderId="0" xfId="9" applyNumberFormat="1" applyFont="1" applyAlignment="1">
      <alignment horizontal="center"/>
    </xf>
    <xf numFmtId="0" fontId="2" fillId="3" borderId="0" xfId="9" applyFill="1"/>
    <xf numFmtId="1" fontId="2" fillId="3" borderId="0" xfId="9" applyNumberFormat="1" applyFill="1" applyAlignment="1">
      <alignment horizontal="center"/>
    </xf>
    <xf numFmtId="183" fontId="2" fillId="3" borderId="4" xfId="9" applyNumberFormat="1" applyFill="1" applyBorder="1" applyAlignment="1">
      <alignment horizontal="center"/>
    </xf>
    <xf numFmtId="183" fontId="2" fillId="3" borderId="0" xfId="9" applyNumberFormat="1" applyFill="1" applyAlignment="1">
      <alignment horizontal="center"/>
    </xf>
    <xf numFmtId="178" fontId="2" fillId="3" borderId="0" xfId="9" applyNumberFormat="1" applyFill="1" applyAlignment="1">
      <alignment horizontal="center"/>
    </xf>
    <xf numFmtId="0" fontId="2" fillId="3" borderId="0" xfId="9" applyFill="1" applyAlignment="1">
      <alignment horizontal="center"/>
    </xf>
    <xf numFmtId="164" fontId="2" fillId="3" borderId="0" xfId="9" applyNumberFormat="1" applyFill="1" applyAlignment="1">
      <alignment horizontal="center"/>
    </xf>
    <xf numFmtId="0" fontId="2" fillId="0" borderId="22" xfId="9" applyBorder="1"/>
    <xf numFmtId="164" fontId="2" fillId="0" borderId="22" xfId="9" applyNumberFormat="1" applyBorder="1"/>
    <xf numFmtId="49" fontId="2" fillId="0" borderId="22" xfId="9" applyNumberFormat="1" applyBorder="1"/>
    <xf numFmtId="164" fontId="2" fillId="0" borderId="0" xfId="9" applyNumberFormat="1" applyAlignment="1">
      <alignment horizontal="center" vertical="center"/>
    </xf>
    <xf numFmtId="0" fontId="2" fillId="0" borderId="0" xfId="9" applyAlignment="1">
      <alignment horizontal="center" vertical="center"/>
    </xf>
    <xf numFmtId="0" fontId="2" fillId="3" borderId="21" xfId="9" applyFill="1" applyBorder="1" applyAlignment="1">
      <alignment vertical="top" wrapText="1"/>
    </xf>
    <xf numFmtId="0" fontId="4" fillId="5" borderId="21" xfId="9" applyFont="1" applyFill="1" applyBorder="1" applyAlignment="1">
      <alignment vertical="top" wrapText="1"/>
    </xf>
    <xf numFmtId="0" fontId="2" fillId="3" borderId="8" xfId="9" applyFill="1" applyBorder="1" applyAlignment="1">
      <alignment vertical="top" wrapText="1"/>
    </xf>
    <xf numFmtId="0" fontId="4" fillId="5" borderId="8" xfId="9" applyFont="1" applyFill="1" applyBorder="1" applyAlignment="1">
      <alignment vertical="top" wrapText="1"/>
    </xf>
    <xf numFmtId="0" fontId="4" fillId="5" borderId="20" xfId="9" applyFont="1" applyFill="1" applyBorder="1" applyAlignment="1">
      <alignment vertical="top" wrapText="1"/>
    </xf>
    <xf numFmtId="0" fontId="2" fillId="5" borderId="19" xfId="9" applyFill="1" applyBorder="1"/>
    <xf numFmtId="0" fontId="2" fillId="5" borderId="18" xfId="9" applyFill="1" applyBorder="1"/>
    <xf numFmtId="0" fontId="13" fillId="5" borderId="18" xfId="9" applyFont="1" applyFill="1" applyBorder="1" applyAlignment="1">
      <alignment horizontal="left" vertical="top" wrapText="1"/>
    </xf>
    <xf numFmtId="0" fontId="13" fillId="5" borderId="17" xfId="9" applyFont="1" applyFill="1" applyBorder="1" applyAlignment="1">
      <alignment horizontal="left" vertical="top" wrapText="1"/>
    </xf>
    <xf numFmtId="0" fontId="4" fillId="5" borderId="20" xfId="9" applyFont="1" applyFill="1" applyBorder="1" applyAlignment="1">
      <alignment horizontal="left" vertical="top" wrapText="1"/>
    </xf>
    <xf numFmtId="0" fontId="2" fillId="5" borderId="4" xfId="9" applyFill="1" applyBorder="1"/>
    <xf numFmtId="0" fontId="2" fillId="5" borderId="0" xfId="9" applyFill="1"/>
    <xf numFmtId="0" fontId="13" fillId="5" borderId="0" xfId="9" applyFont="1" applyFill="1" applyAlignment="1">
      <alignment horizontal="left" vertical="top" wrapText="1"/>
    </xf>
    <xf numFmtId="0" fontId="13" fillId="5" borderId="3" xfId="9" applyFont="1" applyFill="1" applyBorder="1" applyAlignment="1">
      <alignment horizontal="left" vertical="top" wrapText="1"/>
    </xf>
    <xf numFmtId="0" fontId="2" fillId="5" borderId="15" xfId="9" applyFill="1" applyBorder="1"/>
    <xf numFmtId="0" fontId="2" fillId="5" borderId="14" xfId="9" applyFill="1" applyBorder="1"/>
    <xf numFmtId="0" fontId="13" fillId="5" borderId="14" xfId="9" applyFont="1" applyFill="1" applyBorder="1" applyAlignment="1">
      <alignment horizontal="left" vertical="top" wrapText="1"/>
    </xf>
    <xf numFmtId="0" fontId="13" fillId="5" borderId="13" xfId="9" applyFont="1" applyFill="1" applyBorder="1" applyAlignment="1">
      <alignment horizontal="left" vertical="top" wrapText="1"/>
    </xf>
    <xf numFmtId="1" fontId="2" fillId="5" borderId="0" xfId="9" applyNumberFormat="1" applyFill="1" applyAlignment="1">
      <alignment horizontal="center"/>
    </xf>
    <xf numFmtId="0" fontId="2" fillId="5" borderId="0" xfId="9" applyFill="1" applyAlignment="1">
      <alignment vertical="top" wrapText="1"/>
    </xf>
    <xf numFmtId="0" fontId="2" fillId="5" borderId="0" xfId="9" applyFill="1" applyAlignment="1">
      <alignment vertical="top"/>
    </xf>
    <xf numFmtId="2" fontId="2" fillId="5" borderId="18" xfId="9" applyNumberFormat="1" applyFill="1" applyBorder="1"/>
    <xf numFmtId="0" fontId="2" fillId="5" borderId="21" xfId="9" applyFill="1" applyBorder="1"/>
    <xf numFmtId="0" fontId="2" fillId="0" borderId="19" xfId="9" applyBorder="1"/>
    <xf numFmtId="0" fontId="2" fillId="0" borderId="18" xfId="9" applyBorder="1"/>
    <xf numFmtId="0" fontId="21" fillId="0" borderId="18" xfId="9" applyFont="1" applyBorder="1"/>
    <xf numFmtId="0" fontId="21" fillId="5" borderId="18" xfId="9" applyFont="1" applyFill="1" applyBorder="1"/>
    <xf numFmtId="0" fontId="2" fillId="5" borderId="8" xfId="9" applyFill="1" applyBorder="1"/>
    <xf numFmtId="0" fontId="2" fillId="0" borderId="4" xfId="9" applyBorder="1"/>
    <xf numFmtId="0" fontId="21" fillId="0" borderId="0" xfId="9" applyFont="1"/>
    <xf numFmtId="0" fontId="21" fillId="5" borderId="0" xfId="9" applyFont="1" applyFill="1"/>
    <xf numFmtId="0" fontId="2" fillId="0" borderId="15" xfId="9" applyBorder="1"/>
    <xf numFmtId="0" fontId="2" fillId="0" borderId="14" xfId="9" applyBorder="1"/>
    <xf numFmtId="0" fontId="21" fillId="0" borderId="14" xfId="9" applyFont="1" applyBorder="1"/>
    <xf numFmtId="0" fontId="21" fillId="5" borderId="14" xfId="9" applyFont="1" applyFill="1" applyBorder="1"/>
    <xf numFmtId="2" fontId="2" fillId="0" borderId="0" xfId="9" applyNumberFormat="1"/>
    <xf numFmtId="0" fontId="2" fillId="5" borderId="16" xfId="9" applyFill="1" applyBorder="1"/>
    <xf numFmtId="0" fontId="2" fillId="8" borderId="0" xfId="9" applyFill="1"/>
    <xf numFmtId="0" fontId="2" fillId="5" borderId="20" xfId="9" applyFill="1" applyBorder="1"/>
    <xf numFmtId="0" fontId="4" fillId="5" borderId="19" xfId="9" applyFont="1" applyFill="1" applyBorder="1" applyAlignment="1">
      <alignment horizontal="left" vertical="top"/>
    </xf>
    <xf numFmtId="0" fontId="4" fillId="5" borderId="18" xfId="9" applyFont="1" applyFill="1" applyBorder="1" applyAlignment="1">
      <alignment horizontal="left" vertical="top"/>
    </xf>
    <xf numFmtId="0" fontId="4" fillId="5" borderId="17" xfId="9" applyFont="1" applyFill="1" applyBorder="1" applyAlignment="1">
      <alignment horizontal="left" vertical="top"/>
    </xf>
    <xf numFmtId="0" fontId="2" fillId="5" borderId="16" xfId="9" applyFill="1" applyBorder="1" applyAlignment="1">
      <alignment horizontal="center"/>
    </xf>
    <xf numFmtId="0" fontId="4" fillId="5" borderId="16" xfId="9" applyFont="1" applyFill="1" applyBorder="1" applyAlignment="1">
      <alignment horizontal="center" vertical="top" wrapText="1"/>
    </xf>
    <xf numFmtId="0" fontId="4" fillId="5" borderId="4" xfId="9" applyFont="1" applyFill="1" applyBorder="1" applyAlignment="1">
      <alignment horizontal="left" vertical="top"/>
    </xf>
    <xf numFmtId="0" fontId="4" fillId="5" borderId="0" xfId="9" applyFont="1" applyFill="1" applyAlignment="1">
      <alignment horizontal="left" vertical="top"/>
    </xf>
    <xf numFmtId="0" fontId="4" fillId="5" borderId="3" xfId="9" applyFont="1" applyFill="1" applyBorder="1" applyAlignment="1">
      <alignment horizontal="left" vertical="top"/>
    </xf>
    <xf numFmtId="0" fontId="4" fillId="5" borderId="15" xfId="9" applyFont="1" applyFill="1" applyBorder="1" applyAlignment="1">
      <alignment horizontal="left" vertical="top"/>
    </xf>
    <xf numFmtId="0" fontId="4" fillId="5" borderId="14" xfId="9" applyFont="1" applyFill="1" applyBorder="1" applyAlignment="1">
      <alignment horizontal="left" vertical="top"/>
    </xf>
    <xf numFmtId="0" fontId="4" fillId="5" borderId="13" xfId="9" applyFont="1" applyFill="1" applyBorder="1" applyAlignment="1">
      <alignment horizontal="left" vertical="top"/>
    </xf>
    <xf numFmtId="0" fontId="10" fillId="2" borderId="0" xfId="9" applyFont="1" applyFill="1"/>
    <xf numFmtId="180" fontId="2" fillId="0" borderId="0" xfId="9" applyNumberFormat="1" applyAlignment="1">
      <alignment horizontal="center"/>
    </xf>
    <xf numFmtId="0" fontId="2" fillId="0" borderId="4" xfId="9" applyBorder="1" applyAlignment="1">
      <alignment horizontal="center"/>
    </xf>
    <xf numFmtId="1" fontId="2" fillId="0" borderId="4" xfId="9" applyNumberFormat="1" applyBorder="1" applyAlignment="1">
      <alignment horizontal="center"/>
    </xf>
    <xf numFmtId="9" fontId="2" fillId="0" borderId="0" xfId="9" applyNumberFormat="1" applyAlignment="1">
      <alignment horizontal="center"/>
    </xf>
    <xf numFmtId="0" fontId="2" fillId="0" borderId="8" xfId="9" applyBorder="1" applyAlignment="1">
      <alignment horizontal="center"/>
    </xf>
    <xf numFmtId="0" fontId="2" fillId="0" borderId="3" xfId="9" applyBorder="1" applyAlignment="1">
      <alignment horizontal="center"/>
    </xf>
    <xf numFmtId="1" fontId="2" fillId="4" borderId="0" xfId="9" applyNumberFormat="1" applyFill="1" applyAlignment="1">
      <alignment horizontal="center"/>
    </xf>
    <xf numFmtId="180" fontId="2" fillId="4" borderId="0" xfId="9" applyNumberFormat="1" applyFill="1" applyAlignment="1">
      <alignment horizontal="center"/>
    </xf>
    <xf numFmtId="180" fontId="2" fillId="4" borderId="4" xfId="9" applyNumberFormat="1" applyFill="1" applyBorder="1" applyAlignment="1">
      <alignment horizontal="center"/>
    </xf>
    <xf numFmtId="183" fontId="2" fillId="4" borderId="4" xfId="9" applyNumberFormat="1" applyFill="1" applyBorder="1" applyAlignment="1">
      <alignment horizontal="center"/>
    </xf>
    <xf numFmtId="183" fontId="2" fillId="4" borderId="0" xfId="9" applyNumberFormat="1" applyFill="1" applyAlignment="1">
      <alignment horizontal="center"/>
    </xf>
    <xf numFmtId="178" fontId="2" fillId="4" borderId="0" xfId="9" applyNumberFormat="1" applyFill="1" applyAlignment="1">
      <alignment horizontal="center"/>
    </xf>
    <xf numFmtId="0" fontId="2" fillId="4" borderId="0" xfId="9" applyFill="1" applyAlignment="1">
      <alignment horizontal="center"/>
    </xf>
    <xf numFmtId="9" fontId="2" fillId="4" borderId="0" xfId="9" applyNumberFormat="1" applyFill="1" applyAlignment="1">
      <alignment horizontal="center"/>
    </xf>
    <xf numFmtId="0" fontId="2" fillId="4" borderId="4" xfId="9" applyFill="1" applyBorder="1" applyAlignment="1">
      <alignment horizontal="center"/>
    </xf>
    <xf numFmtId="0" fontId="2" fillId="4" borderId="8" xfId="9" applyFill="1" applyBorder="1"/>
    <xf numFmtId="0" fontId="2" fillId="4" borderId="8" xfId="9" applyFill="1" applyBorder="1" applyAlignment="1">
      <alignment horizontal="center"/>
    </xf>
    <xf numFmtId="0" fontId="2" fillId="4" borderId="3" xfId="9" applyFill="1" applyBorder="1" applyAlignment="1">
      <alignment horizontal="center"/>
    </xf>
    <xf numFmtId="0" fontId="2" fillId="4" borderId="4" xfId="9" applyFill="1" applyBorder="1"/>
    <xf numFmtId="180" fontId="2" fillId="0" borderId="4" xfId="9" applyNumberFormat="1" applyBorder="1" applyAlignment="1">
      <alignment horizontal="center"/>
    </xf>
    <xf numFmtId="1" fontId="2" fillId="0" borderId="3" xfId="9" applyNumberFormat="1" applyBorder="1" applyAlignment="1">
      <alignment horizontal="center"/>
    </xf>
    <xf numFmtId="1" fontId="2" fillId="4" borderId="4" xfId="9" applyNumberFormat="1" applyFill="1" applyBorder="1" applyAlignment="1">
      <alignment horizontal="center"/>
    </xf>
    <xf numFmtId="1" fontId="2" fillId="4" borderId="3" xfId="9" applyNumberFormat="1" applyFill="1" applyBorder="1" applyAlignment="1">
      <alignment horizontal="center"/>
    </xf>
    <xf numFmtId="180" fontId="2" fillId="4" borderId="3" xfId="9" applyNumberFormat="1" applyFill="1" applyBorder="1" applyAlignment="1">
      <alignment horizontal="center"/>
    </xf>
    <xf numFmtId="180" fontId="2" fillId="0" borderId="3" xfId="9" applyNumberFormat="1" applyBorder="1" applyAlignment="1">
      <alignment horizontal="center"/>
    </xf>
    <xf numFmtId="182" fontId="2" fillId="0" borderId="0" xfId="9" applyNumberFormat="1" applyAlignment="1">
      <alignment horizontal="center"/>
    </xf>
    <xf numFmtId="0" fontId="5" fillId="0" borderId="0" xfId="9" applyFont="1" applyAlignment="1">
      <alignment horizontal="left"/>
    </xf>
    <xf numFmtId="184" fontId="2" fillId="0" borderId="3" xfId="9" applyNumberFormat="1" applyBorder="1" applyAlignment="1">
      <alignment horizontal="center"/>
    </xf>
    <xf numFmtId="187" fontId="2" fillId="0" borderId="4" xfId="9" applyNumberFormat="1" applyBorder="1" applyAlignment="1">
      <alignment horizontal="center"/>
    </xf>
    <xf numFmtId="187" fontId="2" fillId="0" borderId="0" xfId="9" applyNumberFormat="1" applyAlignment="1">
      <alignment horizontal="center"/>
    </xf>
    <xf numFmtId="187" fontId="2" fillId="0" borderId="3" xfId="9" applyNumberFormat="1" applyBorder="1" applyAlignment="1">
      <alignment horizontal="center"/>
    </xf>
    <xf numFmtId="186" fontId="2" fillId="0" borderId="4" xfId="9" applyNumberFormat="1" applyBorder="1" applyAlignment="1">
      <alignment horizontal="center"/>
    </xf>
    <xf numFmtId="186" fontId="2" fillId="0" borderId="0" xfId="9" applyNumberFormat="1" applyAlignment="1">
      <alignment horizontal="center"/>
    </xf>
    <xf numFmtId="185" fontId="2" fillId="0" borderId="4" xfId="9" applyNumberFormat="1" applyBorder="1" applyAlignment="1">
      <alignment horizontal="center"/>
    </xf>
    <xf numFmtId="185" fontId="2" fillId="0" borderId="0" xfId="9" applyNumberFormat="1" applyAlignment="1">
      <alignment horizontal="center"/>
    </xf>
    <xf numFmtId="0" fontId="2" fillId="3" borderId="4" xfId="9" applyFill="1" applyBorder="1" applyAlignment="1">
      <alignment horizontal="center"/>
    </xf>
    <xf numFmtId="0" fontId="2" fillId="3" borderId="8" xfId="9" applyFill="1" applyBorder="1" applyAlignment="1">
      <alignment horizontal="center"/>
    </xf>
    <xf numFmtId="0" fontId="2" fillId="7" borderId="4" xfId="9" applyFill="1" applyBorder="1" applyAlignment="1">
      <alignment horizontal="center"/>
    </xf>
    <xf numFmtId="0" fontId="2" fillId="7" borderId="0" xfId="9" applyFill="1" applyAlignment="1">
      <alignment horizontal="center"/>
    </xf>
    <xf numFmtId="0" fontId="2" fillId="7" borderId="3" xfId="9" applyFill="1" applyBorder="1" applyAlignment="1">
      <alignment horizontal="center"/>
    </xf>
    <xf numFmtId="9" fontId="2" fillId="3" borderId="0" xfId="9" applyNumberFormat="1" applyFill="1" applyAlignment="1">
      <alignment horizontal="center"/>
    </xf>
    <xf numFmtId="184" fontId="2" fillId="0" borderId="4" xfId="9" applyNumberFormat="1" applyBorder="1" applyAlignment="1">
      <alignment horizontal="center"/>
    </xf>
    <xf numFmtId="184" fontId="2" fillId="0" borderId="0" xfId="9" applyNumberFormat="1" applyAlignment="1">
      <alignment horizontal="center"/>
    </xf>
    <xf numFmtId="0" fontId="2" fillId="0" borderId="5" xfId="9" applyBorder="1"/>
    <xf numFmtId="180" fontId="2" fillId="0" borderId="6" xfId="9" applyNumberFormat="1" applyBorder="1" applyAlignment="1">
      <alignment horizontal="center"/>
    </xf>
    <xf numFmtId="180" fontId="2" fillId="0" borderId="5" xfId="9" applyNumberFormat="1" applyBorder="1" applyAlignment="1">
      <alignment horizontal="center"/>
    </xf>
    <xf numFmtId="180" fontId="2" fillId="0" borderId="7" xfId="9" applyNumberFormat="1" applyBorder="1" applyAlignment="1">
      <alignment horizontal="center"/>
    </xf>
    <xf numFmtId="183" fontId="2" fillId="0" borderId="6" xfId="9" applyNumberFormat="1" applyBorder="1" applyAlignment="1">
      <alignment horizontal="center"/>
    </xf>
    <xf numFmtId="183" fontId="2" fillId="0" borderId="5" xfId="9" applyNumberFormat="1" applyBorder="1" applyAlignment="1">
      <alignment horizontal="center"/>
    </xf>
    <xf numFmtId="178" fontId="2" fillId="0" borderId="5" xfId="9" applyNumberFormat="1" applyBorder="1" applyAlignment="1">
      <alignment horizontal="center"/>
    </xf>
    <xf numFmtId="182" fontId="2" fillId="0" borderId="5" xfId="9" applyNumberFormat="1" applyBorder="1" applyAlignment="1">
      <alignment horizontal="center"/>
    </xf>
    <xf numFmtId="0" fontId="2" fillId="0" borderId="5" xfId="9" applyBorder="1" applyAlignment="1">
      <alignment horizontal="center"/>
    </xf>
    <xf numFmtId="9" fontId="2" fillId="0" borderId="5" xfId="9" applyNumberFormat="1" applyBorder="1" applyAlignment="1">
      <alignment horizontal="center"/>
    </xf>
    <xf numFmtId="0" fontId="2" fillId="3" borderId="10" xfId="9" applyFill="1" applyBorder="1"/>
    <xf numFmtId="0" fontId="2" fillId="3" borderId="10" xfId="9" applyFill="1" applyBorder="1" applyAlignment="1">
      <alignment horizontal="center"/>
    </xf>
    <xf numFmtId="0" fontId="2" fillId="0" borderId="10" xfId="9" applyBorder="1" applyAlignment="1">
      <alignment horizontal="center"/>
    </xf>
    <xf numFmtId="0" fontId="2" fillId="0" borderId="6" xfId="9" applyBorder="1" applyAlignment="1">
      <alignment horizontal="center"/>
    </xf>
    <xf numFmtId="0" fontId="2" fillId="0" borderId="7" xfId="9" applyBorder="1" applyAlignment="1">
      <alignment horizontal="center"/>
    </xf>
    <xf numFmtId="0" fontId="2" fillId="0" borderId="12" xfId="9" applyBorder="1" applyAlignment="1">
      <alignment horizontal="center"/>
    </xf>
    <xf numFmtId="0" fontId="2" fillId="0" borderId="2" xfId="9" applyBorder="1"/>
    <xf numFmtId="0" fontId="2" fillId="0" borderId="9" xfId="9" applyBorder="1"/>
    <xf numFmtId="0" fontId="2" fillId="0" borderId="2" xfId="9" applyBorder="1" applyAlignment="1">
      <alignment horizontal="center"/>
    </xf>
    <xf numFmtId="206" fontId="2" fillId="0" borderId="9" xfId="9" applyNumberFormat="1" applyBorder="1" applyAlignment="1">
      <alignment horizontal="center"/>
    </xf>
    <xf numFmtId="0" fontId="2" fillId="0" borderId="11" xfId="9" applyBorder="1" applyAlignment="1">
      <alignment horizontal="center"/>
    </xf>
    <xf numFmtId="0" fontId="18" fillId="0" borderId="0" xfId="0" applyFont="1" applyAlignment="1">
      <alignment horizontal="left" vertical="top"/>
    </xf>
    <xf numFmtId="0" fontId="19" fillId="0" borderId="0" xfId="0" applyFont="1" applyAlignment="1">
      <alignment horizontal="left" vertical="top"/>
    </xf>
    <xf numFmtId="171" fontId="19" fillId="0" borderId="0" xfId="0" applyNumberFormat="1" applyFont="1" applyAlignment="1">
      <alignment vertical="center"/>
    </xf>
    <xf numFmtId="0" fontId="17" fillId="5" borderId="25" xfId="0" applyFont="1" applyFill="1" applyBorder="1" applyAlignment="1">
      <alignment horizontal="center" vertical="center"/>
    </xf>
    <xf numFmtId="0" fontId="38" fillId="0" borderId="13" xfId="11" applyFont="1" applyBorder="1"/>
    <xf numFmtId="0" fontId="38" fillId="0" borderId="14" xfId="11" applyFont="1" applyBorder="1"/>
    <xf numFmtId="0" fontId="38" fillId="0" borderId="14" xfId="11" applyFont="1" applyBorder="1" applyAlignment="1">
      <alignment horizontal="center" vertical="center"/>
    </xf>
    <xf numFmtId="0" fontId="38" fillId="0" borderId="15" xfId="11" applyFont="1" applyBorder="1" applyAlignment="1">
      <alignment horizontal="center" vertical="center"/>
    </xf>
    <xf numFmtId="0" fontId="38" fillId="0" borderId="3" xfId="11" applyFont="1" applyBorder="1"/>
    <xf numFmtId="0" fontId="39" fillId="0" borderId="0" xfId="11" applyFont="1" applyAlignment="1">
      <alignment horizontal="left" vertical="center"/>
    </xf>
    <xf numFmtId="201" fontId="39" fillId="0" borderId="4" xfId="11" applyNumberFormat="1" applyFont="1" applyBorder="1" applyAlignment="1">
      <alignment horizontal="center" vertical="center"/>
    </xf>
    <xf numFmtId="0" fontId="39" fillId="0" borderId="3" xfId="11" applyFont="1" applyBorder="1"/>
    <xf numFmtId="0" fontId="38" fillId="0" borderId="28" xfId="11" applyFont="1" applyBorder="1"/>
    <xf numFmtId="0" fontId="39" fillId="0" borderId="26" xfId="11" applyFont="1" applyBorder="1" applyAlignment="1">
      <alignment horizontal="left" vertical="center"/>
    </xf>
    <xf numFmtId="0" fontId="39" fillId="0" borderId="26" xfId="11" applyFont="1" applyBorder="1" applyAlignment="1">
      <alignment horizontal="center" vertical="center"/>
    </xf>
    <xf numFmtId="0" fontId="38" fillId="0" borderId="0" xfId="11" applyFont="1" applyAlignment="1">
      <alignment horizontal="left" vertical="center"/>
    </xf>
    <xf numFmtId="0" fontId="38" fillId="0" borderId="0" xfId="11" applyFont="1" applyAlignment="1">
      <alignment horizontal="center" vertical="center"/>
    </xf>
    <xf numFmtId="201" fontId="38" fillId="0" borderId="4" xfId="11" applyNumberFormat="1" applyFont="1" applyBorder="1" applyAlignment="1">
      <alignment horizontal="center" vertical="center"/>
    </xf>
    <xf numFmtId="0" fontId="39" fillId="0" borderId="26" xfId="11" applyFont="1" applyBorder="1"/>
    <xf numFmtId="201" fontId="38" fillId="0" borderId="20" xfId="11" applyNumberFormat="1" applyFont="1" applyBorder="1" applyAlignment="1">
      <alignment horizontal="center" vertical="center"/>
    </xf>
    <xf numFmtId="201" fontId="36" fillId="0" borderId="20" xfId="11" applyNumberFormat="1" applyFont="1" applyBorder="1" applyAlignment="1">
      <alignment horizontal="center" vertical="center"/>
    </xf>
    <xf numFmtId="0" fontId="41" fillId="0" borderId="0" xfId="11" applyFont="1" applyAlignment="1">
      <alignment horizontal="center" vertical="center"/>
    </xf>
    <xf numFmtId="0" fontId="42" fillId="0" borderId="0" xfId="12" applyFont="1"/>
    <xf numFmtId="0" fontId="37" fillId="0" borderId="0" xfId="12" applyFont="1"/>
    <xf numFmtId="208" fontId="38" fillId="13" borderId="20" xfId="12" applyNumberFormat="1" applyFont="1" applyFill="1" applyBorder="1" applyAlignment="1">
      <alignment horizontal="center" vertical="center"/>
    </xf>
    <xf numFmtId="208" fontId="38" fillId="12" borderId="20" xfId="12" applyNumberFormat="1" applyFont="1" applyFill="1" applyBorder="1" applyAlignment="1">
      <alignment horizontal="center"/>
    </xf>
    <xf numFmtId="0" fontId="43" fillId="0" borderId="0" xfId="12" applyFont="1"/>
    <xf numFmtId="0" fontId="44" fillId="0" borderId="0" xfId="12" applyFont="1"/>
    <xf numFmtId="0" fontId="45" fillId="0" borderId="0" xfId="12" applyFont="1"/>
    <xf numFmtId="0" fontId="42" fillId="0" borderId="20" xfId="12" applyFont="1" applyBorder="1" applyAlignment="1">
      <alignment vertical="center"/>
    </xf>
    <xf numFmtId="0" fontId="42" fillId="0" borderId="20" xfId="12" applyFont="1" applyBorder="1" applyAlignment="1">
      <alignment horizontal="center" vertical="center"/>
    </xf>
    <xf numFmtId="0" fontId="42" fillId="0" borderId="3" xfId="12" applyFont="1" applyBorder="1" applyAlignment="1">
      <alignment vertical="center"/>
    </xf>
    <xf numFmtId="0" fontId="42" fillId="0" borderId="0" xfId="12" applyFont="1" applyAlignment="1">
      <alignment horizontal="center" vertical="center"/>
    </xf>
    <xf numFmtId="208" fontId="51" fillId="13" borderId="20" xfId="12" applyNumberFormat="1" applyFont="1" applyFill="1" applyBorder="1" applyAlignment="1">
      <alignment horizontal="center" vertical="center"/>
    </xf>
    <xf numFmtId="0" fontId="24" fillId="0" borderId="0" xfId="12" applyFont="1" applyAlignment="1">
      <alignment vertical="center"/>
    </xf>
    <xf numFmtId="0" fontId="24" fillId="0" borderId="4" xfId="12" applyFont="1" applyBorder="1" applyAlignment="1">
      <alignment vertical="center"/>
    </xf>
    <xf numFmtId="0" fontId="52" fillId="13" borderId="20" xfId="12" applyFont="1" applyFill="1" applyBorder="1" applyAlignment="1">
      <alignment horizontal="center" vertical="center"/>
    </xf>
    <xf numFmtId="0" fontId="54" fillId="13" borderId="20" xfId="12" applyFont="1" applyFill="1" applyBorder="1" applyAlignment="1">
      <alignment horizontal="center" vertical="center"/>
    </xf>
    <xf numFmtId="2" fontId="54" fillId="12" borderId="20" xfId="12" applyNumberFormat="1" applyFont="1" applyFill="1" applyBorder="1"/>
    <xf numFmtId="208" fontId="52" fillId="12" borderId="20" xfId="12" applyNumberFormat="1" applyFont="1" applyFill="1" applyBorder="1" applyAlignment="1">
      <alignment horizontal="center" vertical="center"/>
    </xf>
    <xf numFmtId="0" fontId="37" fillId="0" borderId="0" xfId="12" applyFont="1" applyAlignment="1">
      <alignment vertical="center"/>
    </xf>
    <xf numFmtId="0" fontId="53" fillId="0" borderId="0" xfId="12" applyFont="1" applyAlignment="1">
      <alignment vertical="center"/>
    </xf>
    <xf numFmtId="208" fontId="54" fillId="12" borderId="20" xfId="12" applyNumberFormat="1" applyFont="1" applyFill="1" applyBorder="1" applyAlignment="1">
      <alignment horizontal="center" vertical="center"/>
    </xf>
    <xf numFmtId="0" fontId="44" fillId="0" borderId="0" xfId="12" applyFont="1" applyAlignment="1">
      <alignment vertical="center"/>
    </xf>
    <xf numFmtId="0" fontId="45" fillId="0" borderId="0" xfId="12" applyFont="1" applyAlignment="1">
      <alignment vertical="center"/>
    </xf>
    <xf numFmtId="0" fontId="43" fillId="0" borderId="0" xfId="12" applyFont="1" applyAlignment="1">
      <alignment vertical="center"/>
    </xf>
    <xf numFmtId="2" fontId="52" fillId="12" borderId="20" xfId="12" applyNumberFormat="1" applyFont="1" applyFill="1" applyBorder="1"/>
    <xf numFmtId="49" fontId="57" fillId="2" borderId="0" xfId="0" applyNumberFormat="1" applyFont="1" applyFill="1" applyAlignment="1">
      <alignment horizontal="left" vertical="center"/>
    </xf>
    <xf numFmtId="49" fontId="58" fillId="2" borderId="0" xfId="0" applyNumberFormat="1" applyFont="1" applyFill="1" applyAlignment="1">
      <alignment vertical="center"/>
    </xf>
    <xf numFmtId="0" fontId="59" fillId="5" borderId="0" xfId="0" applyFont="1" applyFill="1" applyAlignment="1" applyProtection="1">
      <alignment horizontal="left" vertical="center"/>
      <protection locked="0"/>
    </xf>
    <xf numFmtId="0" fontId="60" fillId="5" borderId="0" xfId="0" applyFont="1" applyFill="1" applyAlignment="1">
      <alignment vertical="center"/>
    </xf>
    <xf numFmtId="0" fontId="60" fillId="5" borderId="0" xfId="0" applyFont="1" applyFill="1" applyAlignment="1">
      <alignment vertical="center" shrinkToFit="1"/>
    </xf>
    <xf numFmtId="0" fontId="60" fillId="2" borderId="0" xfId="0" applyFont="1" applyFill="1" applyAlignment="1">
      <alignment vertical="center" shrinkToFit="1"/>
    </xf>
    <xf numFmtId="0" fontId="58" fillId="5" borderId="0" xfId="0" applyFont="1" applyFill="1" applyAlignment="1" applyProtection="1">
      <alignment vertical="center"/>
      <protection locked="0"/>
    </xf>
    <xf numFmtId="0" fontId="60" fillId="5" borderId="0" xfId="0" applyFont="1" applyFill="1" applyAlignment="1" applyProtection="1">
      <alignment vertical="center" shrinkToFit="1"/>
      <protection locked="0"/>
    </xf>
    <xf numFmtId="0" fontId="60" fillId="5" borderId="0" xfId="0" applyFont="1" applyFill="1" applyAlignment="1" applyProtection="1">
      <alignment horizontal="left" vertical="center" shrinkToFit="1"/>
      <protection locked="0"/>
    </xf>
    <xf numFmtId="0" fontId="60" fillId="5" borderId="0" xfId="0" applyFont="1" applyFill="1" applyAlignment="1" applyProtection="1">
      <alignment vertical="center"/>
      <protection locked="0"/>
    </xf>
    <xf numFmtId="0" fontId="60" fillId="5" borderId="0" xfId="0" applyFont="1" applyFill="1" applyAlignment="1" applyProtection="1">
      <alignment horizontal="left" vertical="center"/>
      <protection locked="0"/>
    </xf>
    <xf numFmtId="169" fontId="60" fillId="5" borderId="0" xfId="0" quotePrefix="1" applyNumberFormat="1" applyFont="1" applyFill="1" applyAlignment="1">
      <alignment horizontal="left" vertical="center" shrinkToFit="1"/>
    </xf>
    <xf numFmtId="169" fontId="60" fillId="5" borderId="0" xfId="0" applyNumberFormat="1" applyFont="1" applyFill="1" applyAlignment="1">
      <alignment vertical="center" shrinkToFit="1"/>
    </xf>
    <xf numFmtId="169" fontId="60" fillId="2" borderId="0" xfId="0" applyNumberFormat="1" applyFont="1" applyFill="1" applyAlignment="1">
      <alignment vertical="center" shrinkToFit="1"/>
    </xf>
    <xf numFmtId="49" fontId="58" fillId="0" borderId="0" xfId="0" applyNumberFormat="1" applyFont="1" applyAlignment="1">
      <alignment vertical="center"/>
    </xf>
    <xf numFmtId="49" fontId="60" fillId="2" borderId="0" xfId="0" applyNumberFormat="1" applyFont="1" applyFill="1" applyAlignment="1">
      <alignment vertical="center"/>
    </xf>
    <xf numFmtId="164" fontId="58" fillId="5" borderId="0" xfId="0" applyNumberFormat="1" applyFont="1" applyFill="1" applyAlignment="1">
      <alignment horizontal="left" vertical="center"/>
    </xf>
    <xf numFmtId="0" fontId="58" fillId="5" borderId="0" xfId="0" applyFont="1" applyFill="1" applyAlignment="1">
      <alignment horizontal="left" vertical="center"/>
    </xf>
    <xf numFmtId="0" fontId="58" fillId="5" borderId="0" xfId="0" applyFont="1" applyFill="1" applyAlignment="1">
      <alignment vertical="center"/>
    </xf>
    <xf numFmtId="2" fontId="60" fillId="5" borderId="0" xfId="0" applyNumberFormat="1" applyFont="1" applyFill="1" applyAlignment="1" applyProtection="1">
      <alignment horizontal="left" vertical="center"/>
      <protection locked="0"/>
    </xf>
    <xf numFmtId="181" fontId="61" fillId="5" borderId="0" xfId="0" applyNumberFormat="1" applyFont="1" applyFill="1" applyAlignment="1">
      <alignment horizontal="left" vertical="center"/>
    </xf>
    <xf numFmtId="2" fontId="61" fillId="5" borderId="0" xfId="0" applyNumberFormat="1" applyFont="1" applyFill="1" applyAlignment="1">
      <alignment horizontal="left" vertical="center"/>
    </xf>
    <xf numFmtId="192" fontId="58" fillId="5" borderId="0" xfId="0" applyNumberFormat="1" applyFont="1" applyFill="1" applyAlignment="1">
      <alignment horizontal="left" vertical="center"/>
    </xf>
    <xf numFmtId="181" fontId="60" fillId="5" borderId="0" xfId="0" applyNumberFormat="1" applyFont="1" applyFill="1" applyAlignment="1">
      <alignment vertical="center"/>
    </xf>
    <xf numFmtId="181" fontId="60" fillId="5" borderId="0" xfId="0" applyNumberFormat="1" applyFont="1" applyFill="1" applyAlignment="1" applyProtection="1">
      <alignment horizontal="left" vertical="center"/>
      <protection locked="0"/>
    </xf>
    <xf numFmtId="200" fontId="60" fillId="5" borderId="0" xfId="0" applyNumberFormat="1" applyFont="1" applyFill="1" applyAlignment="1">
      <alignment horizontal="left" vertical="center"/>
    </xf>
    <xf numFmtId="0" fontId="62" fillId="5" borderId="0" xfId="0" applyFont="1" applyFill="1" applyAlignment="1">
      <alignment horizontal="left" vertical="center"/>
    </xf>
    <xf numFmtId="181" fontId="58" fillId="5" borderId="0" xfId="0" applyNumberFormat="1" applyFont="1" applyFill="1" applyAlignment="1">
      <alignment horizontal="left" vertical="center"/>
    </xf>
    <xf numFmtId="180" fontId="58" fillId="5" borderId="0" xfId="0" applyNumberFormat="1" applyFont="1" applyFill="1" applyAlignment="1">
      <alignment horizontal="left" vertical="center"/>
    </xf>
    <xf numFmtId="192" fontId="60" fillId="5" borderId="0" xfId="0" applyNumberFormat="1" applyFont="1" applyFill="1" applyAlignment="1">
      <alignment horizontal="left" vertical="center"/>
    </xf>
    <xf numFmtId="175" fontId="58" fillId="5" borderId="0" xfId="0" applyNumberFormat="1" applyFont="1" applyFill="1" applyAlignment="1">
      <alignment horizontal="left" vertical="center"/>
    </xf>
    <xf numFmtId="181" fontId="61" fillId="5" borderId="0" xfId="0" applyNumberFormat="1" applyFont="1" applyFill="1" applyAlignment="1">
      <alignment horizontal="right" vertical="center"/>
    </xf>
    <xf numFmtId="0" fontId="58" fillId="5" borderId="0" xfId="0" applyFont="1" applyFill="1" applyAlignment="1">
      <alignment horizontal="right" vertical="center"/>
    </xf>
    <xf numFmtId="2" fontId="58" fillId="5" borderId="0" xfId="0" applyNumberFormat="1" applyFont="1" applyFill="1" applyAlignment="1">
      <alignment horizontal="left" vertical="center"/>
    </xf>
    <xf numFmtId="203" fontId="58" fillId="5" borderId="0" xfId="0" quotePrefix="1" applyNumberFormat="1" applyFont="1" applyFill="1" applyAlignment="1">
      <alignment horizontal="center" vertical="center"/>
    </xf>
    <xf numFmtId="9" fontId="58" fillId="5" borderId="0" xfId="0" applyNumberFormat="1" applyFont="1" applyFill="1" applyAlignment="1">
      <alignment horizontal="center" vertical="center"/>
    </xf>
    <xf numFmtId="0" fontId="58" fillId="5" borderId="0" xfId="0" applyFont="1" applyFill="1" applyAlignment="1">
      <alignment horizontal="center" vertical="center"/>
    </xf>
    <xf numFmtId="9" fontId="58" fillId="5" borderId="0" xfId="0" applyNumberFormat="1" applyFont="1" applyFill="1" applyAlignment="1">
      <alignment horizontal="left" vertical="center"/>
    </xf>
    <xf numFmtId="181" fontId="58" fillId="5" borderId="0" xfId="0" applyNumberFormat="1" applyFont="1" applyFill="1" applyAlignment="1">
      <alignment horizontal="right" vertical="center"/>
    </xf>
    <xf numFmtId="181" fontId="60" fillId="5" borderId="0" xfId="0" applyNumberFormat="1" applyFont="1" applyFill="1" applyAlignment="1">
      <alignment horizontal="left" vertical="center"/>
    </xf>
    <xf numFmtId="202" fontId="58" fillId="5" borderId="0" xfId="0" applyNumberFormat="1" applyFont="1" applyFill="1" applyAlignment="1">
      <alignment horizontal="left" vertical="center"/>
    </xf>
    <xf numFmtId="192" fontId="63" fillId="5" borderId="0" xfId="0" applyNumberFormat="1" applyFont="1" applyFill="1" applyAlignment="1">
      <alignment horizontal="left" vertical="center"/>
    </xf>
    <xf numFmtId="164" fontId="58" fillId="2" borderId="0" xfId="0" applyNumberFormat="1" applyFont="1" applyFill="1" applyAlignment="1">
      <alignment horizontal="left"/>
    </xf>
    <xf numFmtId="0" fontId="58" fillId="2" borderId="0" xfId="0" applyFont="1" applyFill="1" applyAlignment="1">
      <alignment horizontal="left"/>
    </xf>
    <xf numFmtId="164" fontId="65" fillId="13" borderId="26" xfId="0" applyNumberFormat="1" applyFont="1" applyFill="1" applyBorder="1" applyAlignment="1">
      <alignment horizontal="left" vertical="center"/>
    </xf>
    <xf numFmtId="191" fontId="60" fillId="5" borderId="25" xfId="0" applyNumberFormat="1" applyFont="1" applyFill="1" applyBorder="1" applyAlignment="1" applyProtection="1">
      <alignment horizontal="left" vertical="center" wrapText="1"/>
      <protection locked="0"/>
    </xf>
    <xf numFmtId="181" fontId="60" fillId="5" borderId="25" xfId="0" applyNumberFormat="1" applyFont="1" applyFill="1" applyBorder="1" applyAlignment="1" applyProtection="1">
      <alignment horizontal="left" vertical="center"/>
      <protection locked="0"/>
    </xf>
    <xf numFmtId="181" fontId="58" fillId="5" borderId="25" xfId="0" applyNumberFormat="1" applyFont="1" applyFill="1" applyBorder="1" applyAlignment="1">
      <alignment horizontal="left" vertical="center"/>
    </xf>
    <xf numFmtId="181" fontId="59" fillId="5" borderId="25" xfId="0" applyNumberFormat="1" applyFont="1" applyFill="1" applyBorder="1" applyAlignment="1" applyProtection="1">
      <alignment horizontal="left" vertical="center"/>
      <protection locked="0"/>
    </xf>
    <xf numFmtId="181" fontId="58" fillId="5" borderId="27" xfId="0" applyNumberFormat="1" applyFont="1" applyFill="1" applyBorder="1" applyAlignment="1">
      <alignment vertical="center"/>
    </xf>
    <xf numFmtId="191" fontId="60" fillId="5" borderId="27" xfId="0" applyNumberFormat="1" applyFont="1" applyFill="1" applyBorder="1" applyAlignment="1" applyProtection="1">
      <alignment vertical="center"/>
      <protection locked="0"/>
    </xf>
    <xf numFmtId="0" fontId="59" fillId="5" borderId="25" xfId="0" applyFont="1" applyFill="1" applyBorder="1" applyAlignment="1" applyProtection="1">
      <alignment horizontal="left"/>
      <protection locked="0"/>
    </xf>
    <xf numFmtId="191" fontId="60" fillId="5" borderId="23" xfId="0" applyNumberFormat="1" applyFont="1" applyFill="1" applyBorder="1" applyAlignment="1" applyProtection="1">
      <alignment horizontal="left" vertical="center" wrapText="1"/>
      <protection locked="0"/>
    </xf>
    <xf numFmtId="181" fontId="58" fillId="5" borderId="23" xfId="0" applyNumberFormat="1" applyFont="1" applyFill="1" applyBorder="1" applyAlignment="1">
      <alignment vertical="center"/>
    </xf>
    <xf numFmtId="191" fontId="60" fillId="5" borderId="23" xfId="0" applyNumberFormat="1" applyFont="1" applyFill="1" applyBorder="1" applyAlignment="1" applyProtection="1">
      <alignment vertical="center"/>
      <protection locked="0"/>
    </xf>
    <xf numFmtId="0" fontId="59" fillId="5" borderId="23" xfId="0" applyFont="1" applyFill="1" applyBorder="1" applyAlignment="1" applyProtection="1">
      <alignment horizontal="left"/>
      <protection locked="0"/>
    </xf>
    <xf numFmtId="191" fontId="60" fillId="5" borderId="24" xfId="0" applyNumberFormat="1" applyFont="1" applyFill="1" applyBorder="1" applyAlignment="1">
      <alignment horizontal="left" vertical="top" wrapText="1"/>
    </xf>
    <xf numFmtId="190" fontId="58" fillId="5" borderId="24" xfId="0" applyNumberFormat="1" applyFont="1" applyFill="1" applyBorder="1" applyAlignment="1">
      <alignment horizontal="center" vertical="top"/>
    </xf>
    <xf numFmtId="181" fontId="60" fillId="5" borderId="24" xfId="0" applyNumberFormat="1" applyFont="1" applyFill="1" applyBorder="1" applyAlignment="1">
      <alignment horizontal="center" vertical="center"/>
    </xf>
    <xf numFmtId="0" fontId="58" fillId="5" borderId="24" xfId="0" applyFont="1" applyFill="1" applyBorder="1" applyAlignment="1">
      <alignment horizontal="left"/>
    </xf>
    <xf numFmtId="191" fontId="62" fillId="5" borderId="0" xfId="0" applyNumberFormat="1" applyFont="1" applyFill="1" applyAlignment="1">
      <alignment horizontal="left" vertical="top" wrapText="1"/>
    </xf>
    <xf numFmtId="164" fontId="62" fillId="5" borderId="0" xfId="0" applyNumberFormat="1" applyFont="1" applyFill="1" applyAlignment="1">
      <alignment horizontal="left"/>
    </xf>
    <xf numFmtId="0" fontId="67" fillId="5" borderId="0" xfId="0" applyFont="1" applyFill="1" applyAlignment="1">
      <alignment horizontal="left"/>
    </xf>
    <xf numFmtId="0" fontId="62" fillId="5" borderId="0" xfId="0" applyFont="1" applyFill="1" applyAlignment="1">
      <alignment horizontal="left"/>
    </xf>
    <xf numFmtId="181" fontId="68" fillId="5" borderId="0" xfId="0" applyNumberFormat="1" applyFont="1" applyFill="1" applyAlignment="1">
      <alignment vertical="center"/>
    </xf>
    <xf numFmtId="0" fontId="58" fillId="5" borderId="0" xfId="0" applyFont="1" applyFill="1"/>
    <xf numFmtId="181" fontId="62" fillId="5" borderId="0" xfId="0" applyNumberFormat="1" applyFont="1" applyFill="1" applyAlignment="1">
      <alignment vertical="center"/>
    </xf>
    <xf numFmtId="191" fontId="60" fillId="5" borderId="0" xfId="0" applyNumberFormat="1" applyFont="1" applyFill="1" applyAlignment="1">
      <alignment horizontal="left" vertical="top" wrapText="1"/>
    </xf>
    <xf numFmtId="190" fontId="58" fillId="5" borderId="0" xfId="0" applyNumberFormat="1" applyFont="1" applyFill="1" applyAlignment="1">
      <alignment horizontal="center" vertical="top"/>
    </xf>
    <xf numFmtId="181" fontId="60" fillId="5" borderId="0" xfId="0" applyNumberFormat="1" applyFont="1" applyFill="1" applyAlignment="1">
      <alignment horizontal="center" vertical="center"/>
    </xf>
    <xf numFmtId="0" fontId="58" fillId="5" borderId="0" xfId="0" applyFont="1" applyFill="1" applyAlignment="1">
      <alignment horizontal="left"/>
    </xf>
    <xf numFmtId="49" fontId="56" fillId="13" borderId="0" xfId="0" applyNumberFormat="1" applyFont="1" applyFill="1" applyAlignment="1">
      <alignment vertical="center"/>
    </xf>
    <xf numFmtId="164" fontId="58" fillId="2" borderId="0" xfId="0" applyNumberFormat="1" applyFont="1" applyFill="1" applyAlignment="1">
      <alignment horizontal="left" vertical="center"/>
    </xf>
    <xf numFmtId="0" fontId="58" fillId="2" borderId="0" xfId="0" applyFont="1" applyFill="1" applyAlignment="1">
      <alignment horizontal="left" vertical="center"/>
    </xf>
    <xf numFmtId="0" fontId="65" fillId="13" borderId="0" xfId="0" applyFont="1" applyFill="1" applyAlignment="1">
      <alignment horizontal="center" wrapText="1"/>
    </xf>
    <xf numFmtId="0" fontId="65" fillId="13" borderId="0" xfId="0" applyFont="1" applyFill="1" applyAlignment="1">
      <alignment horizontal="center" vertical="top" wrapText="1"/>
    </xf>
    <xf numFmtId="164" fontId="58" fillId="5" borderId="0" xfId="0" applyNumberFormat="1" applyFont="1" applyFill="1" applyAlignment="1">
      <alignment horizontal="center"/>
    </xf>
    <xf numFmtId="164" fontId="58" fillId="5" borderId="0" xfId="0" applyNumberFormat="1" applyFont="1" applyFill="1" applyAlignment="1">
      <alignment horizontal="left"/>
    </xf>
    <xf numFmtId="190" fontId="60" fillId="5" borderId="0" xfId="0" applyNumberFormat="1" applyFont="1" applyFill="1" applyAlignment="1" applyProtection="1">
      <alignment horizontal="left" vertical="center"/>
      <protection locked="0"/>
    </xf>
    <xf numFmtId="171" fontId="60" fillId="5" borderId="0" xfId="0" applyNumberFormat="1" applyFont="1" applyFill="1" applyAlignment="1" applyProtection="1">
      <alignment horizontal="center" vertical="center"/>
      <protection locked="0"/>
    </xf>
    <xf numFmtId="201" fontId="60" fillId="5" borderId="0" xfId="0" applyNumberFormat="1" applyFont="1" applyFill="1" applyAlignment="1" applyProtection="1">
      <alignment horizontal="center" vertical="center"/>
      <protection locked="0"/>
    </xf>
    <xf numFmtId="2" fontId="59" fillId="5" borderId="0" xfId="0" applyNumberFormat="1" applyFont="1" applyFill="1" applyAlignment="1" applyProtection="1">
      <alignment horizontal="center" vertical="center"/>
      <protection locked="0"/>
    </xf>
    <xf numFmtId="2" fontId="58" fillId="5" borderId="0" xfId="0" applyNumberFormat="1" applyFont="1" applyFill="1" applyAlignment="1">
      <alignment horizontal="center" vertical="center"/>
    </xf>
    <xf numFmtId="171" fontId="58" fillId="5" borderId="0" xfId="0" applyNumberFormat="1" applyFont="1" applyFill="1" applyAlignment="1">
      <alignment horizontal="center" vertical="center"/>
    </xf>
    <xf numFmtId="0" fontId="58" fillId="5" borderId="0" xfId="0" applyFont="1" applyFill="1" applyAlignment="1">
      <alignment horizontal="center" vertical="top" wrapText="1"/>
    </xf>
    <xf numFmtId="0" fontId="61" fillId="5" borderId="0" xfId="0" applyFont="1" applyFill="1" applyAlignment="1">
      <alignment horizontal="center" vertical="center"/>
    </xf>
    <xf numFmtId="190" fontId="60" fillId="5" borderId="25" xfId="0" applyNumberFormat="1" applyFont="1" applyFill="1" applyBorder="1" applyAlignment="1" applyProtection="1">
      <alignment horizontal="left" vertical="center"/>
      <protection locked="0"/>
    </xf>
    <xf numFmtId="171" fontId="60" fillId="5" borderId="25" xfId="0" applyNumberFormat="1" applyFont="1" applyFill="1" applyBorder="1" applyAlignment="1" applyProtection="1">
      <alignment horizontal="center" vertical="center"/>
      <protection locked="0"/>
    </xf>
    <xf numFmtId="201" fontId="60" fillId="5" borderId="25" xfId="0" applyNumberFormat="1" applyFont="1" applyFill="1" applyBorder="1" applyAlignment="1" applyProtection="1">
      <alignment horizontal="center" vertical="center"/>
      <protection locked="0"/>
    </xf>
    <xf numFmtId="2" fontId="59" fillId="5" borderId="25" xfId="0" applyNumberFormat="1" applyFont="1" applyFill="1" applyBorder="1" applyAlignment="1" applyProtection="1">
      <alignment horizontal="center" vertical="center"/>
      <protection locked="0"/>
    </xf>
    <xf numFmtId="2" fontId="58" fillId="5" borderId="25" xfId="0" applyNumberFormat="1" applyFont="1" applyFill="1" applyBorder="1" applyAlignment="1">
      <alignment horizontal="center" vertical="center"/>
    </xf>
    <xf numFmtId="171" fontId="58" fillId="5" borderId="25" xfId="0" applyNumberFormat="1" applyFont="1" applyFill="1" applyBorder="1" applyAlignment="1">
      <alignment horizontal="center" vertical="center"/>
    </xf>
    <xf numFmtId="0" fontId="58" fillId="5" borderId="25" xfId="0" applyFont="1" applyFill="1" applyBorder="1" applyAlignment="1">
      <alignment horizontal="center" vertical="top" wrapText="1"/>
    </xf>
    <xf numFmtId="0" fontId="61" fillId="5" borderId="25" xfId="0" applyFont="1" applyFill="1" applyBorder="1" applyAlignment="1">
      <alignment horizontal="center" vertical="center"/>
    </xf>
    <xf numFmtId="191" fontId="58" fillId="5" borderId="24" xfId="0" applyNumberFormat="1" applyFont="1" applyFill="1" applyBorder="1" applyAlignment="1">
      <alignment horizontal="left" vertical="center"/>
    </xf>
    <xf numFmtId="166" fontId="58" fillId="5" borderId="24" xfId="0" applyNumberFormat="1" applyFont="1" applyFill="1" applyBorder="1" applyAlignment="1">
      <alignment horizontal="center" vertical="top" wrapText="1"/>
    </xf>
    <xf numFmtId="193" fontId="58" fillId="5" borderId="24" xfId="0" applyNumberFormat="1" applyFont="1" applyFill="1" applyBorder="1" applyAlignment="1">
      <alignment vertical="center"/>
    </xf>
    <xf numFmtId="0" fontId="69" fillId="5" borderId="24" xfId="0" applyFont="1" applyFill="1" applyBorder="1" applyAlignment="1">
      <alignment horizontal="right" vertical="center"/>
    </xf>
    <xf numFmtId="181" fontId="70" fillId="5" borderId="24" xfId="0" applyNumberFormat="1" applyFont="1" applyFill="1" applyBorder="1" applyAlignment="1" applyProtection="1">
      <alignment horizontal="center" vertical="top" wrapText="1"/>
      <protection locked="0"/>
    </xf>
    <xf numFmtId="0" fontId="58" fillId="5" borderId="24" xfId="0" applyFont="1" applyFill="1" applyBorder="1" applyAlignment="1">
      <alignment horizontal="center" vertical="top" wrapText="1"/>
    </xf>
    <xf numFmtId="207" fontId="58" fillId="5" borderId="24" xfId="0" applyNumberFormat="1" applyFont="1" applyFill="1" applyBorder="1" applyAlignment="1">
      <alignment horizontal="center" vertical="top" wrapText="1"/>
    </xf>
    <xf numFmtId="0" fontId="58" fillId="5" borderId="0" xfId="0" applyFont="1" applyFill="1" applyAlignment="1">
      <alignment horizontal="right"/>
    </xf>
    <xf numFmtId="166" fontId="58" fillId="5" borderId="0" xfId="0" applyNumberFormat="1" applyFont="1" applyFill="1" applyAlignment="1">
      <alignment horizontal="left"/>
    </xf>
    <xf numFmtId="0" fontId="71" fillId="5" borderId="0" xfId="0" applyFont="1" applyFill="1" applyAlignment="1">
      <alignment horizontal="center" vertical="top"/>
    </xf>
    <xf numFmtId="2" fontId="60" fillId="5" borderId="0" xfId="0" applyNumberFormat="1" applyFont="1" applyFill="1" applyAlignment="1">
      <alignment horizontal="center" vertical="center"/>
    </xf>
    <xf numFmtId="0" fontId="58" fillId="5" borderId="0" xfId="0" applyFont="1" applyFill="1" applyAlignment="1">
      <alignment horizontal="center"/>
    </xf>
    <xf numFmtId="1" fontId="58" fillId="2" borderId="0" xfId="0" applyNumberFormat="1" applyFont="1" applyFill="1" applyProtection="1">
      <protection locked="0"/>
    </xf>
    <xf numFmtId="0" fontId="58" fillId="2" borderId="0" xfId="0" applyFont="1" applyFill="1"/>
    <xf numFmtId="191" fontId="58" fillId="2" borderId="0" xfId="0" applyNumberFormat="1" applyFont="1" applyFill="1"/>
    <xf numFmtId="181" fontId="58" fillId="2" borderId="0" xfId="0" applyNumberFormat="1" applyFont="1" applyFill="1"/>
    <xf numFmtId="176" fontId="58" fillId="2" borderId="0" xfId="0" applyNumberFormat="1" applyFont="1" applyFill="1"/>
    <xf numFmtId="0" fontId="70" fillId="2" borderId="0" xfId="0" applyFont="1" applyFill="1"/>
    <xf numFmtId="0" fontId="67" fillId="2" borderId="0" xfId="0" applyFont="1" applyFill="1"/>
    <xf numFmtId="0" fontId="70" fillId="2" borderId="0" xfId="0" applyFont="1" applyFill="1" applyAlignment="1">
      <alignment horizontal="left"/>
    </xf>
    <xf numFmtId="0" fontId="67" fillId="2" borderId="0" xfId="0" applyFont="1" applyFill="1" applyAlignment="1">
      <alignment horizontal="center" vertical="center"/>
    </xf>
    <xf numFmtId="1" fontId="58" fillId="2" borderId="0" xfId="5" applyNumberFormat="1" applyFont="1" applyFill="1" applyProtection="1">
      <protection locked="0"/>
    </xf>
    <xf numFmtId="49" fontId="58" fillId="2" borderId="0" xfId="5" applyNumberFormat="1" applyFont="1" applyFill="1"/>
    <xf numFmtId="0" fontId="58" fillId="2" borderId="0" xfId="5" applyNumberFormat="1" applyFont="1" applyFill="1"/>
    <xf numFmtId="0" fontId="62" fillId="2" borderId="0" xfId="0" applyFont="1" applyFill="1" applyProtection="1">
      <protection locked="0"/>
    </xf>
    <xf numFmtId="0" fontId="62" fillId="2" borderId="0" xfId="0" applyFont="1" applyFill="1" applyAlignment="1" applyProtection="1">
      <alignment vertical="center"/>
      <protection locked="0"/>
    </xf>
    <xf numFmtId="0" fontId="58" fillId="2" borderId="0" xfId="0" applyFont="1" applyFill="1" applyAlignment="1" applyProtection="1">
      <alignment vertical="top"/>
      <protection locked="0"/>
    </xf>
    <xf numFmtId="0" fontId="58" fillId="2" borderId="0" xfId="0" applyFont="1" applyFill="1" applyProtection="1">
      <protection locked="0"/>
    </xf>
    <xf numFmtId="0" fontId="67" fillId="2" borderId="0" xfId="0" applyFont="1" applyFill="1" applyProtection="1">
      <protection locked="0"/>
    </xf>
    <xf numFmtId="1" fontId="58" fillId="2" borderId="0" xfId="0" applyNumberFormat="1" applyFont="1" applyFill="1" applyAlignment="1" applyProtection="1">
      <alignment vertical="top"/>
      <protection locked="0"/>
    </xf>
    <xf numFmtId="49" fontId="58" fillId="2" borderId="0" xfId="0" applyNumberFormat="1" applyFont="1" applyFill="1" applyAlignment="1">
      <alignment horizontal="left" vertical="top"/>
    </xf>
    <xf numFmtId="0" fontId="72" fillId="2" borderId="0" xfId="5" applyNumberFormat="1" applyFont="1" applyFill="1" applyAlignment="1">
      <alignment horizontal="right"/>
    </xf>
    <xf numFmtId="0" fontId="58" fillId="2" borderId="0" xfId="0" applyFont="1" applyFill="1" applyAlignment="1" applyProtection="1">
      <alignment horizontal="center" vertical="center"/>
      <protection locked="0"/>
    </xf>
    <xf numFmtId="0" fontId="67" fillId="2" borderId="0" xfId="0" applyFont="1" applyFill="1" applyAlignment="1" applyProtection="1">
      <alignment vertical="top"/>
      <protection locked="0"/>
    </xf>
    <xf numFmtId="0" fontId="67" fillId="2" borderId="0" xfId="0" applyFont="1" applyFill="1" applyAlignment="1">
      <alignment vertical="top"/>
    </xf>
    <xf numFmtId="1" fontId="58" fillId="2" borderId="0" xfId="0" applyNumberFormat="1" applyFont="1" applyFill="1" applyAlignment="1" applyProtection="1">
      <alignment vertical="center"/>
      <protection locked="0"/>
    </xf>
    <xf numFmtId="0" fontId="58" fillId="2" borderId="0" xfId="0" applyFont="1" applyFill="1" applyAlignment="1" applyProtection="1">
      <alignment vertical="center"/>
      <protection locked="0"/>
    </xf>
    <xf numFmtId="0" fontId="67" fillId="2" borderId="0" xfId="0" applyFont="1" applyFill="1" applyAlignment="1" applyProtection="1">
      <alignment vertical="center"/>
      <protection locked="0"/>
    </xf>
    <xf numFmtId="0" fontId="67" fillId="2" borderId="0" xfId="0" applyFont="1" applyFill="1" applyAlignment="1">
      <alignment vertical="center"/>
    </xf>
    <xf numFmtId="176" fontId="58" fillId="2" borderId="0" xfId="0" applyNumberFormat="1" applyFont="1" applyFill="1" applyAlignment="1" applyProtection="1">
      <alignment horizontal="center" vertical="center"/>
      <protection locked="0"/>
    </xf>
    <xf numFmtId="1" fontId="58" fillId="2" borderId="0" xfId="0" applyNumberFormat="1" applyFont="1" applyFill="1" applyAlignment="1" applyProtection="1">
      <alignment horizontal="center" vertical="center"/>
      <protection locked="0"/>
    </xf>
    <xf numFmtId="176" fontId="58" fillId="2" borderId="0" xfId="0" applyNumberFormat="1" applyFont="1" applyFill="1" applyAlignment="1" applyProtection="1">
      <alignment vertical="center"/>
      <protection locked="0"/>
    </xf>
    <xf numFmtId="0" fontId="60" fillId="2" borderId="0" xfId="0" applyFont="1" applyFill="1" applyAlignment="1" applyProtection="1">
      <alignment vertical="center"/>
      <protection locked="0"/>
    </xf>
    <xf numFmtId="164" fontId="58" fillId="2" borderId="0" xfId="0" applyNumberFormat="1" applyFont="1" applyFill="1" applyAlignment="1" applyProtection="1">
      <alignment vertical="center"/>
      <protection locked="0"/>
    </xf>
    <xf numFmtId="0" fontId="67" fillId="2" borderId="0" xfId="0" applyFont="1" applyFill="1" applyAlignment="1" applyProtection="1">
      <alignment horizontal="center" vertical="center"/>
      <protection locked="0"/>
    </xf>
    <xf numFmtId="0" fontId="58" fillId="2" borderId="0" xfId="0" applyFont="1" applyFill="1" applyAlignment="1" applyProtection="1">
      <alignment horizontal="left" vertical="center"/>
      <protection locked="0"/>
    </xf>
    <xf numFmtId="0" fontId="58" fillId="2" borderId="0" xfId="0" applyFont="1" applyFill="1" applyAlignment="1">
      <alignment horizontal="left" vertical="top" wrapText="1"/>
    </xf>
    <xf numFmtId="1" fontId="58" fillId="2" borderId="0" xfId="0" applyNumberFormat="1" applyFont="1" applyFill="1" applyAlignment="1" applyProtection="1">
      <alignment horizontal="left" vertical="center"/>
      <protection locked="0"/>
    </xf>
    <xf numFmtId="0" fontId="67" fillId="2" borderId="0" xfId="0" quotePrefix="1" applyFont="1" applyFill="1"/>
    <xf numFmtId="171" fontId="58" fillId="2" borderId="0" xfId="0" applyNumberFormat="1" applyFont="1" applyFill="1" applyAlignment="1">
      <alignment vertical="center"/>
    </xf>
    <xf numFmtId="165" fontId="58" fillId="5" borderId="0" xfId="0" applyNumberFormat="1" applyFont="1" applyFill="1" applyAlignment="1">
      <alignment horizontal="left" vertical="center"/>
    </xf>
    <xf numFmtId="0" fontId="65" fillId="6" borderId="26" xfId="0" applyFont="1" applyFill="1" applyBorder="1" applyAlignment="1">
      <alignment vertical="center"/>
    </xf>
    <xf numFmtId="176" fontId="58" fillId="2" borderId="0" xfId="0" applyNumberFormat="1" applyFont="1" applyFill="1" applyProtection="1">
      <protection locked="0"/>
    </xf>
    <xf numFmtId="164" fontId="62" fillId="2" borderId="0" xfId="0" applyNumberFormat="1" applyFont="1" applyFill="1" applyAlignment="1" applyProtection="1">
      <alignment wrapText="1"/>
      <protection locked="0"/>
    </xf>
    <xf numFmtId="0" fontId="67" fillId="2" borderId="0" xfId="0" applyFont="1" applyFill="1" applyAlignment="1" applyProtection="1">
      <alignment horizontal="center"/>
      <protection locked="0"/>
    </xf>
    <xf numFmtId="0" fontId="67" fillId="2" borderId="0" xfId="0" quotePrefix="1" applyFont="1" applyFill="1" applyProtection="1">
      <protection locked="0"/>
    </xf>
    <xf numFmtId="190" fontId="67" fillId="2" borderId="0" xfId="0" applyNumberFormat="1" applyFont="1" applyFill="1" applyAlignment="1" applyProtection="1">
      <alignment vertical="center"/>
      <protection locked="0"/>
    </xf>
    <xf numFmtId="191" fontId="67" fillId="2" borderId="0" xfId="0" applyNumberFormat="1" applyFont="1" applyFill="1" applyAlignment="1" applyProtection="1">
      <alignment horizontal="center" vertical="center"/>
      <protection locked="0"/>
    </xf>
    <xf numFmtId="197" fontId="67" fillId="2" borderId="0" xfId="0" applyNumberFormat="1" applyFont="1" applyFill="1" applyAlignment="1" applyProtection="1">
      <alignment vertical="center"/>
      <protection locked="0"/>
    </xf>
    <xf numFmtId="196" fontId="67" fillId="2" borderId="0" xfId="0" applyNumberFormat="1" applyFont="1" applyFill="1" applyAlignment="1" applyProtection="1">
      <alignment vertical="center"/>
      <protection locked="0"/>
    </xf>
    <xf numFmtId="192" fontId="67" fillId="2" borderId="0" xfId="0" quotePrefix="1" applyNumberFormat="1" applyFont="1" applyFill="1" applyProtection="1">
      <protection locked="0"/>
    </xf>
    <xf numFmtId="0" fontId="58" fillId="2" borderId="0" xfId="0" applyFont="1" applyFill="1" applyAlignment="1">
      <alignment vertical="center"/>
    </xf>
    <xf numFmtId="1" fontId="58" fillId="5" borderId="0" xfId="0" applyNumberFormat="1" applyFont="1" applyFill="1" applyAlignment="1" applyProtection="1">
      <alignment horizontal="left" vertical="center"/>
      <protection locked="0"/>
    </xf>
    <xf numFmtId="1" fontId="58" fillId="5" borderId="0" xfId="0" applyNumberFormat="1" applyFont="1" applyFill="1" applyAlignment="1" applyProtection="1">
      <alignment vertical="center"/>
      <protection locked="0"/>
    </xf>
    <xf numFmtId="176" fontId="58" fillId="5" borderId="0" xfId="0" applyNumberFormat="1" applyFont="1" applyFill="1" applyAlignment="1" applyProtection="1">
      <alignment vertical="center"/>
      <protection locked="0"/>
    </xf>
    <xf numFmtId="0" fontId="67" fillId="5" borderId="0" xfId="0" applyFont="1" applyFill="1" applyAlignment="1" applyProtection="1">
      <alignment vertical="center"/>
      <protection locked="0"/>
    </xf>
    <xf numFmtId="0" fontId="67" fillId="5" borderId="0" xfId="0" applyFont="1" applyFill="1" applyAlignment="1">
      <alignment vertical="center"/>
    </xf>
    <xf numFmtId="0" fontId="58" fillId="5" borderId="0" xfId="0" applyFont="1" applyFill="1" applyProtection="1">
      <protection locked="0"/>
    </xf>
    <xf numFmtId="0" fontId="67" fillId="0" borderId="0" xfId="0" applyFont="1" applyAlignment="1" applyProtection="1">
      <alignment vertical="center"/>
      <protection locked="0"/>
    </xf>
    <xf numFmtId="166" fontId="58" fillId="2" borderId="0" xfId="0" applyNumberFormat="1" applyFont="1" applyFill="1" applyAlignment="1" applyProtection="1">
      <alignment horizontal="left" vertical="center"/>
      <protection locked="0"/>
    </xf>
    <xf numFmtId="1" fontId="58" fillId="2" borderId="25" xfId="0" applyNumberFormat="1" applyFont="1" applyFill="1" applyBorder="1" applyAlignment="1" applyProtection="1">
      <alignment horizontal="center" vertical="center"/>
      <protection locked="0"/>
    </xf>
    <xf numFmtId="1" fontId="58" fillId="2" borderId="25" xfId="0" applyNumberFormat="1" applyFont="1" applyFill="1" applyBorder="1" applyAlignment="1" applyProtection="1">
      <alignment vertical="center"/>
      <protection locked="0"/>
    </xf>
    <xf numFmtId="1" fontId="58" fillId="2" borderId="24" xfId="0" applyNumberFormat="1" applyFont="1" applyFill="1" applyBorder="1" applyAlignment="1" applyProtection="1">
      <alignment horizontal="left" vertical="center"/>
      <protection locked="0"/>
    </xf>
    <xf numFmtId="1" fontId="58" fillId="2" borderId="24" xfId="0" applyNumberFormat="1" applyFont="1" applyFill="1" applyBorder="1" applyAlignment="1" applyProtection="1">
      <alignment horizontal="left" vertical="top" wrapText="1"/>
      <protection locked="0"/>
    </xf>
    <xf numFmtId="0" fontId="70" fillId="2" borderId="0" xfId="0" applyFont="1" applyFill="1" applyAlignment="1" applyProtection="1">
      <alignment horizontal="center" vertical="center"/>
      <protection locked="0"/>
    </xf>
    <xf numFmtId="0" fontId="67" fillId="2" borderId="0" xfId="0" applyFont="1" applyFill="1" applyAlignment="1" applyProtection="1">
      <alignment horizontal="left"/>
      <protection locked="0"/>
    </xf>
    <xf numFmtId="1" fontId="58" fillId="5" borderId="0" xfId="0" applyNumberFormat="1" applyFont="1" applyFill="1" applyAlignment="1" applyProtection="1">
      <alignment horizontal="left" vertical="top" wrapText="1"/>
      <protection locked="0"/>
    </xf>
    <xf numFmtId="0" fontId="70" fillId="5" borderId="0" xfId="0" applyFont="1" applyFill="1" applyAlignment="1">
      <alignment horizontal="center" vertical="center"/>
    </xf>
    <xf numFmtId="0" fontId="70" fillId="5" borderId="0" xfId="0" applyFont="1" applyFill="1" applyAlignment="1" applyProtection="1">
      <alignment horizontal="center" vertical="center"/>
      <protection locked="0"/>
    </xf>
    <xf numFmtId="0" fontId="58" fillId="5" borderId="0" xfId="0" applyFont="1" applyFill="1" applyAlignment="1" applyProtection="1">
      <alignment horizontal="left"/>
      <protection locked="0"/>
    </xf>
    <xf numFmtId="1" fontId="58" fillId="5" borderId="0" xfId="0" applyNumberFormat="1" applyFont="1" applyFill="1" applyProtection="1">
      <protection locked="0"/>
    </xf>
    <xf numFmtId="176" fontId="58" fillId="5" borderId="0" xfId="0" applyNumberFormat="1" applyFont="1" applyFill="1" applyProtection="1">
      <protection locked="0"/>
    </xf>
    <xf numFmtId="0" fontId="73" fillId="2" borderId="0" xfId="0" applyFont="1" applyFill="1" applyAlignment="1">
      <alignment horizontal="center" vertical="top" wrapText="1"/>
    </xf>
    <xf numFmtId="190" fontId="58" fillId="5" borderId="0" xfId="0" applyNumberFormat="1" applyFont="1" applyFill="1" applyAlignment="1" applyProtection="1">
      <alignment horizontal="left" vertical="center"/>
      <protection locked="0"/>
    </xf>
    <xf numFmtId="195" fontId="58" fillId="5" borderId="0" xfId="0" applyNumberFormat="1" applyFont="1" applyFill="1" applyAlignment="1">
      <alignment vertical="top" wrapText="1"/>
    </xf>
    <xf numFmtId="194" fontId="60" fillId="5" borderId="0" xfId="0" applyNumberFormat="1" applyFont="1" applyFill="1" applyAlignment="1" applyProtection="1">
      <alignment horizontal="right" vertical="center"/>
      <protection locked="0"/>
    </xf>
    <xf numFmtId="194" fontId="58" fillId="5" borderId="0" xfId="0" applyNumberFormat="1" applyFont="1" applyFill="1" applyAlignment="1">
      <alignment horizontal="center" vertical="center"/>
    </xf>
    <xf numFmtId="204" fontId="58" fillId="5" borderId="0" xfId="0" applyNumberFormat="1" applyFont="1" applyFill="1" applyAlignment="1">
      <alignment vertical="center"/>
    </xf>
    <xf numFmtId="174" fontId="58" fillId="5" borderId="0" xfId="0" applyNumberFormat="1" applyFont="1" applyFill="1" applyAlignment="1" applyProtection="1">
      <alignment horizontal="left" vertical="top"/>
      <protection locked="0"/>
    </xf>
    <xf numFmtId="194" fontId="58" fillId="5" borderId="0" xfId="0" applyNumberFormat="1" applyFont="1" applyFill="1" applyAlignment="1" applyProtection="1">
      <alignment horizontal="left" vertical="top"/>
      <protection locked="0"/>
    </xf>
    <xf numFmtId="173" fontId="58" fillId="5" borderId="0" xfId="0" applyNumberFormat="1" applyFont="1" applyFill="1" applyAlignment="1" applyProtection="1">
      <alignment horizontal="left" vertical="top"/>
      <protection locked="0"/>
    </xf>
    <xf numFmtId="190" fontId="70" fillId="5" borderId="0" xfId="0" applyNumberFormat="1" applyFont="1" applyFill="1" applyAlignment="1">
      <alignment horizontal="left" vertical="center"/>
    </xf>
    <xf numFmtId="0" fontId="60" fillId="5" borderId="0" xfId="0" applyFont="1" applyFill="1" applyAlignment="1">
      <alignment horizontal="center" vertical="center"/>
    </xf>
    <xf numFmtId="0" fontId="62" fillId="5" borderId="0" xfId="0" applyFont="1" applyFill="1" applyAlignment="1">
      <alignment horizontal="center" vertical="center"/>
    </xf>
    <xf numFmtId="0" fontId="62" fillId="5" borderId="0" xfId="0" applyFont="1" applyFill="1" applyAlignment="1">
      <alignment horizontal="right" vertical="center"/>
    </xf>
    <xf numFmtId="49" fontId="65" fillId="13" borderId="0" xfId="0" applyNumberFormat="1" applyFont="1" applyFill="1" applyAlignment="1">
      <alignment vertical="center"/>
    </xf>
    <xf numFmtId="164" fontId="58" fillId="13" borderId="0" xfId="0" applyNumberFormat="1" applyFont="1" applyFill="1" applyAlignment="1">
      <alignment horizontal="left" vertical="center"/>
    </xf>
    <xf numFmtId="0" fontId="58" fillId="13" borderId="0" xfId="0" applyFont="1" applyFill="1" applyAlignment="1">
      <alignment horizontal="left" vertical="center"/>
    </xf>
    <xf numFmtId="0" fontId="65" fillId="13" borderId="0" xfId="0" applyFont="1" applyFill="1" applyAlignment="1">
      <alignment horizontal="left" vertical="top" wrapText="1"/>
    </xf>
    <xf numFmtId="0" fontId="65" fillId="13" borderId="0" xfId="0" applyFont="1" applyFill="1" applyAlignment="1">
      <alignment horizontal="left"/>
    </xf>
    <xf numFmtId="0" fontId="65" fillId="13" borderId="0" xfId="0" applyFont="1" applyFill="1" applyAlignment="1">
      <alignment wrapText="1"/>
    </xf>
    <xf numFmtId="0" fontId="65" fillId="13" borderId="0" xfId="0" applyFont="1" applyFill="1" applyAlignment="1">
      <alignment horizontal="right"/>
    </xf>
    <xf numFmtId="0" fontId="73" fillId="2" borderId="0" xfId="0" applyFont="1" applyFill="1" applyAlignment="1" applyProtection="1">
      <alignment wrapText="1"/>
      <protection locked="0"/>
    </xf>
    <xf numFmtId="171" fontId="58" fillId="2" borderId="0" xfId="0" applyNumberFormat="1" applyFont="1" applyFill="1" applyProtection="1">
      <protection locked="0"/>
    </xf>
    <xf numFmtId="174" fontId="68" fillId="5" borderId="0" xfId="0" applyNumberFormat="1" applyFont="1" applyFill="1" applyAlignment="1" applyProtection="1">
      <alignment horizontal="right" vertical="center"/>
      <protection locked="0"/>
    </xf>
    <xf numFmtId="173" fontId="60" fillId="5" borderId="0" xfId="0" applyNumberFormat="1" applyFont="1" applyFill="1" applyAlignment="1" applyProtection="1">
      <alignment horizontal="left" vertical="center"/>
      <protection locked="0"/>
    </xf>
    <xf numFmtId="194" fontId="58" fillId="5" borderId="0" xfId="0" applyNumberFormat="1" applyFont="1" applyFill="1" applyAlignment="1">
      <alignment vertical="center"/>
    </xf>
    <xf numFmtId="0" fontId="73" fillId="2" borderId="0" xfId="0" applyFont="1" applyFill="1" applyAlignment="1">
      <alignment horizontal="left" vertical="top" wrapText="1"/>
    </xf>
    <xf numFmtId="0" fontId="73" fillId="2" borderId="0" xfId="0" applyFont="1" applyFill="1" applyAlignment="1">
      <alignment vertical="center"/>
    </xf>
    <xf numFmtId="0" fontId="70" fillId="2" borderId="0" xfId="0" applyFont="1" applyFill="1" applyAlignment="1">
      <alignment vertical="center"/>
    </xf>
    <xf numFmtId="1" fontId="58" fillId="2" borderId="0" xfId="0" applyNumberFormat="1" applyFont="1" applyFill="1" applyAlignment="1" applyProtection="1">
      <alignment horizontal="left" vertical="top" wrapText="1"/>
      <protection locked="0"/>
    </xf>
    <xf numFmtId="194" fontId="58" fillId="5" borderId="24" xfId="0" applyNumberFormat="1" applyFont="1" applyFill="1" applyBorder="1" applyAlignment="1">
      <alignment horizontal="center" vertical="center"/>
    </xf>
    <xf numFmtId="0" fontId="58" fillId="5" borderId="24" xfId="0" applyFont="1" applyFill="1" applyBorder="1" applyAlignment="1">
      <alignment vertical="center"/>
    </xf>
    <xf numFmtId="174" fontId="64" fillId="5" borderId="24" xfId="0" applyNumberFormat="1" applyFont="1" applyFill="1" applyBorder="1" applyAlignment="1" applyProtection="1">
      <alignment vertical="center"/>
      <protection locked="0"/>
    </xf>
    <xf numFmtId="0" fontId="58" fillId="5" borderId="24" xfId="0" applyFont="1" applyFill="1" applyBorder="1" applyAlignment="1">
      <alignment horizontal="center" vertical="center"/>
    </xf>
    <xf numFmtId="165" fontId="60" fillId="5" borderId="24" xfId="0" applyNumberFormat="1" applyFont="1" applyFill="1" applyBorder="1" applyAlignment="1" applyProtection="1">
      <alignment horizontal="right" vertical="center"/>
      <protection locked="0"/>
    </xf>
    <xf numFmtId="194" fontId="60" fillId="5" borderId="24" xfId="0" applyNumberFormat="1" applyFont="1" applyFill="1" applyBorder="1" applyAlignment="1" applyProtection="1">
      <alignment horizontal="right" vertical="center"/>
      <protection locked="0"/>
    </xf>
    <xf numFmtId="189" fontId="58" fillId="5" borderId="24" xfId="0" applyNumberFormat="1" applyFont="1" applyFill="1" applyBorder="1" applyAlignment="1">
      <alignment horizontal="center" vertical="center"/>
    </xf>
    <xf numFmtId="164" fontId="60" fillId="5" borderId="0" xfId="0" applyNumberFormat="1" applyFont="1" applyFill="1" applyAlignment="1">
      <alignment horizontal="center"/>
    </xf>
    <xf numFmtId="174" fontId="60" fillId="5" borderId="0" xfId="0" applyNumberFormat="1" applyFont="1" applyFill="1" applyAlignment="1">
      <alignment horizontal="center" vertical="center"/>
    </xf>
    <xf numFmtId="0" fontId="64" fillId="5" borderId="0" xfId="0" applyFont="1" applyFill="1" applyAlignment="1">
      <alignment vertical="center"/>
    </xf>
    <xf numFmtId="0" fontId="73" fillId="5" borderId="0" xfId="0" applyFont="1" applyFill="1" applyAlignment="1">
      <alignment horizontal="right" vertical="top" wrapText="1"/>
    </xf>
    <xf numFmtId="171" fontId="58" fillId="5" borderId="0" xfId="0" applyNumberFormat="1" applyFont="1" applyFill="1" applyAlignment="1">
      <alignment vertical="center"/>
    </xf>
    <xf numFmtId="0" fontId="70" fillId="5" borderId="0" xfId="0" applyFont="1" applyFill="1" applyAlignment="1">
      <alignment vertical="center"/>
    </xf>
    <xf numFmtId="194" fontId="58" fillId="5" borderId="25" xfId="0" applyNumberFormat="1" applyFont="1" applyFill="1" applyBorder="1" applyAlignment="1">
      <alignment horizontal="center" vertical="center"/>
    </xf>
    <xf numFmtId="174" fontId="68" fillId="5" borderId="25" xfId="0" applyNumberFormat="1" applyFont="1" applyFill="1" applyBorder="1" applyAlignment="1" applyProtection="1">
      <alignment horizontal="right" vertical="center"/>
      <protection locked="0"/>
    </xf>
    <xf numFmtId="174" fontId="60" fillId="5" borderId="25" xfId="0" applyNumberFormat="1" applyFont="1" applyFill="1" applyBorder="1" applyAlignment="1" applyProtection="1">
      <alignment horizontal="left" vertical="center"/>
      <protection locked="0"/>
    </xf>
    <xf numFmtId="194" fontId="60" fillId="5" borderId="25" xfId="0" applyNumberFormat="1" applyFont="1" applyFill="1" applyBorder="1" applyAlignment="1" applyProtection="1">
      <alignment horizontal="right" vertical="center"/>
      <protection locked="0"/>
    </xf>
    <xf numFmtId="173" fontId="60" fillId="5" borderId="25" xfId="0" applyNumberFormat="1" applyFont="1" applyFill="1" applyBorder="1" applyAlignment="1" applyProtection="1">
      <alignment horizontal="left" vertical="center"/>
      <protection locked="0"/>
    </xf>
    <xf numFmtId="194" fontId="58" fillId="5" borderId="25" xfId="0" applyNumberFormat="1" applyFont="1" applyFill="1" applyBorder="1" applyAlignment="1">
      <alignment vertical="center"/>
    </xf>
    <xf numFmtId="191" fontId="58" fillId="5" borderId="0" xfId="0" applyNumberFormat="1" applyFont="1" applyFill="1" applyAlignment="1">
      <alignment horizontal="left" vertical="center"/>
    </xf>
    <xf numFmtId="191" fontId="58" fillId="5" borderId="0" xfId="0" applyNumberFormat="1" applyFont="1" applyFill="1" applyAlignment="1">
      <alignment horizontal="center" vertical="center"/>
    </xf>
    <xf numFmtId="0" fontId="58" fillId="2" borderId="0" xfId="0" applyFont="1" applyFill="1" applyAlignment="1">
      <alignment horizontal="right" vertical="center"/>
    </xf>
    <xf numFmtId="174" fontId="64" fillId="5" borderId="0" xfId="0" applyNumberFormat="1" applyFont="1" applyFill="1" applyAlignment="1" applyProtection="1">
      <alignment vertical="center"/>
      <protection locked="0"/>
    </xf>
    <xf numFmtId="165" fontId="60" fillId="5" borderId="0" xfId="0" applyNumberFormat="1" applyFont="1" applyFill="1" applyAlignment="1" applyProtection="1">
      <alignment horizontal="right" vertical="center"/>
      <protection locked="0"/>
    </xf>
    <xf numFmtId="189" fontId="58" fillId="5" borderId="0" xfId="0" applyNumberFormat="1" applyFont="1" applyFill="1" applyAlignment="1">
      <alignment horizontal="center" vertical="center"/>
    </xf>
    <xf numFmtId="0" fontId="58" fillId="2" borderId="0" xfId="0" applyFont="1" applyFill="1" applyAlignment="1" applyProtection="1">
      <alignment vertical="center" textRotation="90"/>
      <protection locked="0"/>
    </xf>
    <xf numFmtId="164" fontId="60" fillId="5" borderId="0" xfId="0" applyNumberFormat="1" applyFont="1" applyFill="1" applyAlignment="1" applyProtection="1">
      <alignment horizontal="left" vertical="center"/>
      <protection locked="0"/>
    </xf>
    <xf numFmtId="1" fontId="59" fillId="5" borderId="0" xfId="0" applyNumberFormat="1" applyFont="1" applyFill="1" applyAlignment="1" applyProtection="1">
      <alignment horizontal="center" vertical="center"/>
      <protection locked="0"/>
    </xf>
    <xf numFmtId="194" fontId="58" fillId="5" borderId="0" xfId="0" applyNumberFormat="1" applyFont="1" applyFill="1" applyAlignment="1">
      <alignment horizontal="left" vertical="center"/>
    </xf>
    <xf numFmtId="194" fontId="59" fillId="5" borderId="0" xfId="0" applyNumberFormat="1" applyFont="1" applyFill="1" applyAlignment="1" applyProtection="1">
      <alignment horizontal="left" vertical="center"/>
      <protection locked="0"/>
    </xf>
    <xf numFmtId="174" fontId="60" fillId="5" borderId="0" xfId="0" applyNumberFormat="1" applyFont="1" applyFill="1" applyAlignment="1" applyProtection="1">
      <alignment horizontal="center" vertical="center"/>
      <protection locked="0"/>
    </xf>
    <xf numFmtId="165" fontId="58" fillId="5" borderId="0" xfId="0" applyNumberFormat="1" applyFont="1" applyFill="1" applyAlignment="1" applyProtection="1">
      <alignment horizontal="left" vertical="center"/>
      <protection locked="0"/>
    </xf>
    <xf numFmtId="0" fontId="73" fillId="2" borderId="0" xfId="0" applyFont="1" applyFill="1" applyAlignment="1" applyProtection="1">
      <alignment horizontal="center" vertical="top" wrapText="1"/>
      <protection locked="0"/>
    </xf>
    <xf numFmtId="171" fontId="58" fillId="2" borderId="0" xfId="0" applyNumberFormat="1" applyFont="1" applyFill="1" applyAlignment="1" applyProtection="1">
      <alignment vertical="center"/>
      <protection locked="0"/>
    </xf>
    <xf numFmtId="0" fontId="70" fillId="2" borderId="0" xfId="0" applyFont="1" applyFill="1" applyAlignment="1" applyProtection="1">
      <alignment vertical="center"/>
      <protection locked="0"/>
    </xf>
    <xf numFmtId="0" fontId="58" fillId="5" borderId="0" xfId="0" applyFont="1" applyFill="1" applyAlignment="1" applyProtection="1">
      <alignment horizontal="center" vertical="center"/>
      <protection locked="0"/>
    </xf>
    <xf numFmtId="164" fontId="60" fillId="5" borderId="25" xfId="0" applyNumberFormat="1" applyFont="1" applyFill="1" applyBorder="1" applyAlignment="1" applyProtection="1">
      <alignment horizontal="left" vertical="center"/>
      <protection locked="0"/>
    </xf>
    <xf numFmtId="0" fontId="58" fillId="5" borderId="25" xfId="0" applyFont="1" applyFill="1" applyBorder="1" applyAlignment="1">
      <alignment vertical="center"/>
    </xf>
    <xf numFmtId="0" fontId="58" fillId="5" borderId="25" xfId="0" applyFont="1" applyFill="1" applyBorder="1" applyAlignment="1" applyProtection="1">
      <alignment horizontal="center" vertical="center"/>
      <protection locked="0"/>
    </xf>
    <xf numFmtId="194" fontId="58" fillId="5" borderId="25" xfId="0" applyNumberFormat="1" applyFont="1" applyFill="1" applyBorder="1" applyAlignment="1">
      <alignment horizontal="left" vertical="center"/>
    </xf>
    <xf numFmtId="194" fontId="59" fillId="5" borderId="25" xfId="0" applyNumberFormat="1" applyFont="1" applyFill="1" applyBorder="1" applyAlignment="1" applyProtection="1">
      <alignment horizontal="left" vertical="center"/>
      <protection locked="0"/>
    </xf>
    <xf numFmtId="174" fontId="60" fillId="5" borderId="25" xfId="0" applyNumberFormat="1" applyFont="1" applyFill="1" applyBorder="1" applyAlignment="1" applyProtection="1">
      <alignment horizontal="center" vertical="center"/>
      <protection locked="0"/>
    </xf>
    <xf numFmtId="165" fontId="58" fillId="5" borderId="25" xfId="0" applyNumberFormat="1" applyFont="1" applyFill="1" applyBorder="1" applyAlignment="1" applyProtection="1">
      <alignment horizontal="left" vertical="center"/>
      <protection locked="0"/>
    </xf>
    <xf numFmtId="164" fontId="74" fillId="5" borderId="24" xfId="0" quotePrefix="1" applyNumberFormat="1" applyFont="1" applyFill="1" applyBorder="1" applyProtection="1">
      <protection locked="0"/>
    </xf>
    <xf numFmtId="164" fontId="60" fillId="5" borderId="24" xfId="0" quotePrefix="1" applyNumberFormat="1" applyFont="1" applyFill="1" applyBorder="1" applyProtection="1">
      <protection locked="0"/>
    </xf>
    <xf numFmtId="194" fontId="58" fillId="5" borderId="24" xfId="0" applyNumberFormat="1" applyFont="1" applyFill="1" applyBorder="1" applyAlignment="1">
      <alignment horizontal="left" vertical="center"/>
    </xf>
    <xf numFmtId="174" fontId="60" fillId="5" borderId="24" xfId="0" applyNumberFormat="1" applyFont="1" applyFill="1" applyBorder="1" applyAlignment="1" applyProtection="1">
      <alignment vertical="center"/>
      <protection locked="0"/>
    </xf>
    <xf numFmtId="0" fontId="64" fillId="5" borderId="24" xfId="0" applyFont="1" applyFill="1" applyBorder="1" applyAlignment="1">
      <alignment horizontal="center" vertical="center"/>
    </xf>
    <xf numFmtId="0" fontId="62" fillId="5" borderId="24" xfId="0" applyFont="1" applyFill="1" applyBorder="1" applyAlignment="1">
      <alignment vertical="center"/>
    </xf>
    <xf numFmtId="164" fontId="60" fillId="5" borderId="0" xfId="0" applyNumberFormat="1" applyFont="1" applyFill="1" applyAlignment="1" applyProtection="1">
      <alignment horizontal="left"/>
      <protection locked="0"/>
    </xf>
    <xf numFmtId="194" fontId="58" fillId="5" borderId="0" xfId="0" applyNumberFormat="1" applyFont="1" applyFill="1" applyAlignment="1">
      <alignment horizontal="right" vertical="center"/>
    </xf>
    <xf numFmtId="204" fontId="58" fillId="5" borderId="0" xfId="0" applyNumberFormat="1" applyFont="1" applyFill="1" applyAlignment="1">
      <alignment horizontal="left" vertical="center"/>
    </xf>
    <xf numFmtId="174" fontId="60" fillId="5" borderId="0" xfId="0" applyNumberFormat="1" applyFont="1" applyFill="1" applyAlignment="1" applyProtection="1">
      <alignment vertical="center"/>
      <protection locked="0"/>
    </xf>
    <xf numFmtId="0" fontId="56" fillId="13" borderId="0" xfId="0" applyFont="1" applyFill="1" applyAlignment="1">
      <alignment vertical="center"/>
    </xf>
    <xf numFmtId="0" fontId="65" fillId="13" borderId="0" xfId="0" applyFont="1" applyFill="1" applyAlignment="1">
      <alignment vertical="center"/>
    </xf>
    <xf numFmtId="0" fontId="65" fillId="13" borderId="0" xfId="0" applyFont="1" applyFill="1"/>
    <xf numFmtId="194" fontId="59" fillId="5" borderId="0" xfId="0" applyNumberFormat="1" applyFont="1" applyFill="1" applyAlignment="1" applyProtection="1">
      <alignment horizontal="center" vertical="center"/>
      <protection locked="0"/>
    </xf>
    <xf numFmtId="1" fontId="67" fillId="2" borderId="0" xfId="0" applyNumberFormat="1" applyFont="1" applyFill="1" applyAlignment="1" applyProtection="1">
      <alignment vertical="center"/>
      <protection locked="0"/>
    </xf>
    <xf numFmtId="194" fontId="59" fillId="5" borderId="25" xfId="0" applyNumberFormat="1" applyFont="1" applyFill="1" applyBorder="1" applyAlignment="1" applyProtection="1">
      <alignment horizontal="center" vertical="center"/>
      <protection locked="0"/>
    </xf>
    <xf numFmtId="194" fontId="58" fillId="5" borderId="24" xfId="0" applyNumberFormat="1" applyFont="1" applyFill="1" applyBorder="1" applyAlignment="1">
      <alignment vertical="center"/>
    </xf>
    <xf numFmtId="194" fontId="70" fillId="5" borderId="24" xfId="0" applyNumberFormat="1" applyFont="1" applyFill="1" applyBorder="1" applyAlignment="1">
      <alignment vertical="center"/>
    </xf>
    <xf numFmtId="174" fontId="70" fillId="5" borderId="24" xfId="0" applyNumberFormat="1" applyFont="1" applyFill="1" applyBorder="1" applyAlignment="1">
      <alignment vertical="center"/>
    </xf>
    <xf numFmtId="0" fontId="60" fillId="5" borderId="24" xfId="0" applyFont="1" applyFill="1" applyBorder="1" applyAlignment="1" applyProtection="1">
      <alignment horizontal="center" vertical="center"/>
      <protection locked="0"/>
    </xf>
    <xf numFmtId="190" fontId="58" fillId="5" borderId="0" xfId="0" applyNumberFormat="1" applyFont="1" applyFill="1" applyAlignment="1">
      <alignment horizontal="left" vertical="center"/>
    </xf>
    <xf numFmtId="194" fontId="70" fillId="5" borderId="0" xfId="0" applyNumberFormat="1" applyFont="1" applyFill="1" applyAlignment="1">
      <alignment vertical="center"/>
    </xf>
    <xf numFmtId="174" fontId="70" fillId="5" borderId="0" xfId="0" applyNumberFormat="1" applyFont="1" applyFill="1" applyAlignment="1">
      <alignment vertical="center"/>
    </xf>
    <xf numFmtId="0" fontId="60" fillId="5" borderId="0" xfId="0" applyFont="1" applyFill="1" applyAlignment="1" applyProtection="1">
      <alignment horizontal="center" vertical="center"/>
      <protection locked="0"/>
    </xf>
    <xf numFmtId="0" fontId="75" fillId="2" borderId="0" xfId="0" applyFont="1" applyFill="1" applyProtection="1">
      <protection locked="0"/>
    </xf>
    <xf numFmtId="0" fontId="63" fillId="2" borderId="0" xfId="0" applyFont="1" applyFill="1" applyAlignment="1" applyProtection="1">
      <alignment vertical="center"/>
      <protection locked="0"/>
    </xf>
    <xf numFmtId="179" fontId="58" fillId="2" borderId="0" xfId="0" applyNumberFormat="1" applyFont="1" applyFill="1" applyAlignment="1" applyProtection="1">
      <alignment vertical="center"/>
      <protection locked="0"/>
    </xf>
    <xf numFmtId="0" fontId="75" fillId="13" borderId="0" xfId="0" applyFont="1" applyFill="1" applyAlignment="1">
      <alignment horizontal="left" vertical="center"/>
    </xf>
    <xf numFmtId="170" fontId="58" fillId="13" borderId="0" xfId="0" applyNumberFormat="1" applyFont="1" applyFill="1" applyAlignment="1">
      <alignment horizontal="left" vertical="center"/>
    </xf>
    <xf numFmtId="170" fontId="61" fillId="13" borderId="0" xfId="0" applyNumberFormat="1" applyFont="1" applyFill="1" applyAlignment="1">
      <alignment horizontal="left" vertical="center"/>
    </xf>
    <xf numFmtId="177" fontId="58" fillId="2" borderId="0" xfId="0" applyNumberFormat="1" applyFont="1" applyFill="1" applyAlignment="1" applyProtection="1">
      <alignment vertical="center"/>
      <protection locked="0"/>
    </xf>
    <xf numFmtId="0" fontId="58" fillId="2" borderId="0" xfId="0" applyFont="1" applyFill="1" applyAlignment="1" applyProtection="1">
      <alignment horizontal="left"/>
      <protection locked="0"/>
    </xf>
    <xf numFmtId="198" fontId="58" fillId="5" borderId="0" xfId="0" applyNumberFormat="1" applyFont="1" applyFill="1" applyAlignment="1">
      <alignment horizontal="left"/>
    </xf>
    <xf numFmtId="164" fontId="60" fillId="5" borderId="25" xfId="0" applyNumberFormat="1" applyFont="1" applyFill="1" applyBorder="1" applyAlignment="1" applyProtection="1">
      <alignment horizontal="left"/>
      <protection locked="0"/>
    </xf>
    <xf numFmtId="198" fontId="58" fillId="5" borderId="25" xfId="0" applyNumberFormat="1" applyFont="1" applyFill="1" applyBorder="1" applyAlignment="1">
      <alignment horizontal="left"/>
    </xf>
    <xf numFmtId="198" fontId="58" fillId="5" borderId="24" xfId="0" applyNumberFormat="1" applyFont="1" applyFill="1" applyBorder="1" applyAlignment="1">
      <alignment horizontal="left"/>
    </xf>
    <xf numFmtId="1" fontId="67" fillId="2" borderId="0" xfId="0" applyNumberFormat="1" applyFont="1" applyFill="1" applyProtection="1">
      <protection locked="0"/>
    </xf>
    <xf numFmtId="164" fontId="67" fillId="2" borderId="0" xfId="0" applyNumberFormat="1" applyFont="1" applyFill="1" applyAlignment="1">
      <alignment horizontal="left"/>
    </xf>
    <xf numFmtId="0" fontId="67" fillId="2" borderId="0" xfId="0" applyFont="1" applyFill="1" applyAlignment="1">
      <alignment horizontal="left"/>
    </xf>
    <xf numFmtId="176" fontId="67" fillId="2" borderId="0" xfId="0" applyNumberFormat="1" applyFont="1" applyFill="1"/>
    <xf numFmtId="0" fontId="72" fillId="0" borderId="0" xfId="0" applyFont="1"/>
    <xf numFmtId="0" fontId="72" fillId="0" borderId="0" xfId="0" applyFont="1" applyAlignment="1">
      <alignment horizontal="left" vertical="center"/>
    </xf>
    <xf numFmtId="0" fontId="76" fillId="0" borderId="0" xfId="0" applyFont="1" applyAlignment="1">
      <alignment horizontal="left" vertical="center"/>
    </xf>
    <xf numFmtId="14" fontId="76" fillId="0" borderId="0" xfId="0" applyNumberFormat="1" applyFont="1" applyAlignment="1">
      <alignment horizontal="center" vertical="center"/>
    </xf>
    <xf numFmtId="0" fontId="76" fillId="0" borderId="0" xfId="0" applyFont="1" applyAlignment="1">
      <alignment horizontal="center" vertical="center"/>
    </xf>
    <xf numFmtId="0" fontId="76" fillId="0" borderId="0" xfId="0" applyFont="1" applyAlignment="1">
      <alignment horizontal="left" vertical="center" wrapText="1"/>
    </xf>
    <xf numFmtId="14" fontId="76" fillId="0" borderId="0" xfId="0" applyNumberFormat="1" applyFont="1" applyAlignment="1">
      <alignment horizontal="center"/>
    </xf>
    <xf numFmtId="0" fontId="76" fillId="0" borderId="0" xfId="0" applyFont="1"/>
    <xf numFmtId="0" fontId="76" fillId="0" borderId="0" xfId="0" applyFont="1" applyAlignment="1">
      <alignment vertical="top"/>
    </xf>
    <xf numFmtId="0" fontId="76" fillId="0" borderId="0" xfId="0" applyFont="1" applyAlignment="1">
      <alignment horizontal="left" vertical="top"/>
    </xf>
    <xf numFmtId="14" fontId="76" fillId="0" borderId="0" xfId="0" applyNumberFormat="1" applyFont="1" applyAlignment="1">
      <alignment horizontal="center" vertical="top"/>
    </xf>
    <xf numFmtId="0" fontId="76" fillId="0" borderId="0" xfId="0" applyFont="1" applyAlignment="1">
      <alignment horizontal="center" vertical="top"/>
    </xf>
    <xf numFmtId="0" fontId="76" fillId="0" borderId="0" xfId="0" quotePrefix="1" applyFont="1" applyAlignment="1">
      <alignment horizontal="left" vertical="top" wrapText="1"/>
    </xf>
    <xf numFmtId="0" fontId="76" fillId="0" borderId="0" xfId="0" applyFont="1" applyAlignment="1">
      <alignment horizontal="center"/>
    </xf>
    <xf numFmtId="1" fontId="67" fillId="2" borderId="0" xfId="0" applyNumberFormat="1" applyFont="1" applyFill="1"/>
    <xf numFmtId="1" fontId="67" fillId="2" borderId="0" xfId="5" applyNumberFormat="1" applyFont="1" applyFill="1"/>
    <xf numFmtId="0" fontId="67" fillId="5" borderId="0" xfId="0" applyFont="1" applyFill="1"/>
    <xf numFmtId="176" fontId="67" fillId="5" borderId="0" xfId="0" applyNumberFormat="1" applyFont="1" applyFill="1"/>
    <xf numFmtId="0" fontId="67" fillId="5" borderId="0" xfId="0" applyFont="1" applyFill="1" applyAlignment="1">
      <alignment horizontal="center" vertical="center"/>
    </xf>
    <xf numFmtId="0" fontId="78" fillId="5" borderId="0" xfId="0" applyFont="1" applyFill="1"/>
    <xf numFmtId="0" fontId="78" fillId="5" borderId="0" xfId="0" applyFont="1" applyFill="1" applyAlignment="1">
      <alignment vertical="center"/>
    </xf>
    <xf numFmtId="0" fontId="67" fillId="5" borderId="0" xfId="0" applyFont="1" applyFill="1" applyAlignment="1">
      <alignment vertical="top"/>
    </xf>
    <xf numFmtId="1" fontId="67" fillId="2" borderId="0" xfId="0" applyNumberFormat="1" applyFont="1" applyFill="1" applyAlignment="1">
      <alignment vertical="top"/>
    </xf>
    <xf numFmtId="49" fontId="62" fillId="2" borderId="0" xfId="0" applyNumberFormat="1" applyFont="1" applyFill="1" applyAlignment="1">
      <alignment horizontal="left" vertical="top"/>
    </xf>
    <xf numFmtId="1" fontId="67" fillId="2" borderId="0" xfId="0" applyNumberFormat="1" applyFont="1" applyFill="1" applyAlignment="1">
      <alignment vertical="center"/>
    </xf>
    <xf numFmtId="176" fontId="67" fillId="5" borderId="0" xfId="0" applyNumberFormat="1" applyFont="1" applyFill="1" applyAlignment="1">
      <alignment horizontal="center" vertical="center"/>
    </xf>
    <xf numFmtId="0" fontId="60" fillId="2" borderId="0" xfId="0" applyFont="1" applyFill="1" applyAlignment="1">
      <alignment vertical="center"/>
    </xf>
    <xf numFmtId="169" fontId="60" fillId="2" borderId="0" xfId="0" quotePrefix="1" applyNumberFormat="1" applyFont="1" applyFill="1" applyAlignment="1">
      <alignment horizontal="left" vertical="center"/>
    </xf>
    <xf numFmtId="169" fontId="60" fillId="2" borderId="0" xfId="0" quotePrefix="1" applyNumberFormat="1" applyFont="1" applyFill="1" applyAlignment="1">
      <alignment horizontal="left" vertical="center" shrinkToFit="1"/>
    </xf>
    <xf numFmtId="176" fontId="67" fillId="5" borderId="0" xfId="0" applyNumberFormat="1" applyFont="1" applyFill="1" applyAlignment="1">
      <alignment vertical="center"/>
    </xf>
    <xf numFmtId="0" fontId="79" fillId="5" borderId="0" xfId="0" applyFont="1" applyFill="1" applyAlignment="1">
      <alignment vertical="center"/>
    </xf>
    <xf numFmtId="0" fontId="65" fillId="13" borderId="0" xfId="0" applyFont="1" applyFill="1" applyAlignment="1">
      <alignment vertical="top"/>
    </xf>
    <xf numFmtId="0" fontId="81" fillId="5" borderId="0" xfId="0" applyFont="1" applyFill="1" applyAlignment="1">
      <alignment vertical="top" wrapText="1"/>
    </xf>
    <xf numFmtId="1" fontId="67" fillId="5" borderId="0" xfId="0" applyNumberFormat="1" applyFont="1" applyFill="1" applyAlignment="1">
      <alignment vertical="center"/>
    </xf>
    <xf numFmtId="0" fontId="59" fillId="2" borderId="18" xfId="0" applyFont="1" applyFill="1" applyBorder="1" applyAlignment="1">
      <alignment horizontal="left" vertical="center"/>
    </xf>
    <xf numFmtId="164" fontId="60" fillId="2" borderId="18" xfId="0" applyNumberFormat="1" applyFont="1" applyFill="1" applyBorder="1" applyAlignment="1">
      <alignment horizontal="center" vertical="center"/>
    </xf>
    <xf numFmtId="188" fontId="58" fillId="2" borderId="18" xfId="0" applyNumberFormat="1" applyFont="1" applyFill="1" applyBorder="1" applyAlignment="1">
      <alignment horizontal="center" vertical="center"/>
    </xf>
    <xf numFmtId="0" fontId="58" fillId="2" borderId="18" xfId="0" applyFont="1" applyFill="1" applyBorder="1" applyAlignment="1">
      <alignment horizontal="center" vertical="center"/>
    </xf>
    <xf numFmtId="0" fontId="58" fillId="2" borderId="18" xfId="0" applyFont="1" applyFill="1" applyBorder="1" applyAlignment="1" applyProtection="1">
      <alignment horizontal="center" vertical="center"/>
      <protection locked="0"/>
    </xf>
    <xf numFmtId="1" fontId="58" fillId="2" borderId="18" xfId="0" applyNumberFormat="1" applyFont="1" applyFill="1" applyBorder="1" applyAlignment="1">
      <alignment horizontal="center" vertical="center"/>
    </xf>
    <xf numFmtId="0" fontId="58" fillId="2" borderId="18" xfId="0" applyFont="1" applyFill="1" applyBorder="1" applyAlignment="1">
      <alignment horizontal="right" vertical="center"/>
    </xf>
    <xf numFmtId="49" fontId="82" fillId="2" borderId="0" xfId="0" applyNumberFormat="1" applyFont="1" applyFill="1" applyAlignment="1">
      <alignment horizontal="left" vertical="center"/>
    </xf>
    <xf numFmtId="49" fontId="82" fillId="2" borderId="0" xfId="0" applyNumberFormat="1" applyFont="1" applyFill="1" applyAlignment="1" applyProtection="1">
      <alignment horizontal="left" vertical="center"/>
      <protection locked="0"/>
    </xf>
    <xf numFmtId="0" fontId="78" fillId="5" borderId="0" xfId="0" applyFont="1" applyFill="1" applyAlignment="1">
      <alignment horizontal="left" vertical="center"/>
    </xf>
    <xf numFmtId="2" fontId="78" fillId="5" borderId="0" xfId="0" applyNumberFormat="1" applyFont="1" applyFill="1" applyAlignment="1">
      <alignment horizontal="right" vertical="center"/>
    </xf>
    <xf numFmtId="170" fontId="78" fillId="5" borderId="0" xfId="0" applyNumberFormat="1" applyFont="1" applyFill="1" applyAlignment="1">
      <alignment horizontal="left" vertical="center"/>
    </xf>
    <xf numFmtId="170" fontId="78" fillId="5" borderId="0" xfId="0" applyNumberFormat="1" applyFont="1" applyFill="1" applyAlignment="1" applyProtection="1">
      <alignment horizontal="left" vertical="center"/>
      <protection locked="0"/>
    </xf>
    <xf numFmtId="0" fontId="67" fillId="5" borderId="0" xfId="0" applyFont="1" applyFill="1" applyAlignment="1">
      <alignment horizontal="left" vertical="center"/>
    </xf>
    <xf numFmtId="167" fontId="78" fillId="5" borderId="0" xfId="0" applyNumberFormat="1" applyFont="1" applyFill="1" applyAlignment="1">
      <alignment horizontal="right" vertical="center"/>
    </xf>
    <xf numFmtId="0" fontId="67" fillId="2" borderId="0" xfId="0" applyFont="1" applyFill="1" applyAlignment="1">
      <alignment horizontal="left" vertical="center"/>
    </xf>
    <xf numFmtId="176" fontId="67" fillId="2" borderId="0" xfId="0" applyNumberFormat="1" applyFont="1" applyFill="1" applyAlignment="1">
      <alignment vertical="center"/>
    </xf>
    <xf numFmtId="181" fontId="58" fillId="5" borderId="23" xfId="0" applyNumberFormat="1" applyFont="1" applyFill="1" applyBorder="1" applyAlignment="1">
      <alignment horizontal="left" vertical="center"/>
    </xf>
    <xf numFmtId="164" fontId="65" fillId="13" borderId="26" xfId="0" applyNumberFormat="1" applyFont="1" applyFill="1" applyBorder="1" applyAlignment="1">
      <alignment horizontal="left" vertical="center" wrapText="1"/>
    </xf>
    <xf numFmtId="0" fontId="60" fillId="5" borderId="25" xfId="0" applyFont="1" applyFill="1" applyBorder="1" applyAlignment="1" applyProtection="1">
      <alignment horizontal="center" vertical="center"/>
      <protection locked="0"/>
    </xf>
    <xf numFmtId="181" fontId="62" fillId="5" borderId="0" xfId="0" applyNumberFormat="1" applyFont="1" applyFill="1" applyAlignment="1">
      <alignment horizontal="left" vertical="center"/>
    </xf>
    <xf numFmtId="0" fontId="58" fillId="5" borderId="0" xfId="0" applyFont="1" applyFill="1" applyAlignment="1" applyProtection="1">
      <alignment horizontal="left" vertical="center"/>
      <protection locked="0"/>
    </xf>
    <xf numFmtId="166" fontId="59" fillId="5" borderId="0" xfId="0" applyNumberFormat="1" applyFont="1" applyFill="1" applyAlignment="1" applyProtection="1">
      <alignment horizontal="left" vertical="top" wrapText="1"/>
      <protection locked="0"/>
    </xf>
    <xf numFmtId="174" fontId="60" fillId="5" borderId="0" xfId="0" applyNumberFormat="1" applyFont="1" applyFill="1" applyAlignment="1" applyProtection="1">
      <alignment horizontal="left" vertical="center"/>
      <protection locked="0"/>
    </xf>
    <xf numFmtId="194" fontId="64" fillId="5" borderId="24" xfId="0" applyNumberFormat="1" applyFont="1" applyFill="1" applyBorder="1" applyAlignment="1" applyProtection="1">
      <alignment horizontal="left" vertical="top"/>
      <protection locked="0"/>
    </xf>
    <xf numFmtId="166" fontId="58" fillId="5" borderId="0" xfId="0" applyNumberFormat="1" applyFont="1" applyFill="1" applyAlignment="1">
      <alignment horizontal="center" vertical="top" wrapText="1"/>
    </xf>
    <xf numFmtId="195" fontId="70" fillId="5" borderId="0" xfId="0" applyNumberFormat="1" applyFont="1" applyFill="1" applyAlignment="1">
      <alignment horizontal="left" vertical="center"/>
    </xf>
    <xf numFmtId="165" fontId="58" fillId="5" borderId="0" xfId="0" applyNumberFormat="1" applyFont="1" applyFill="1" applyAlignment="1">
      <alignment horizontal="center" vertical="center"/>
    </xf>
    <xf numFmtId="0" fontId="65" fillId="13" borderId="0" xfId="0" applyFont="1" applyFill="1" applyAlignment="1">
      <alignment horizontal="left" wrapText="1"/>
    </xf>
    <xf numFmtId="166" fontId="58" fillId="5" borderId="25" xfId="0" applyNumberFormat="1" applyFont="1" applyFill="1" applyBorder="1" applyAlignment="1">
      <alignment horizontal="center" vertical="top" wrapText="1"/>
    </xf>
    <xf numFmtId="165" fontId="58" fillId="5" borderId="25" xfId="0" applyNumberFormat="1" applyFont="1" applyFill="1" applyBorder="1" applyAlignment="1">
      <alignment horizontal="center" vertical="center"/>
    </xf>
    <xf numFmtId="165" fontId="58" fillId="5" borderId="24" xfId="0" applyNumberFormat="1" applyFont="1" applyFill="1" applyBorder="1" applyAlignment="1">
      <alignment horizontal="center" vertical="center"/>
    </xf>
    <xf numFmtId="181" fontId="60" fillId="5" borderId="23" xfId="0" applyNumberFormat="1" applyFont="1" applyFill="1" applyBorder="1" applyAlignment="1" applyProtection="1">
      <alignment horizontal="left" vertical="center"/>
      <protection locked="0"/>
    </xf>
    <xf numFmtId="1" fontId="63" fillId="5" borderId="0" xfId="0" applyNumberFormat="1" applyFont="1" applyFill="1" applyAlignment="1" applyProtection="1">
      <alignment vertical="center"/>
      <protection locked="0"/>
    </xf>
    <xf numFmtId="0" fontId="62" fillId="5" borderId="0" xfId="0" applyFont="1" applyFill="1" applyAlignment="1">
      <alignment horizontal="left" vertical="top" wrapText="1"/>
    </xf>
    <xf numFmtId="0" fontId="62" fillId="5" borderId="0" xfId="0" applyFont="1" applyFill="1" applyAlignment="1">
      <alignment horizontal="center" vertical="top" wrapText="1"/>
    </xf>
    <xf numFmtId="0" fontId="84" fillId="5" borderId="0" xfId="0" applyFont="1" applyFill="1" applyAlignment="1">
      <alignment horizontal="left" wrapText="1"/>
    </xf>
    <xf numFmtId="0" fontId="84" fillId="5" borderId="0" xfId="0" applyFont="1" applyFill="1" applyAlignment="1">
      <alignment horizontal="center" wrapText="1"/>
    </xf>
    <xf numFmtId="0" fontId="84" fillId="5" borderId="0" xfId="0" applyFont="1" applyFill="1" applyAlignment="1">
      <alignment horizontal="left"/>
    </xf>
    <xf numFmtId="0" fontId="84" fillId="5" borderId="0" xfId="0" applyFont="1" applyFill="1" applyAlignment="1">
      <alignment wrapText="1"/>
    </xf>
    <xf numFmtId="0" fontId="84" fillId="5" borderId="0" xfId="0" applyFont="1" applyFill="1" applyAlignment="1">
      <alignment horizontal="right"/>
    </xf>
    <xf numFmtId="171" fontId="58" fillId="5" borderId="0" xfId="0" applyNumberFormat="1" applyFont="1" applyFill="1" applyProtection="1">
      <protection locked="0"/>
    </xf>
    <xf numFmtId="0" fontId="58" fillId="2" borderId="0" xfId="0" applyFont="1" applyFill="1" applyAlignment="1" applyProtection="1">
      <alignment horizontal="center"/>
      <protection locked="0"/>
    </xf>
    <xf numFmtId="0" fontId="62" fillId="5" borderId="0" xfId="0" applyFont="1" applyFill="1" applyAlignment="1">
      <alignment horizontal="left" vertical="top"/>
    </xf>
    <xf numFmtId="164" fontId="86" fillId="5" borderId="14" xfId="0" applyNumberFormat="1" applyFont="1" applyFill="1" applyBorder="1" applyAlignment="1">
      <alignment horizontal="left" vertical="center"/>
    </xf>
    <xf numFmtId="164" fontId="86" fillId="5" borderId="14" xfId="0" applyNumberFormat="1" applyFont="1" applyFill="1" applyBorder="1" applyAlignment="1">
      <alignment horizontal="left" vertical="center" wrapText="1"/>
    </xf>
    <xf numFmtId="164" fontId="62" fillId="5" borderId="25" xfId="0" applyNumberFormat="1" applyFont="1" applyFill="1" applyBorder="1" applyAlignment="1">
      <alignment vertical="top" wrapText="1"/>
    </xf>
    <xf numFmtId="0" fontId="58" fillId="2" borderId="0" xfId="0" quotePrefix="1" applyFont="1" applyFill="1" applyProtection="1">
      <protection locked="0"/>
    </xf>
    <xf numFmtId="181" fontId="59" fillId="5" borderId="23" xfId="0" applyNumberFormat="1" applyFont="1" applyFill="1" applyBorder="1" applyAlignment="1" applyProtection="1">
      <alignment horizontal="left" vertical="center"/>
      <protection locked="0"/>
    </xf>
    <xf numFmtId="190" fontId="67" fillId="5" borderId="0" xfId="0" applyNumberFormat="1" applyFont="1" applyFill="1" applyAlignment="1" applyProtection="1">
      <alignment vertical="center"/>
      <protection locked="0"/>
    </xf>
    <xf numFmtId="1" fontId="63" fillId="5" borderId="0" xfId="0" applyNumberFormat="1" applyFont="1" applyFill="1" applyProtection="1">
      <protection locked="0"/>
    </xf>
    <xf numFmtId="0" fontId="62" fillId="5" borderId="0" xfId="0" applyFont="1" applyFill="1" applyAlignment="1">
      <alignment wrapText="1"/>
    </xf>
    <xf numFmtId="0" fontId="62" fillId="5" borderId="0" xfId="0" applyFont="1" applyFill="1"/>
    <xf numFmtId="0" fontId="62" fillId="5" borderId="0" xfId="0" applyFont="1" applyFill="1" applyAlignment="1">
      <alignment horizontal="center" wrapText="1"/>
    </xf>
    <xf numFmtId="0" fontId="58" fillId="0" borderId="0" xfId="0" applyFont="1" applyProtection="1">
      <protection locked="0"/>
    </xf>
    <xf numFmtId="0" fontId="58" fillId="0" borderId="0" xfId="0" applyFont="1" applyAlignment="1" applyProtection="1">
      <alignment horizontal="center"/>
      <protection locked="0"/>
    </xf>
    <xf numFmtId="0" fontId="58" fillId="0" borderId="0" xfId="0" applyFont="1"/>
    <xf numFmtId="1" fontId="58" fillId="0" borderId="0" xfId="0" applyNumberFormat="1" applyFont="1" applyProtection="1">
      <protection locked="0"/>
    </xf>
    <xf numFmtId="194" fontId="71" fillId="7" borderId="0" xfId="0" applyNumberFormat="1" applyFont="1" applyFill="1" applyAlignment="1" applyProtection="1">
      <alignment horizontal="left" vertical="top"/>
      <protection locked="0"/>
    </xf>
    <xf numFmtId="0" fontId="67" fillId="7" borderId="0" xfId="0" applyFont="1" applyFill="1" applyAlignment="1">
      <alignment vertical="center"/>
    </xf>
    <xf numFmtId="173" fontId="58" fillId="7" borderId="0" xfId="0" applyNumberFormat="1" applyFont="1" applyFill="1" applyAlignment="1" applyProtection="1">
      <alignment horizontal="left" vertical="top"/>
      <protection locked="0"/>
    </xf>
    <xf numFmtId="0" fontId="58" fillId="7" borderId="0" xfId="0" applyFont="1" applyFill="1" applyAlignment="1">
      <alignment vertical="center"/>
    </xf>
    <xf numFmtId="194" fontId="58" fillId="7" borderId="0" xfId="0" applyNumberFormat="1" applyFont="1" applyFill="1" applyAlignment="1">
      <alignment horizontal="center" vertical="center"/>
    </xf>
    <xf numFmtId="204" fontId="58" fillId="7" borderId="0" xfId="0" applyNumberFormat="1" applyFont="1" applyFill="1" applyAlignment="1">
      <alignment vertical="center"/>
    </xf>
    <xf numFmtId="195" fontId="58" fillId="7" borderId="0" xfId="0" applyNumberFormat="1" applyFont="1" applyFill="1" applyAlignment="1">
      <alignment vertical="top" wrapText="1"/>
    </xf>
    <xf numFmtId="194" fontId="71" fillId="5" borderId="0" xfId="0" applyNumberFormat="1" applyFont="1" applyFill="1" applyAlignment="1" applyProtection="1">
      <alignment horizontal="left" vertical="top"/>
      <protection locked="0"/>
    </xf>
    <xf numFmtId="174" fontId="58" fillId="7" borderId="0" xfId="0" applyNumberFormat="1" applyFont="1" applyFill="1" applyAlignment="1" applyProtection="1">
      <alignment horizontal="left" vertical="top"/>
      <protection locked="0"/>
    </xf>
    <xf numFmtId="194" fontId="58" fillId="7" borderId="0" xfId="0" applyNumberFormat="1" applyFont="1" applyFill="1" applyAlignment="1" applyProtection="1">
      <alignment horizontal="left" vertical="top"/>
      <protection locked="0"/>
    </xf>
    <xf numFmtId="0" fontId="59" fillId="7" borderId="0" xfId="0" applyFont="1" applyFill="1" applyAlignment="1" applyProtection="1">
      <alignment horizontal="left" vertical="center"/>
      <protection locked="0"/>
    </xf>
    <xf numFmtId="210" fontId="59" fillId="7" borderId="0" xfId="0" applyNumberFormat="1" applyFont="1" applyFill="1" applyAlignment="1" applyProtection="1">
      <alignment horizontal="center" vertical="center"/>
      <protection locked="0"/>
    </xf>
    <xf numFmtId="209" fontId="58" fillId="7" borderId="0" xfId="0" applyNumberFormat="1" applyFont="1" applyFill="1" applyAlignment="1">
      <alignment horizontal="center" vertical="center"/>
    </xf>
    <xf numFmtId="173" fontId="58" fillId="7" borderId="0" xfId="0" applyNumberFormat="1" applyFont="1" applyFill="1" applyAlignment="1">
      <alignment horizontal="center" vertical="center"/>
    </xf>
    <xf numFmtId="1" fontId="58" fillId="7" borderId="0" xfId="0" applyNumberFormat="1" applyFont="1" applyFill="1" applyAlignment="1">
      <alignment horizontal="center" vertical="center"/>
    </xf>
    <xf numFmtId="0" fontId="17" fillId="7" borderId="0" xfId="0" applyFont="1" applyFill="1" applyAlignment="1">
      <alignment horizontal="right" vertical="center"/>
    </xf>
    <xf numFmtId="199" fontId="59" fillId="7" borderId="0" xfId="0" applyNumberFormat="1" applyFont="1" applyFill="1" applyAlignment="1" applyProtection="1">
      <alignment horizontal="center" vertical="center"/>
      <protection locked="0"/>
    </xf>
    <xf numFmtId="0" fontId="76" fillId="0" borderId="0" xfId="0" applyFont="1" applyAlignment="1">
      <alignment wrapText="1"/>
    </xf>
    <xf numFmtId="14" fontId="60" fillId="5" borderId="0" xfId="0" applyNumberFormat="1" applyFont="1" applyFill="1" applyAlignment="1" applyProtection="1">
      <alignment horizontal="left" vertical="center" shrinkToFit="1"/>
      <protection locked="0"/>
    </xf>
    <xf numFmtId="0" fontId="59" fillId="2" borderId="0" xfId="0" applyFont="1" applyFill="1" applyAlignment="1" applyProtection="1">
      <alignment horizontal="left" vertical="center"/>
      <protection locked="0"/>
    </xf>
    <xf numFmtId="169" fontId="59" fillId="2" borderId="0" xfId="0" applyNumberFormat="1" applyFont="1" applyFill="1" applyAlignment="1" applyProtection="1">
      <alignment horizontal="left" vertical="center"/>
      <protection locked="0"/>
    </xf>
    <xf numFmtId="169" fontId="59" fillId="2" borderId="0" xfId="0" quotePrefix="1" applyNumberFormat="1" applyFont="1" applyFill="1" applyAlignment="1" applyProtection="1">
      <alignment horizontal="left" vertical="center"/>
      <protection locked="0"/>
    </xf>
    <xf numFmtId="49" fontId="56" fillId="13" borderId="0" xfId="0" applyNumberFormat="1" applyFont="1" applyFill="1" applyAlignment="1">
      <alignment horizontal="left" vertical="center"/>
    </xf>
    <xf numFmtId="0" fontId="65" fillId="13" borderId="0" xfId="0" applyFont="1" applyFill="1" applyAlignment="1">
      <alignment horizontal="center" vertical="top" wrapText="1"/>
    </xf>
    <xf numFmtId="164" fontId="89" fillId="2" borderId="0" xfId="0" applyNumberFormat="1" applyFont="1" applyFill="1" applyAlignment="1">
      <alignment horizontal="center"/>
    </xf>
    <xf numFmtId="164" fontId="90" fillId="2" borderId="0" xfId="0" applyNumberFormat="1" applyFont="1" applyFill="1" applyAlignment="1">
      <alignment horizontal="center"/>
    </xf>
    <xf numFmtId="49" fontId="55" fillId="12" borderId="0" xfId="0" applyNumberFormat="1" applyFont="1" applyFill="1" applyAlignment="1">
      <alignment horizontal="center" vertical="center"/>
    </xf>
    <xf numFmtId="49" fontId="58" fillId="2" borderId="0" xfId="0" applyNumberFormat="1" applyFont="1" applyFill="1" applyAlignment="1">
      <alignment horizontal="left" vertical="top"/>
    </xf>
    <xf numFmtId="166" fontId="60" fillId="7" borderId="0" xfId="0" applyNumberFormat="1" applyFont="1" applyFill="1" applyAlignment="1" applyProtection="1">
      <alignment horizontal="center" vertical="center"/>
      <protection locked="0"/>
    </xf>
    <xf numFmtId="188" fontId="58" fillId="7" borderId="0" xfId="0" applyNumberFormat="1" applyFont="1" applyFill="1" applyAlignment="1">
      <alignment horizontal="center" vertical="center"/>
    </xf>
    <xf numFmtId="0" fontId="60" fillId="5" borderId="0" xfId="0" applyFont="1" applyFill="1" applyAlignment="1" applyProtection="1">
      <alignment horizontal="left" vertical="center" shrinkToFit="1"/>
      <protection locked="0"/>
    </xf>
    <xf numFmtId="169" fontId="59" fillId="5" borderId="0" xfId="0" quotePrefix="1" applyNumberFormat="1" applyFont="1" applyFill="1" applyAlignment="1" applyProtection="1">
      <alignment horizontal="left" vertical="center"/>
      <protection locked="0"/>
    </xf>
    <xf numFmtId="169" fontId="59" fillId="5" borderId="0" xfId="0" applyNumberFormat="1" applyFont="1" applyFill="1" applyAlignment="1" applyProtection="1">
      <alignment horizontal="left" vertical="center"/>
      <protection locked="0"/>
    </xf>
    <xf numFmtId="181" fontId="58" fillId="5" borderId="27" xfId="0" applyNumberFormat="1" applyFont="1" applyFill="1" applyBorder="1" applyAlignment="1">
      <alignment horizontal="left" vertical="center"/>
    </xf>
    <xf numFmtId="190" fontId="58" fillId="5" borderId="27" xfId="0" applyNumberFormat="1" applyFont="1" applyFill="1" applyBorder="1" applyAlignment="1">
      <alignment horizontal="left" vertical="center"/>
    </xf>
    <xf numFmtId="181" fontId="60" fillId="5" borderId="27" xfId="0" applyNumberFormat="1" applyFont="1" applyFill="1" applyBorder="1" applyAlignment="1" applyProtection="1">
      <alignment horizontal="left" vertical="center"/>
      <protection locked="0"/>
    </xf>
    <xf numFmtId="181" fontId="58" fillId="5" borderId="23" xfId="0" applyNumberFormat="1" applyFont="1" applyFill="1" applyBorder="1" applyAlignment="1">
      <alignment horizontal="left" vertical="center"/>
    </xf>
    <xf numFmtId="190" fontId="58" fillId="5" borderId="23" xfId="0" applyNumberFormat="1" applyFont="1" applyFill="1" applyBorder="1" applyAlignment="1">
      <alignment horizontal="left" vertical="center"/>
    </xf>
    <xf numFmtId="181" fontId="60" fillId="5" borderId="23" xfId="0" applyNumberFormat="1" applyFont="1" applyFill="1" applyBorder="1" applyAlignment="1" applyProtection="1">
      <alignment horizontal="left" vertical="center"/>
      <protection locked="0"/>
    </xf>
    <xf numFmtId="203" fontId="60" fillId="5" borderId="0" xfId="0" applyNumberFormat="1" applyFont="1" applyFill="1" applyAlignment="1" applyProtection="1">
      <alignment horizontal="left" vertical="center"/>
      <protection locked="0"/>
    </xf>
    <xf numFmtId="49" fontId="56" fillId="13" borderId="26" xfId="0" applyNumberFormat="1" applyFont="1" applyFill="1" applyBorder="1" applyAlignment="1">
      <alignment horizontal="left" vertical="center"/>
    </xf>
    <xf numFmtId="164" fontId="65" fillId="13" borderId="26" xfId="0" applyNumberFormat="1" applyFont="1" applyFill="1" applyBorder="1" applyAlignment="1">
      <alignment horizontal="left" vertical="center" wrapText="1"/>
    </xf>
    <xf numFmtId="181" fontId="62" fillId="5" borderId="0" xfId="0" applyNumberFormat="1" applyFont="1" applyFill="1" applyAlignment="1">
      <alignment horizontal="left" vertical="center"/>
    </xf>
    <xf numFmtId="0" fontId="65" fillId="13" borderId="0" xfId="0" applyFont="1" applyFill="1" applyAlignment="1">
      <alignment horizontal="center" wrapText="1"/>
    </xf>
    <xf numFmtId="1" fontId="58" fillId="5" borderId="0" xfId="0" applyNumberFormat="1" applyFont="1" applyFill="1" applyAlignment="1">
      <alignment horizontal="left"/>
    </xf>
    <xf numFmtId="0" fontId="60" fillId="5" borderId="0" xfId="0" applyFont="1" applyFill="1" applyAlignment="1" applyProtection="1">
      <alignment horizontal="center" vertical="center"/>
      <protection locked="0"/>
    </xf>
    <xf numFmtId="0" fontId="60" fillId="5" borderId="25" xfId="0" applyFont="1" applyFill="1" applyBorder="1" applyAlignment="1" applyProtection="1">
      <alignment horizontal="center" vertical="center"/>
      <protection locked="0"/>
    </xf>
    <xf numFmtId="193" fontId="58" fillId="5" borderId="24" xfId="0" applyNumberFormat="1" applyFont="1" applyFill="1" applyBorder="1" applyAlignment="1">
      <alignment horizontal="left" vertical="center"/>
    </xf>
    <xf numFmtId="166" fontId="59" fillId="5" borderId="0" xfId="0" applyNumberFormat="1" applyFont="1" applyFill="1" applyAlignment="1" applyProtection="1">
      <alignment horizontal="left" vertical="top" wrapText="1"/>
      <protection locked="0"/>
    </xf>
    <xf numFmtId="195" fontId="91" fillId="7" borderId="0" xfId="0" applyNumberFormat="1" applyFont="1" applyFill="1" applyAlignment="1">
      <alignment horizontal="center" vertical="top" wrapText="1"/>
    </xf>
    <xf numFmtId="0" fontId="58" fillId="5" borderId="0" xfId="0" applyFont="1" applyFill="1" applyAlignment="1" applyProtection="1">
      <alignment horizontal="left" vertical="center"/>
      <protection locked="0"/>
    </xf>
    <xf numFmtId="49" fontId="65" fillId="13" borderId="0" xfId="0" applyNumberFormat="1" applyFont="1" applyFill="1" applyAlignment="1">
      <alignment horizontal="center" vertical="center"/>
    </xf>
    <xf numFmtId="0" fontId="65" fillId="13" borderId="0" xfId="0" applyFont="1" applyFill="1" applyAlignment="1">
      <alignment horizontal="center"/>
    </xf>
    <xf numFmtId="195" fontId="58" fillId="5" borderId="0" xfId="0" applyNumberFormat="1" applyFont="1" applyFill="1" applyAlignment="1">
      <alignment horizontal="center" vertical="top" wrapText="1"/>
    </xf>
    <xf numFmtId="194" fontId="58" fillId="5" borderId="24" xfId="0" applyNumberFormat="1" applyFont="1" applyFill="1" applyBorder="1" applyAlignment="1" applyProtection="1">
      <alignment horizontal="right" vertical="center"/>
      <protection locked="0"/>
    </xf>
    <xf numFmtId="174" fontId="60" fillId="5" borderId="24" xfId="0" applyNumberFormat="1" applyFont="1" applyFill="1" applyBorder="1" applyAlignment="1" applyProtection="1">
      <alignment horizontal="left" vertical="center"/>
      <protection locked="0"/>
    </xf>
    <xf numFmtId="195" fontId="58" fillId="5" borderId="25" xfId="0" applyNumberFormat="1" applyFont="1" applyFill="1" applyBorder="1" applyAlignment="1">
      <alignment horizontal="center" vertical="top" wrapText="1"/>
    </xf>
    <xf numFmtId="0" fontId="58" fillId="5" borderId="25" xfId="0" applyFont="1" applyFill="1" applyBorder="1" applyAlignment="1" applyProtection="1">
      <alignment horizontal="left" vertical="center"/>
      <protection locked="0"/>
    </xf>
    <xf numFmtId="174" fontId="58" fillId="5" borderId="24" xfId="0" applyNumberFormat="1" applyFont="1" applyFill="1" applyBorder="1" applyAlignment="1" applyProtection="1">
      <alignment horizontal="right" vertical="center"/>
      <protection locked="0"/>
    </xf>
    <xf numFmtId="174" fontId="64" fillId="5" borderId="0" xfId="0" applyNumberFormat="1" applyFont="1" applyFill="1" applyAlignment="1" applyProtection="1">
      <alignment horizontal="center" vertical="center"/>
      <protection locked="0"/>
    </xf>
    <xf numFmtId="174" fontId="60" fillId="5" borderId="0" xfId="0" applyNumberFormat="1" applyFont="1" applyFill="1" applyAlignment="1" applyProtection="1">
      <alignment horizontal="left" vertical="center"/>
      <protection locked="0"/>
    </xf>
    <xf numFmtId="0" fontId="64" fillId="5" borderId="0" xfId="0" applyFont="1" applyFill="1" applyAlignment="1" applyProtection="1">
      <alignment horizontal="right" vertical="center"/>
      <protection locked="0"/>
    </xf>
    <xf numFmtId="0" fontId="64" fillId="5" borderId="25" xfId="0" applyFont="1" applyFill="1" applyBorder="1" applyAlignment="1" applyProtection="1">
      <alignment horizontal="right" vertical="center"/>
      <protection locked="0"/>
    </xf>
    <xf numFmtId="194" fontId="64" fillId="5" borderId="24" xfId="0" quotePrefix="1" applyNumberFormat="1" applyFont="1" applyFill="1" applyBorder="1" applyAlignment="1" applyProtection="1">
      <alignment horizontal="left" vertical="top"/>
      <protection locked="0"/>
    </xf>
    <xf numFmtId="194" fontId="64" fillId="5" borderId="24" xfId="0" applyNumberFormat="1" applyFont="1" applyFill="1" applyBorder="1" applyAlignment="1" applyProtection="1">
      <alignment horizontal="left" vertical="top"/>
      <protection locked="0"/>
    </xf>
    <xf numFmtId="166" fontId="58" fillId="5" borderId="0" xfId="0" applyNumberFormat="1" applyFont="1" applyFill="1" applyAlignment="1">
      <alignment horizontal="center" vertical="top" wrapText="1"/>
    </xf>
    <xf numFmtId="0" fontId="65" fillId="13" borderId="0" xfId="0" applyFont="1" applyFill="1" applyAlignment="1">
      <alignment horizontal="center" vertical="center" wrapText="1"/>
    </xf>
    <xf numFmtId="189" fontId="58" fillId="5" borderId="0" xfId="0" applyNumberFormat="1" applyFont="1" applyFill="1" applyAlignment="1" applyProtection="1">
      <alignment horizontal="center" vertical="center"/>
      <protection locked="0"/>
    </xf>
    <xf numFmtId="0" fontId="64" fillId="5" borderId="0" xfId="0" applyFont="1" applyFill="1" applyAlignment="1" applyProtection="1">
      <alignment horizontal="left" vertical="center"/>
      <protection locked="0"/>
    </xf>
    <xf numFmtId="189" fontId="58" fillId="5" borderId="25" xfId="0" applyNumberFormat="1" applyFont="1" applyFill="1" applyBorder="1" applyAlignment="1" applyProtection="1">
      <alignment horizontal="center" vertical="center"/>
      <protection locked="0"/>
    </xf>
    <xf numFmtId="0" fontId="64" fillId="5" borderId="25" xfId="0" applyFont="1" applyFill="1" applyBorder="1" applyAlignment="1" applyProtection="1">
      <alignment horizontal="left" vertical="center"/>
      <protection locked="0"/>
    </xf>
    <xf numFmtId="0" fontId="64" fillId="5" borderId="24" xfId="0" applyFont="1" applyFill="1" applyBorder="1" applyAlignment="1">
      <alignment horizontal="left" vertical="center"/>
    </xf>
    <xf numFmtId="0" fontId="60" fillId="5" borderId="0" xfId="0" applyFont="1" applyFill="1" applyAlignment="1" applyProtection="1">
      <alignment horizontal="left" vertical="center"/>
      <protection locked="0"/>
    </xf>
    <xf numFmtId="173" fontId="60" fillId="5" borderId="0" xfId="0" applyNumberFormat="1" applyFont="1" applyFill="1" applyAlignment="1" applyProtection="1">
      <alignment horizontal="left" vertical="center"/>
      <protection locked="0"/>
    </xf>
    <xf numFmtId="195" fontId="70" fillId="5" borderId="0" xfId="0" applyNumberFormat="1" applyFont="1" applyFill="1" applyAlignment="1">
      <alignment horizontal="left" vertical="center"/>
    </xf>
    <xf numFmtId="199" fontId="58" fillId="5" borderId="0" xfId="0" applyNumberFormat="1" applyFont="1" applyFill="1" applyAlignment="1">
      <alignment horizontal="center" vertical="center"/>
    </xf>
    <xf numFmtId="165" fontId="58" fillId="5" borderId="0" xfId="0" applyNumberFormat="1" applyFont="1" applyFill="1" applyAlignment="1">
      <alignment horizontal="center" vertical="center"/>
    </xf>
    <xf numFmtId="205" fontId="59" fillId="5" borderId="0" xfId="0" applyNumberFormat="1" applyFont="1" applyFill="1" applyAlignment="1" applyProtection="1">
      <alignment horizontal="center" vertical="center"/>
      <protection locked="0"/>
    </xf>
    <xf numFmtId="0" fontId="65" fillId="13" borderId="0" xfId="0" applyFont="1" applyFill="1" applyAlignment="1">
      <alignment horizontal="left" wrapText="1"/>
    </xf>
    <xf numFmtId="205" fontId="59" fillId="7" borderId="0" xfId="0" applyNumberFormat="1" applyFont="1" applyFill="1" applyAlignment="1" applyProtection="1">
      <alignment horizontal="center" vertical="center" wrapText="1"/>
      <protection locked="0"/>
    </xf>
    <xf numFmtId="205" fontId="59" fillId="7" borderId="0" xfId="0" applyNumberFormat="1" applyFont="1" applyFill="1" applyAlignment="1" applyProtection="1">
      <alignment horizontal="center" vertical="center"/>
      <protection locked="0"/>
    </xf>
    <xf numFmtId="166" fontId="58" fillId="5" borderId="25" xfId="0" applyNumberFormat="1" applyFont="1" applyFill="1" applyBorder="1" applyAlignment="1">
      <alignment horizontal="center" vertical="top" wrapText="1"/>
    </xf>
    <xf numFmtId="199" fontId="58" fillId="5" borderId="25" xfId="0" applyNumberFormat="1" applyFont="1" applyFill="1" applyBorder="1" applyAlignment="1">
      <alignment horizontal="center" vertical="center"/>
    </xf>
    <xf numFmtId="165" fontId="58" fillId="5" borderId="25" xfId="0" applyNumberFormat="1" applyFont="1" applyFill="1" applyBorder="1" applyAlignment="1">
      <alignment horizontal="center" vertical="center"/>
    </xf>
    <xf numFmtId="205" fontId="59" fillId="5" borderId="25" xfId="0" applyNumberFormat="1" applyFont="1" applyFill="1" applyBorder="1" applyAlignment="1" applyProtection="1">
      <alignment horizontal="center" vertical="center"/>
      <protection locked="0"/>
    </xf>
    <xf numFmtId="166" fontId="58" fillId="5" borderId="24" xfId="0" applyNumberFormat="1" applyFont="1" applyFill="1" applyBorder="1" applyAlignment="1">
      <alignment horizontal="center" vertical="center"/>
    </xf>
    <xf numFmtId="0" fontId="60" fillId="5" borderId="24" xfId="0" applyFont="1" applyFill="1" applyBorder="1" applyAlignment="1" applyProtection="1">
      <alignment horizontal="center" vertical="center"/>
      <protection locked="0"/>
    </xf>
    <xf numFmtId="199" fontId="58" fillId="5" borderId="24" xfId="0" applyNumberFormat="1" applyFont="1" applyFill="1" applyBorder="1" applyAlignment="1">
      <alignment horizontal="center" vertical="center"/>
    </xf>
    <xf numFmtId="165" fontId="58" fillId="5" borderId="24" xfId="0" applyNumberFormat="1" applyFont="1" applyFill="1" applyBorder="1" applyAlignment="1">
      <alignment horizontal="center" vertical="center"/>
    </xf>
    <xf numFmtId="205" fontId="58" fillId="5" borderId="24" xfId="0" applyNumberFormat="1" applyFont="1" applyFill="1" applyBorder="1" applyAlignment="1" applyProtection="1">
      <alignment horizontal="center" vertical="center"/>
      <protection locked="0"/>
    </xf>
    <xf numFmtId="198" fontId="59" fillId="5" borderId="0" xfId="0" applyNumberFormat="1" applyFont="1" applyFill="1" applyAlignment="1">
      <alignment horizontal="center" vertical="center"/>
    </xf>
    <xf numFmtId="198" fontId="59" fillId="5" borderId="25" xfId="0" applyNumberFormat="1" applyFont="1" applyFill="1" applyBorder="1" applyAlignment="1">
      <alignment horizontal="center" vertical="center"/>
    </xf>
    <xf numFmtId="205" fontId="58" fillId="5" borderId="24" xfId="0" applyNumberFormat="1" applyFont="1" applyFill="1" applyBorder="1" applyAlignment="1">
      <alignment horizontal="center" vertical="center"/>
    </xf>
    <xf numFmtId="0" fontId="40" fillId="0" borderId="28" xfId="11" applyFont="1" applyBorder="1" applyAlignment="1">
      <alignment horizontal="center"/>
    </xf>
    <xf numFmtId="0" fontId="40" fillId="0" borderId="26" xfId="11" applyFont="1" applyBorder="1" applyAlignment="1">
      <alignment horizontal="center"/>
    </xf>
    <xf numFmtId="0" fontId="40" fillId="0" borderId="29" xfId="11" applyFont="1" applyBorder="1" applyAlignment="1">
      <alignment horizontal="center"/>
    </xf>
    <xf numFmtId="0" fontId="35" fillId="13" borderId="40" xfId="12" applyFont="1" applyFill="1" applyBorder="1" applyAlignment="1">
      <alignment horizontal="center" vertical="center"/>
    </xf>
    <xf numFmtId="0" fontId="35" fillId="13" borderId="39" xfId="12" applyFont="1" applyFill="1" applyBorder="1" applyAlignment="1">
      <alignment horizontal="center" vertical="center"/>
    </xf>
    <xf numFmtId="0" fontId="35" fillId="13" borderId="17" xfId="12" applyFont="1" applyFill="1" applyBorder="1" applyAlignment="1">
      <alignment horizontal="center" vertical="center"/>
    </xf>
    <xf numFmtId="0" fontId="35" fillId="13" borderId="19" xfId="12" applyFont="1" applyFill="1" applyBorder="1" applyAlignment="1">
      <alignment horizontal="center" vertical="center"/>
    </xf>
    <xf numFmtId="0" fontId="37" fillId="0" borderId="20" xfId="12" applyFont="1" applyBorder="1" applyAlignment="1">
      <alignment horizontal="center"/>
    </xf>
    <xf numFmtId="208" fontId="46" fillId="0" borderId="31" xfId="12" applyNumberFormat="1" applyFont="1" applyBorder="1" applyAlignment="1">
      <alignment horizontal="center" vertical="center"/>
    </xf>
    <xf numFmtId="208" fontId="46" fillId="0" borderId="30" xfId="12" applyNumberFormat="1" applyFont="1" applyBorder="1" applyAlignment="1">
      <alignment horizontal="center" vertical="center"/>
    </xf>
    <xf numFmtId="208" fontId="49" fillId="0" borderId="31" xfId="12" applyNumberFormat="1" applyFont="1" applyBorder="1" applyAlignment="1">
      <alignment horizontal="center" vertical="center"/>
    </xf>
    <xf numFmtId="208" fontId="49" fillId="0" borderId="30" xfId="12" applyNumberFormat="1" applyFont="1" applyBorder="1" applyAlignment="1">
      <alignment horizontal="center" vertical="center"/>
    </xf>
    <xf numFmtId="208" fontId="49" fillId="0" borderId="40" xfId="12" applyNumberFormat="1" applyFont="1" applyBorder="1" applyAlignment="1">
      <alignment horizontal="center" vertical="center"/>
    </xf>
    <xf numFmtId="208" fontId="49" fillId="0" borderId="39" xfId="12" applyNumberFormat="1" applyFont="1" applyBorder="1" applyAlignment="1">
      <alignment horizontal="center" vertical="center"/>
    </xf>
    <xf numFmtId="208" fontId="49" fillId="0" borderId="36" xfId="12" applyNumberFormat="1" applyFont="1" applyBorder="1" applyAlignment="1">
      <alignment horizontal="center" vertical="center"/>
    </xf>
    <xf numFmtId="208" fontId="49" fillId="0" borderId="35" xfId="12" applyNumberFormat="1" applyFont="1" applyBorder="1" applyAlignment="1">
      <alignment horizontal="center" vertical="center"/>
    </xf>
    <xf numFmtId="0" fontId="37" fillId="0" borderId="28" xfId="12" applyFont="1" applyBorder="1" applyAlignment="1">
      <alignment horizontal="left"/>
    </xf>
    <xf numFmtId="0" fontId="37" fillId="0" borderId="26" xfId="12" applyFont="1" applyBorder="1" applyAlignment="1">
      <alignment horizontal="left"/>
    </xf>
    <xf numFmtId="0" fontId="47" fillId="0" borderId="13" xfId="12" applyFont="1" applyBorder="1" applyAlignment="1">
      <alignment horizontal="center"/>
    </xf>
    <xf numFmtId="0" fontId="47" fillId="0" borderId="15" xfId="12" applyFont="1" applyBorder="1" applyAlignment="1">
      <alignment horizontal="center"/>
    </xf>
    <xf numFmtId="0" fontId="47" fillId="0" borderId="3" xfId="12" applyFont="1" applyBorder="1" applyAlignment="1">
      <alignment horizontal="center"/>
    </xf>
    <xf numFmtId="0" fontId="47" fillId="0" borderId="4" xfId="12" applyFont="1" applyBorder="1" applyAlignment="1">
      <alignment horizontal="center"/>
    </xf>
    <xf numFmtId="0" fontId="25" fillId="0" borderId="38" xfId="12" applyFont="1" applyBorder="1" applyAlignment="1">
      <alignment horizontal="center"/>
    </xf>
    <xf numFmtId="0" fontId="25" fillId="0" borderId="34" xfId="12" applyFont="1" applyBorder="1" applyAlignment="1">
      <alignment horizontal="center"/>
    </xf>
    <xf numFmtId="208" fontId="46" fillId="0" borderId="37" xfId="12" applyNumberFormat="1" applyFont="1" applyBorder="1" applyAlignment="1">
      <alignment horizontal="center" vertical="center"/>
    </xf>
    <xf numFmtId="208" fontId="46" fillId="0" borderId="33" xfId="12" applyNumberFormat="1" applyFont="1" applyBorder="1" applyAlignment="1">
      <alignment horizontal="center" vertical="center"/>
    </xf>
    <xf numFmtId="0" fontId="35" fillId="12" borderId="20" xfId="12" applyFont="1" applyFill="1" applyBorder="1" applyAlignment="1">
      <alignment horizontal="center" vertical="center"/>
    </xf>
    <xf numFmtId="0" fontId="50" fillId="0" borderId="38" xfId="12" applyFont="1" applyBorder="1" applyAlignment="1">
      <alignment horizontal="center" vertical="center"/>
    </xf>
    <xf numFmtId="0" fontId="50" fillId="0" borderId="41" xfId="12" applyFont="1" applyBorder="1" applyAlignment="1">
      <alignment horizontal="center" vertical="center"/>
    </xf>
    <xf numFmtId="0" fontId="35" fillId="13" borderId="36" xfId="12" applyFont="1" applyFill="1" applyBorder="1" applyAlignment="1">
      <alignment horizontal="center" vertical="center"/>
    </xf>
    <xf numFmtId="0" fontId="35" fillId="13" borderId="35" xfId="12" applyFont="1" applyFill="1" applyBorder="1" applyAlignment="1">
      <alignment horizontal="center" vertical="center"/>
    </xf>
    <xf numFmtId="0" fontId="48" fillId="13" borderId="37" xfId="12" applyFont="1" applyFill="1" applyBorder="1" applyAlignment="1">
      <alignment horizontal="center" vertical="center"/>
    </xf>
    <xf numFmtId="0" fontId="48" fillId="13" borderId="20" xfId="12" applyFont="1" applyFill="1" applyBorder="1" applyAlignment="1">
      <alignment horizontal="center" vertical="center"/>
    </xf>
    <xf numFmtId="0" fontId="42" fillId="0" borderId="20" xfId="12" applyFont="1" applyBorder="1" applyAlignment="1">
      <alignment horizontal="center"/>
    </xf>
    <xf numFmtId="0" fontId="34" fillId="12" borderId="20" xfId="12" applyFont="1" applyFill="1" applyBorder="1" applyAlignment="1">
      <alignment horizontal="center" vertical="center"/>
    </xf>
    <xf numFmtId="0" fontId="37" fillId="0" borderId="26" xfId="12" applyFont="1" applyBorder="1" applyAlignment="1">
      <alignment horizontal="center" vertical="center"/>
    </xf>
    <xf numFmtId="0" fontId="45" fillId="0" borderId="26" xfId="12" applyFont="1" applyBorder="1" applyAlignment="1">
      <alignment horizontal="center" vertical="center"/>
    </xf>
    <xf numFmtId="0" fontId="50" fillId="0" borderId="34" xfId="12" applyFont="1" applyBorder="1" applyAlignment="1">
      <alignment horizontal="center" vertical="center"/>
    </xf>
    <xf numFmtId="0" fontId="46" fillId="0" borderId="38" xfId="12" applyFont="1" applyBorder="1" applyAlignment="1">
      <alignment horizontal="center" vertical="center"/>
    </xf>
    <xf numFmtId="0" fontId="46" fillId="0" borderId="41" xfId="12" applyFont="1" applyBorder="1" applyAlignment="1">
      <alignment horizontal="center" vertical="center"/>
    </xf>
    <xf numFmtId="0" fontId="46" fillId="0" borderId="34" xfId="12" applyFont="1" applyBorder="1" applyAlignment="1">
      <alignment horizontal="center" vertical="center"/>
    </xf>
    <xf numFmtId="0" fontId="2" fillId="0" borderId="3" xfId="9" applyBorder="1" applyAlignment="1">
      <alignment horizontal="center"/>
    </xf>
    <xf numFmtId="0" fontId="2" fillId="0" borderId="0" xfId="9" applyAlignment="1">
      <alignment horizontal="center"/>
    </xf>
    <xf numFmtId="0" fontId="2" fillId="0" borderId="4" xfId="9" applyBorder="1" applyAlignment="1">
      <alignment horizontal="center"/>
    </xf>
    <xf numFmtId="1" fontId="2" fillId="0" borderId="3" xfId="9" applyNumberFormat="1" applyBorder="1" applyAlignment="1">
      <alignment horizontal="center"/>
    </xf>
    <xf numFmtId="1" fontId="2" fillId="0" borderId="0" xfId="9" applyNumberFormat="1" applyAlignment="1">
      <alignment horizontal="center"/>
    </xf>
    <xf numFmtId="1" fontId="2" fillId="0" borderId="4" xfId="9" applyNumberFormat="1" applyBorder="1" applyAlignment="1">
      <alignment horizontal="center"/>
    </xf>
    <xf numFmtId="0" fontId="2" fillId="0" borderId="0" xfId="9" applyAlignment="1">
      <alignment horizontal="left"/>
    </xf>
    <xf numFmtId="0" fontId="13" fillId="5" borderId="13" xfId="9" applyFont="1" applyFill="1" applyBorder="1" applyAlignment="1">
      <alignment horizontal="left" vertical="top" wrapText="1"/>
    </xf>
    <xf numFmtId="0" fontId="13" fillId="5" borderId="15" xfId="9" applyFont="1" applyFill="1" applyBorder="1" applyAlignment="1">
      <alignment horizontal="left" vertical="top" wrapText="1"/>
    </xf>
    <xf numFmtId="0" fontId="13" fillId="5" borderId="17" xfId="9" applyFont="1" applyFill="1" applyBorder="1" applyAlignment="1">
      <alignment horizontal="left" vertical="top" wrapText="1"/>
    </xf>
    <xf numFmtId="0" fontId="13" fillId="5" borderId="19" xfId="9" applyFont="1" applyFill="1" applyBorder="1" applyAlignment="1">
      <alignment horizontal="left" vertical="top" wrapText="1"/>
    </xf>
    <xf numFmtId="0" fontId="13" fillId="5" borderId="16" xfId="9" applyFont="1" applyFill="1" applyBorder="1" applyAlignment="1">
      <alignment horizontal="left" vertical="top" wrapText="1"/>
    </xf>
    <xf numFmtId="0" fontId="13" fillId="5" borderId="8" xfId="9" applyFont="1" applyFill="1" applyBorder="1" applyAlignment="1">
      <alignment horizontal="left" vertical="top" wrapText="1"/>
    </xf>
    <xf numFmtId="0" fontId="84" fillId="5" borderId="0" xfId="0" applyFont="1" applyFill="1" applyAlignment="1">
      <alignment horizontal="center" wrapText="1"/>
    </xf>
    <xf numFmtId="0" fontId="62" fillId="5" borderId="0" xfId="0" applyFont="1" applyFill="1" applyAlignment="1">
      <alignment horizontal="center" vertical="top" wrapText="1"/>
    </xf>
    <xf numFmtId="164" fontId="86" fillId="5" borderId="14" xfId="0" applyNumberFormat="1" applyFont="1" applyFill="1" applyBorder="1" applyAlignment="1">
      <alignment horizontal="left" vertical="center" wrapText="1"/>
    </xf>
    <xf numFmtId="0" fontId="62" fillId="5" borderId="0" xfId="0" applyFont="1" applyFill="1" applyAlignment="1">
      <alignment horizontal="center" vertical="center" wrapText="1"/>
    </xf>
    <xf numFmtId="0" fontId="62" fillId="5" borderId="0" xfId="0" applyFont="1" applyFill="1" applyAlignment="1">
      <alignment horizontal="left" vertical="top" wrapText="1"/>
    </xf>
    <xf numFmtId="0" fontId="73" fillId="5" borderId="0" xfId="0" applyFont="1" applyFill="1" applyAlignment="1" applyProtection="1">
      <alignment horizontal="center" wrapText="1"/>
      <protection locked="0"/>
    </xf>
    <xf numFmtId="0" fontId="84" fillId="5" borderId="0" xfId="0" applyFont="1" applyFill="1" applyAlignment="1">
      <alignment horizontal="center"/>
    </xf>
    <xf numFmtId="0" fontId="62" fillId="5" borderId="0" xfId="0" applyFont="1" applyFill="1" applyAlignment="1">
      <alignment horizontal="center" vertical="top"/>
    </xf>
    <xf numFmtId="0" fontId="0" fillId="0" borderId="0" xfId="0" applyAlignment="1">
      <alignment horizontal="left"/>
    </xf>
    <xf numFmtId="0" fontId="0" fillId="0" borderId="3"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13" fillId="5" borderId="13" xfId="0" applyFont="1" applyFill="1" applyBorder="1" applyAlignment="1">
      <alignment horizontal="left" vertical="top" wrapText="1"/>
    </xf>
    <xf numFmtId="0" fontId="13" fillId="5" borderId="15" xfId="0" applyFont="1" applyFill="1" applyBorder="1" applyAlignment="1">
      <alignment horizontal="left" vertical="top" wrapText="1"/>
    </xf>
    <xf numFmtId="0" fontId="13" fillId="5" borderId="17" xfId="0" applyFont="1" applyFill="1" applyBorder="1" applyAlignment="1">
      <alignment horizontal="left" vertical="top" wrapText="1"/>
    </xf>
    <xf numFmtId="0" fontId="13" fillId="5" borderId="19" xfId="0" applyFont="1" applyFill="1" applyBorder="1" applyAlignment="1">
      <alignment horizontal="left" vertical="top" wrapText="1"/>
    </xf>
    <xf numFmtId="0" fontId="13" fillId="5" borderId="16" xfId="0" applyFont="1" applyFill="1" applyBorder="1" applyAlignment="1">
      <alignment horizontal="left" vertical="top" wrapText="1"/>
    </xf>
    <xf numFmtId="0" fontId="13" fillId="5" borderId="8" xfId="0" applyFont="1" applyFill="1" applyBorder="1" applyAlignment="1">
      <alignment horizontal="left" vertical="top" wrapText="1"/>
    </xf>
    <xf numFmtId="1" fontId="0" fillId="0" borderId="0" xfId="0" applyNumberFormat="1" applyAlignment="1">
      <alignment horizontal="center"/>
    </xf>
    <xf numFmtId="1" fontId="0" fillId="0" borderId="4" xfId="0" applyNumberFormat="1" applyBorder="1" applyAlignment="1">
      <alignment horizontal="center"/>
    </xf>
    <xf numFmtId="1" fontId="0" fillId="0" borderId="3" xfId="0" applyNumberFormat="1" applyBorder="1" applyAlignment="1">
      <alignment horizontal="center"/>
    </xf>
  </cellXfs>
  <cellStyles count="13">
    <cellStyle name="Datum" xfId="1" xr:uid="{00000000-0005-0000-0000-000000000000}"/>
    <cellStyle name="Komma0" xfId="2" xr:uid="{00000000-0005-0000-0000-000001000000}"/>
    <cellStyle name="Koptekst 1" xfId="3" xr:uid="{00000000-0005-0000-0000-000002000000}"/>
    <cellStyle name="Koptekst 1 2" xfId="10" xr:uid="{00000000-0005-0000-0000-000003000000}"/>
    <cellStyle name="Koptekst 2" xfId="4" xr:uid="{00000000-0005-0000-0000-000004000000}"/>
    <cellStyle name="Normal" xfId="0" builtinId="0"/>
    <cellStyle name="Standaard 2" xfId="9" xr:uid="{00000000-0005-0000-0000-000006000000}"/>
    <cellStyle name="Standaard 3" xfId="11" xr:uid="{00000000-0005-0000-0000-000007000000}"/>
    <cellStyle name="Standaard 4" xfId="12" xr:uid="{00000000-0005-0000-0000-000008000000}"/>
    <cellStyle name="Standaard_Contactgeluid" xfId="5" xr:uid="{00000000-0005-0000-0000-000009000000}"/>
    <cellStyle name="Total" xfId="6" builtinId="25" customBuiltin="1"/>
    <cellStyle name="Valuta0" xfId="7" xr:uid="{00000000-0005-0000-0000-00000B000000}"/>
    <cellStyle name="Vast" xfId="8" xr:uid="{00000000-0005-0000-0000-00000C000000}"/>
  </cellStyles>
  <dxfs count="1394">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theme="0"/>
      </font>
    </dxf>
    <dxf>
      <font>
        <color theme="0"/>
      </font>
    </dxf>
    <dxf>
      <font>
        <color theme="0"/>
      </font>
    </dxf>
    <dxf>
      <font>
        <color theme="0"/>
      </font>
    </dxf>
    <dxf>
      <font>
        <b/>
        <i val="0"/>
        <condense val="0"/>
        <extend val="0"/>
        <color indexed="10"/>
      </font>
    </dxf>
    <dxf>
      <font>
        <b/>
        <i val="0"/>
        <condense val="0"/>
        <extend val="0"/>
        <color indexed="10"/>
      </font>
    </dxf>
    <dxf>
      <font>
        <b/>
        <i val="0"/>
        <condense val="0"/>
        <extend val="0"/>
        <color indexed="10"/>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0000"/>
        </patternFill>
      </fill>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font>
        <b/>
        <i val="0"/>
        <color rgb="FFFF0000"/>
      </font>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ill>
        <patternFill>
          <bgColor rgb="FFFFC000"/>
        </patternFill>
      </fill>
    </dxf>
    <dxf>
      <font>
        <color auto="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ndense val="0"/>
        <extend val="0"/>
        <color indexed="10"/>
      </font>
    </dxf>
    <dxf>
      <font>
        <color theme="0"/>
      </font>
    </dxf>
    <dxf>
      <font>
        <color theme="0"/>
      </fon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8" formatCode="0\ &quot;m²&quot;"/>
    </dxf>
    <dxf>
      <numFmt numFmtId="166" formatCode="0.0\ &quot;m²&quot;"/>
    </dxf>
    <dxf>
      <numFmt numFmtId="171" formatCode="0.00\ &quot;m²&quot;"/>
    </dxf>
    <dxf>
      <numFmt numFmtId="171" formatCode="0.00\ &quot;m²&quot;"/>
    </dxf>
    <dxf>
      <numFmt numFmtId="178" formatCode="0\ &quot;m²&quot;"/>
    </dxf>
    <dxf>
      <numFmt numFmtId="166" formatCode="0.0\ &quot;m²&quot;"/>
    </dxf>
    <dxf>
      <font>
        <color theme="0"/>
      </font>
    </dxf>
    <dxf>
      <font>
        <color theme="0"/>
      </font>
    </dxf>
    <dxf>
      <font>
        <color theme="0"/>
      </font>
    </dxf>
    <dxf>
      <font>
        <b/>
        <i val="0"/>
        <condense val="0"/>
        <extend val="0"/>
        <color indexed="10"/>
      </font>
    </dxf>
    <dxf>
      <numFmt numFmtId="211" formatCode="&quot;n.v.t.&quot;"/>
    </dxf>
    <dxf>
      <font>
        <condense val="0"/>
        <extend val="0"/>
        <color indexed="12"/>
      </font>
    </dxf>
    <dxf>
      <font>
        <b/>
        <i val="0"/>
        <color rgb="FFFF0000"/>
      </font>
    </dxf>
    <dxf>
      <font>
        <b/>
        <i val="0"/>
        <color rgb="FFFF0000"/>
      </font>
    </dxf>
    <dxf>
      <font>
        <b/>
        <i val="0"/>
        <condense val="0"/>
        <extend val="0"/>
        <color indexed="10"/>
      </font>
    </dxf>
    <dxf>
      <font>
        <condense val="0"/>
        <extend val="0"/>
        <color indexed="12"/>
      </font>
    </dxf>
  </dxfs>
  <tableStyles count="0" defaultTableStyle="TableStyleMedium9" defaultPivotStyle="PivotStyleLight16"/>
  <colors>
    <mruColors>
      <color rgb="FF008FC2"/>
      <color rgb="FF0000FF"/>
      <color rgb="FF1B5EAA"/>
      <color rgb="FF99C31D"/>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8.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438150</xdr:colOff>
      <xdr:row>37</xdr:row>
      <xdr:rowOff>9525</xdr:rowOff>
    </xdr:from>
    <xdr:to>
      <xdr:col>3</xdr:col>
      <xdr:colOff>619125</xdr:colOff>
      <xdr:row>37</xdr:row>
      <xdr:rowOff>171450</xdr:rowOff>
    </xdr:to>
    <xdr:pic macro="[0]!Infodaglicht">
      <xdr:nvPicPr>
        <xdr:cNvPr id="2" name="Afbeelding 2">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9270" y="5450205"/>
          <a:ext cx="180975" cy="161925"/>
        </a:xfrm>
        <a:prstGeom prst="rect">
          <a:avLst/>
        </a:prstGeom>
        <a:noFill/>
        <a:ln w="9525">
          <a:noFill/>
          <a:miter lim="800000"/>
          <a:headEnd/>
          <a:tailEnd/>
        </a:ln>
      </xdr:spPr>
    </xdr:pic>
    <xdr:clientData fPrintsWithSheet="0"/>
  </xdr:twoCellAnchor>
  <xdr:twoCellAnchor editAs="oneCell">
    <xdr:from>
      <xdr:col>3</xdr:col>
      <xdr:colOff>518067</xdr:colOff>
      <xdr:row>80</xdr:row>
      <xdr:rowOff>9525</xdr:rowOff>
    </xdr:from>
    <xdr:to>
      <xdr:col>3</xdr:col>
      <xdr:colOff>689103</xdr:colOff>
      <xdr:row>80</xdr:row>
      <xdr:rowOff>171450</xdr:rowOff>
    </xdr:to>
    <xdr:pic macro="[0]!Infoventilatietoevoer">
      <xdr:nvPicPr>
        <xdr:cNvPr id="3" name="Afbeelding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9187" y="9839325"/>
          <a:ext cx="171036" cy="161925"/>
        </a:xfrm>
        <a:prstGeom prst="rect">
          <a:avLst/>
        </a:prstGeom>
        <a:noFill/>
        <a:ln w="9525">
          <a:noFill/>
          <a:miter lim="800000"/>
          <a:headEnd/>
          <a:tailEnd/>
        </a:ln>
      </xdr:spPr>
    </xdr:pic>
    <xdr:clientData fPrintsWithSheet="0"/>
  </xdr:twoCellAnchor>
  <xdr:twoCellAnchor>
    <xdr:from>
      <xdr:col>13</xdr:col>
      <xdr:colOff>683341</xdr:colOff>
      <xdr:row>140</xdr:row>
      <xdr:rowOff>8569</xdr:rowOff>
    </xdr:from>
    <xdr:to>
      <xdr:col>14</xdr:col>
      <xdr:colOff>145304</xdr:colOff>
      <xdr:row>140</xdr:row>
      <xdr:rowOff>180020</xdr:rowOff>
    </xdr:to>
    <xdr:pic macro="[0]!Infooverstroom">
      <xdr:nvPicPr>
        <xdr:cNvPr id="4" name="Afbeelding 2">
          <a:extLst>
            <a:ext uri="{FF2B5EF4-FFF2-40B4-BE49-F238E27FC236}">
              <a16:creationId xmlns:a16="http://schemas.microsoft.com/office/drawing/2014/main" id="{00000000-0008-0000-0100-000004000000}"/>
            </a:ext>
          </a:extLst>
        </xdr:cNvPr>
        <xdr:cNvPicPr>
          <a:picLocks/>
        </xdr:cNvPicPr>
      </xdr:nvPicPr>
      <xdr:blipFill>
        <a:blip xmlns:r="http://schemas.openxmlformats.org/officeDocument/2006/relationships" r:embed="rId3" cstate="print"/>
        <a:srcRect/>
        <a:stretch>
          <a:fillRect/>
        </a:stretch>
      </xdr:blipFill>
      <xdr:spPr bwMode="auto">
        <a:xfrm>
          <a:off x="9789241" y="16795429"/>
          <a:ext cx="193483" cy="171451"/>
        </a:xfrm>
        <a:prstGeom prst="rect">
          <a:avLst/>
        </a:prstGeom>
        <a:noFill/>
        <a:ln w="9525">
          <a:noFill/>
          <a:miter lim="800000"/>
          <a:headEnd/>
          <a:tailEnd/>
        </a:ln>
      </xdr:spPr>
    </xdr:pic>
    <xdr:clientData fPrintsWithSheet="0"/>
  </xdr:twoCellAnchor>
  <xdr:twoCellAnchor editAs="oneCell">
    <xdr:from>
      <xdr:col>3</xdr:col>
      <xdr:colOff>66675</xdr:colOff>
      <xdr:row>179</xdr:row>
      <xdr:rowOff>9525</xdr:rowOff>
    </xdr:from>
    <xdr:to>
      <xdr:col>3</xdr:col>
      <xdr:colOff>247650</xdr:colOff>
      <xdr:row>179</xdr:row>
      <xdr:rowOff>171450</xdr:rowOff>
    </xdr:to>
    <xdr:pic macro="[0]!Infospui">
      <xdr:nvPicPr>
        <xdr:cNvPr id="5" name="Afbeelding 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0530185"/>
          <a:ext cx="180975" cy="161925"/>
        </a:xfrm>
        <a:prstGeom prst="rect">
          <a:avLst/>
        </a:prstGeom>
        <a:noFill/>
        <a:ln w="9525">
          <a:noFill/>
          <a:miter lim="800000"/>
          <a:headEnd/>
          <a:tailEnd/>
        </a:ln>
      </xdr:spPr>
    </xdr:pic>
    <xdr:clientData fPrintsWithSheet="0"/>
  </xdr:twoCellAnchor>
  <xdr:twoCellAnchor>
    <xdr:from>
      <xdr:col>4</xdr:col>
      <xdr:colOff>827833</xdr:colOff>
      <xdr:row>117</xdr:row>
      <xdr:rowOff>9524</xdr:rowOff>
    </xdr:from>
    <xdr:to>
      <xdr:col>5</xdr:col>
      <xdr:colOff>150583</xdr:colOff>
      <xdr:row>117</xdr:row>
      <xdr:rowOff>180975</xdr:rowOff>
    </xdr:to>
    <xdr:pic macro="[0]!Infoventilatieafvoer">
      <xdr:nvPicPr>
        <xdr:cNvPr id="6" name="Afbeelding 2">
          <a:extLst>
            <a:ext uri="{FF2B5EF4-FFF2-40B4-BE49-F238E27FC236}">
              <a16:creationId xmlns:a16="http://schemas.microsoft.com/office/drawing/2014/main" id="{00000000-0008-0000-0100-000006000000}"/>
            </a:ext>
          </a:extLst>
        </xdr:cNvPr>
        <xdr:cNvPicPr>
          <a:picLocks/>
        </xdr:cNvPicPr>
      </xdr:nvPicPr>
      <xdr:blipFill>
        <a:blip xmlns:r="http://schemas.openxmlformats.org/officeDocument/2006/relationships" r:embed="rId3" cstate="print"/>
        <a:srcRect/>
        <a:stretch>
          <a:fillRect/>
        </a:stretch>
      </xdr:blipFill>
      <xdr:spPr bwMode="auto">
        <a:xfrm>
          <a:off x="2900473" y="13519784"/>
          <a:ext cx="320970" cy="17145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0100-000001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67938" name="Button 2" hidden="1">
              <a:extLst>
                <a:ext uri="{63B3BB69-23CF-44E3-9099-C40C66FF867C}">
                  <a14:compatExt spid="_x0000_s167938"/>
                </a:ext>
                <a:ext uri="{FF2B5EF4-FFF2-40B4-BE49-F238E27FC236}">
                  <a16:creationId xmlns:a16="http://schemas.microsoft.com/office/drawing/2014/main" id="{00000000-0008-0000-0100-000002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37</xdr:row>
          <xdr:rowOff>7620</xdr:rowOff>
        </xdr:from>
        <xdr:to>
          <xdr:col>15</xdr:col>
          <xdr:colOff>792480</xdr:colOff>
          <xdr:row>38</xdr:row>
          <xdr:rowOff>0</xdr:rowOff>
        </xdr:to>
        <xdr:sp macro="" textlink="">
          <xdr:nvSpPr>
            <xdr:cNvPr id="167939" name="Button 9" hidden="1">
              <a:extLst>
                <a:ext uri="{63B3BB69-23CF-44E3-9099-C40C66FF867C}">
                  <a14:compatExt spid="_x0000_s167939"/>
                </a:ext>
                <a:ext uri="{FF2B5EF4-FFF2-40B4-BE49-F238E27FC236}">
                  <a16:creationId xmlns:a16="http://schemas.microsoft.com/office/drawing/2014/main" id="{00000000-0008-0000-0100-000003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179</xdr:row>
          <xdr:rowOff>7620</xdr:rowOff>
        </xdr:from>
        <xdr:to>
          <xdr:col>15</xdr:col>
          <xdr:colOff>746760</xdr:colOff>
          <xdr:row>180</xdr:row>
          <xdr:rowOff>0</xdr:rowOff>
        </xdr:to>
        <xdr:sp macro="" textlink="">
          <xdr:nvSpPr>
            <xdr:cNvPr id="167940" name="Button 11" hidden="1">
              <a:extLst>
                <a:ext uri="{63B3BB69-23CF-44E3-9099-C40C66FF867C}">
                  <a14:compatExt spid="_x0000_s167940"/>
                </a:ext>
                <a:ext uri="{FF2B5EF4-FFF2-40B4-BE49-F238E27FC236}">
                  <a16:creationId xmlns:a16="http://schemas.microsoft.com/office/drawing/2014/main" id="{00000000-0008-0000-0100-000004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70</xdr:row>
      <xdr:rowOff>9525</xdr:rowOff>
    </xdr:from>
    <xdr:to>
      <xdr:col>3</xdr:col>
      <xdr:colOff>581025</xdr:colOff>
      <xdr:row>70</xdr:row>
      <xdr:rowOff>171450</xdr:rowOff>
    </xdr:to>
    <xdr:pic macro="[0]!Infoventilatie">
      <xdr:nvPicPr>
        <xdr:cNvPr id="7" name="Afbeelding 2">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41170" y="8277225"/>
          <a:ext cx="180975" cy="161925"/>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29765"/>
          <a:ext cx="180975" cy="161925"/>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161925</xdr:rowOff>
    </xdr:to>
    <xdr:pic macro="[0]!Infoalgemeen">
      <xdr:nvPicPr>
        <xdr:cNvPr id="9" name="Afbeelding 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79245" y="647700"/>
          <a:ext cx="180975" cy="161925"/>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86965" y="3811905"/>
          <a:ext cx="180975" cy="161925"/>
        </a:xfrm>
        <a:prstGeom prst="rect">
          <a:avLst/>
        </a:prstGeom>
        <a:noFill/>
        <a:ln w="9525">
          <a:noFill/>
          <a:miter lim="800000"/>
          <a:headEnd/>
          <a:tailEnd/>
        </a:ln>
      </xdr:spPr>
    </xdr:pic>
    <xdr:clientData fPrintsWithSheet="0"/>
  </xdr:twoCellAnchor>
  <xdr:twoCellAnchor>
    <xdr:from>
      <xdr:col>5</xdr:col>
      <xdr:colOff>380157</xdr:colOff>
      <xdr:row>129</xdr:row>
      <xdr:rowOff>9525</xdr:rowOff>
    </xdr:from>
    <xdr:to>
      <xdr:col>5</xdr:col>
      <xdr:colOff>561974</xdr:colOff>
      <xdr:row>129</xdr:row>
      <xdr:rowOff>141899</xdr:rowOff>
    </xdr:to>
    <xdr:pic macro="[0]!Infoventilatieafvoer">
      <xdr:nvPicPr>
        <xdr:cNvPr id="11" name="Afbeelding 2">
          <a:extLst>
            <a:ext uri="{FF2B5EF4-FFF2-40B4-BE49-F238E27FC236}">
              <a16:creationId xmlns:a16="http://schemas.microsoft.com/office/drawing/2014/main" id="{00000000-0008-0000-0100-00000B000000}"/>
            </a:ext>
          </a:extLst>
        </xdr:cNvPr>
        <xdr:cNvPicPr>
          <a:picLocks/>
        </xdr:cNvPicPr>
      </xdr:nvPicPr>
      <xdr:blipFill>
        <a:blip xmlns:r="http://schemas.openxmlformats.org/officeDocument/2006/relationships" r:embed="rId3" cstate="print"/>
        <a:srcRect/>
        <a:stretch>
          <a:fillRect/>
        </a:stretch>
      </xdr:blipFill>
      <xdr:spPr bwMode="auto">
        <a:xfrm>
          <a:off x="3451017" y="15272385"/>
          <a:ext cx="181817" cy="132374"/>
        </a:xfrm>
        <a:prstGeom prst="rect">
          <a:avLst/>
        </a:prstGeom>
        <a:noFill/>
        <a:ln w="9525">
          <a:noFill/>
          <a:miter lim="800000"/>
          <a:headEnd/>
          <a:tailEnd/>
        </a:ln>
      </xdr:spPr>
    </xdr:pic>
    <xdr:clientData fPrintsWithSheet="0"/>
  </xdr:twoCellAnchor>
  <xdr:twoCellAnchor editAs="oneCell">
    <xdr:from>
      <xdr:col>7</xdr:col>
      <xdr:colOff>295955</xdr:colOff>
      <xdr:row>140</xdr:row>
      <xdr:rowOff>0</xdr:rowOff>
    </xdr:from>
    <xdr:to>
      <xdr:col>7</xdr:col>
      <xdr:colOff>449033</xdr:colOff>
      <xdr:row>140</xdr:row>
      <xdr:rowOff>148865</xdr:rowOff>
    </xdr:to>
    <xdr:pic>
      <xdr:nvPicPr>
        <xdr:cNvPr id="12" name="Afbeelding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5"/>
        <a:srcRect l="1" r="-2272" b="18534"/>
        <a:stretch/>
      </xdr:blipFill>
      <xdr:spPr>
        <a:xfrm rot="10800000">
          <a:off x="4829855" y="16786860"/>
          <a:ext cx="153078" cy="148865"/>
        </a:xfrm>
        <a:prstGeom prst="rect">
          <a:avLst/>
        </a:prstGeom>
      </xdr:spPr>
    </xdr:pic>
    <xdr:clientData/>
  </xdr:twoCellAnchor>
  <xdr:twoCellAnchor editAs="oneCell">
    <xdr:from>
      <xdr:col>8</xdr:col>
      <xdr:colOff>413385</xdr:colOff>
      <xdr:row>71</xdr:row>
      <xdr:rowOff>27454</xdr:rowOff>
    </xdr:from>
    <xdr:to>
      <xdr:col>11</xdr:col>
      <xdr:colOff>251191</xdr:colOff>
      <xdr:row>76</xdr:row>
      <xdr:rowOff>151187</xdr:rowOff>
    </xdr:to>
    <xdr:pic>
      <xdr:nvPicPr>
        <xdr:cNvPr id="13" name="Afbeelding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6"/>
        <a:stretch>
          <a:fillRect/>
        </a:stretch>
      </xdr:blipFill>
      <xdr:spPr>
        <a:xfrm>
          <a:off x="5678805" y="8485654"/>
          <a:ext cx="2215246" cy="7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438150</xdr:colOff>
      <xdr:row>37</xdr:row>
      <xdr:rowOff>9525</xdr:rowOff>
    </xdr:from>
    <xdr:to>
      <xdr:col>3</xdr:col>
      <xdr:colOff>619125</xdr:colOff>
      <xdr:row>37</xdr:row>
      <xdr:rowOff>171450</xdr:rowOff>
    </xdr:to>
    <xdr:pic macro="[0]!Infodaglicht">
      <xdr:nvPicPr>
        <xdr:cNvPr id="2" name="Afbeelding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9270" y="5907405"/>
          <a:ext cx="180975" cy="161925"/>
        </a:xfrm>
        <a:prstGeom prst="rect">
          <a:avLst/>
        </a:prstGeom>
        <a:noFill/>
        <a:ln w="9525">
          <a:noFill/>
          <a:miter lim="800000"/>
          <a:headEnd/>
          <a:tailEnd/>
        </a:ln>
      </xdr:spPr>
    </xdr:pic>
    <xdr:clientData fPrintsWithSheet="0"/>
  </xdr:twoCellAnchor>
  <xdr:twoCellAnchor editAs="oneCell">
    <xdr:from>
      <xdr:col>3</xdr:col>
      <xdr:colOff>518067</xdr:colOff>
      <xdr:row>80</xdr:row>
      <xdr:rowOff>9525</xdr:rowOff>
    </xdr:from>
    <xdr:to>
      <xdr:col>3</xdr:col>
      <xdr:colOff>689103</xdr:colOff>
      <xdr:row>80</xdr:row>
      <xdr:rowOff>171450</xdr:rowOff>
    </xdr:to>
    <xdr:pic macro="[0]!Infoventilatietoevoer">
      <xdr:nvPicPr>
        <xdr:cNvPr id="3" name="Afbeelding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9187" y="10753725"/>
          <a:ext cx="171036" cy="161925"/>
        </a:xfrm>
        <a:prstGeom prst="rect">
          <a:avLst/>
        </a:prstGeom>
        <a:noFill/>
        <a:ln w="9525">
          <a:noFill/>
          <a:miter lim="800000"/>
          <a:headEnd/>
          <a:tailEnd/>
        </a:ln>
      </xdr:spPr>
    </xdr:pic>
    <xdr:clientData fPrintsWithSheet="0"/>
  </xdr:twoCellAnchor>
  <xdr:twoCellAnchor>
    <xdr:from>
      <xdr:col>13</xdr:col>
      <xdr:colOff>683341</xdr:colOff>
      <xdr:row>140</xdr:row>
      <xdr:rowOff>8569</xdr:rowOff>
    </xdr:from>
    <xdr:to>
      <xdr:col>14</xdr:col>
      <xdr:colOff>145304</xdr:colOff>
      <xdr:row>140</xdr:row>
      <xdr:rowOff>180020</xdr:rowOff>
    </xdr:to>
    <xdr:pic macro="[0]!Infooverstroom">
      <xdr:nvPicPr>
        <xdr:cNvPr id="4" name="Afbeelding 2">
          <a:extLst>
            <a:ext uri="{FF2B5EF4-FFF2-40B4-BE49-F238E27FC236}">
              <a16:creationId xmlns:a16="http://schemas.microsoft.com/office/drawing/2014/main" id="{00000000-0008-0000-0200-000004000000}"/>
            </a:ext>
          </a:extLst>
        </xdr:cNvPr>
        <xdr:cNvPicPr>
          <a:picLocks/>
        </xdr:cNvPicPr>
      </xdr:nvPicPr>
      <xdr:blipFill>
        <a:blip xmlns:r="http://schemas.openxmlformats.org/officeDocument/2006/relationships" r:embed="rId3" cstate="print"/>
        <a:srcRect/>
        <a:stretch>
          <a:fillRect/>
        </a:stretch>
      </xdr:blipFill>
      <xdr:spPr bwMode="auto">
        <a:xfrm>
          <a:off x="9789241" y="15881029"/>
          <a:ext cx="193483" cy="171451"/>
        </a:xfrm>
        <a:prstGeom prst="rect">
          <a:avLst/>
        </a:prstGeom>
        <a:noFill/>
        <a:ln w="9525">
          <a:noFill/>
          <a:miter lim="800000"/>
          <a:headEnd/>
          <a:tailEnd/>
        </a:ln>
      </xdr:spPr>
    </xdr:pic>
    <xdr:clientData fPrintsWithSheet="0"/>
  </xdr:twoCellAnchor>
  <xdr:twoCellAnchor editAs="oneCell">
    <xdr:from>
      <xdr:col>3</xdr:col>
      <xdr:colOff>66675</xdr:colOff>
      <xdr:row>179</xdr:row>
      <xdr:rowOff>9525</xdr:rowOff>
    </xdr:from>
    <xdr:to>
      <xdr:col>3</xdr:col>
      <xdr:colOff>247650</xdr:colOff>
      <xdr:row>179</xdr:row>
      <xdr:rowOff>171450</xdr:rowOff>
    </xdr:to>
    <xdr:pic macro="[0]!Infospui">
      <xdr:nvPicPr>
        <xdr:cNvPr id="5" name="Afbeelding 2">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19768185"/>
          <a:ext cx="180975" cy="161925"/>
        </a:xfrm>
        <a:prstGeom prst="rect">
          <a:avLst/>
        </a:prstGeom>
        <a:noFill/>
        <a:ln w="9525">
          <a:noFill/>
          <a:miter lim="800000"/>
          <a:headEnd/>
          <a:tailEnd/>
        </a:ln>
      </xdr:spPr>
    </xdr:pic>
    <xdr:clientData fPrintsWithSheet="0"/>
  </xdr:twoCellAnchor>
  <xdr:twoCellAnchor>
    <xdr:from>
      <xdr:col>4</xdr:col>
      <xdr:colOff>827833</xdr:colOff>
      <xdr:row>117</xdr:row>
      <xdr:rowOff>9524</xdr:rowOff>
    </xdr:from>
    <xdr:to>
      <xdr:col>5</xdr:col>
      <xdr:colOff>150583</xdr:colOff>
      <xdr:row>117</xdr:row>
      <xdr:rowOff>180975</xdr:rowOff>
    </xdr:to>
    <xdr:pic macro="[0]!Infoventilatieafvoer">
      <xdr:nvPicPr>
        <xdr:cNvPr id="6" name="Afbeelding 2">
          <a:extLst>
            <a:ext uri="{FF2B5EF4-FFF2-40B4-BE49-F238E27FC236}">
              <a16:creationId xmlns:a16="http://schemas.microsoft.com/office/drawing/2014/main" id="{00000000-0008-0000-0200-000006000000}"/>
            </a:ext>
          </a:extLst>
        </xdr:cNvPr>
        <xdr:cNvPicPr>
          <a:picLocks/>
        </xdr:cNvPicPr>
      </xdr:nvPicPr>
      <xdr:blipFill>
        <a:blip xmlns:r="http://schemas.openxmlformats.org/officeDocument/2006/relationships" r:embed="rId3" cstate="print"/>
        <a:srcRect/>
        <a:stretch>
          <a:fillRect/>
        </a:stretch>
      </xdr:blipFill>
      <xdr:spPr bwMode="auto">
        <a:xfrm>
          <a:off x="2900473" y="14281784"/>
          <a:ext cx="320970" cy="17145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200-000001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200-000002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37</xdr:row>
          <xdr:rowOff>7620</xdr:rowOff>
        </xdr:from>
        <xdr:to>
          <xdr:col>15</xdr:col>
          <xdr:colOff>792480</xdr:colOff>
          <xdr:row>38</xdr:row>
          <xdr:rowOff>0</xdr:rowOff>
        </xdr:to>
        <xdr:sp macro="" textlink="">
          <xdr:nvSpPr>
            <xdr:cNvPr id="180227" name="Button 9" hidden="1">
              <a:extLst>
                <a:ext uri="{63B3BB69-23CF-44E3-9099-C40C66FF867C}">
                  <a14:compatExt spid="_x0000_s180227"/>
                </a:ext>
                <a:ext uri="{FF2B5EF4-FFF2-40B4-BE49-F238E27FC236}">
                  <a16:creationId xmlns:a16="http://schemas.microsoft.com/office/drawing/2014/main" id="{00000000-0008-0000-0200-000003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179</xdr:row>
          <xdr:rowOff>7620</xdr:rowOff>
        </xdr:from>
        <xdr:to>
          <xdr:col>15</xdr:col>
          <xdr:colOff>746760</xdr:colOff>
          <xdr:row>180</xdr:row>
          <xdr:rowOff>0</xdr:rowOff>
        </xdr:to>
        <xdr:sp macro="" textlink="">
          <xdr:nvSpPr>
            <xdr:cNvPr id="180228" name="Button 11" hidden="1">
              <a:extLst>
                <a:ext uri="{63B3BB69-23CF-44E3-9099-C40C66FF867C}">
                  <a14:compatExt spid="_x0000_s180228"/>
                </a:ext>
                <a:ext uri="{FF2B5EF4-FFF2-40B4-BE49-F238E27FC236}">
                  <a16:creationId xmlns:a16="http://schemas.microsoft.com/office/drawing/2014/main" id="{00000000-0008-0000-0200-000004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70</xdr:row>
      <xdr:rowOff>9525</xdr:rowOff>
    </xdr:from>
    <xdr:to>
      <xdr:col>3</xdr:col>
      <xdr:colOff>581025</xdr:colOff>
      <xdr:row>70</xdr:row>
      <xdr:rowOff>171450</xdr:rowOff>
    </xdr:to>
    <xdr:pic macro="[0]!Infoventilatie">
      <xdr:nvPicPr>
        <xdr:cNvPr id="7" name="Afbeelding 2">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41170" y="9344025"/>
          <a:ext cx="180975" cy="161925"/>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29765"/>
          <a:ext cx="180975" cy="161925"/>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161925</xdr:rowOff>
    </xdr:to>
    <xdr:pic macro="[0]!Infoalgemeen">
      <xdr:nvPicPr>
        <xdr:cNvPr id="9" name="Afbeelding 2">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79245" y="647700"/>
          <a:ext cx="180975" cy="161925"/>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86965" y="3811905"/>
          <a:ext cx="180975" cy="161925"/>
        </a:xfrm>
        <a:prstGeom prst="rect">
          <a:avLst/>
        </a:prstGeom>
        <a:noFill/>
        <a:ln w="9525">
          <a:noFill/>
          <a:miter lim="800000"/>
          <a:headEnd/>
          <a:tailEnd/>
        </a:ln>
      </xdr:spPr>
    </xdr:pic>
    <xdr:clientData fPrintsWithSheet="0"/>
  </xdr:twoCellAnchor>
  <xdr:twoCellAnchor>
    <xdr:from>
      <xdr:col>5</xdr:col>
      <xdr:colOff>380157</xdr:colOff>
      <xdr:row>129</xdr:row>
      <xdr:rowOff>9525</xdr:rowOff>
    </xdr:from>
    <xdr:to>
      <xdr:col>5</xdr:col>
      <xdr:colOff>561974</xdr:colOff>
      <xdr:row>129</xdr:row>
      <xdr:rowOff>141899</xdr:rowOff>
    </xdr:to>
    <xdr:pic macro="[0]!Infoventilatieafvoer">
      <xdr:nvPicPr>
        <xdr:cNvPr id="11" name="Afbeelding 2">
          <a:extLst>
            <a:ext uri="{FF2B5EF4-FFF2-40B4-BE49-F238E27FC236}">
              <a16:creationId xmlns:a16="http://schemas.microsoft.com/office/drawing/2014/main" id="{00000000-0008-0000-0200-00000B000000}"/>
            </a:ext>
          </a:extLst>
        </xdr:cNvPr>
        <xdr:cNvPicPr>
          <a:picLocks/>
        </xdr:cNvPicPr>
      </xdr:nvPicPr>
      <xdr:blipFill>
        <a:blip xmlns:r="http://schemas.openxmlformats.org/officeDocument/2006/relationships" r:embed="rId3" cstate="print"/>
        <a:srcRect/>
        <a:stretch>
          <a:fillRect/>
        </a:stretch>
      </xdr:blipFill>
      <xdr:spPr bwMode="auto">
        <a:xfrm>
          <a:off x="3451017" y="15567660"/>
          <a:ext cx="181817" cy="0"/>
        </a:xfrm>
        <a:prstGeom prst="rect">
          <a:avLst/>
        </a:prstGeom>
        <a:noFill/>
        <a:ln w="9525">
          <a:noFill/>
          <a:miter lim="800000"/>
          <a:headEnd/>
          <a:tailEnd/>
        </a:ln>
      </xdr:spPr>
    </xdr:pic>
    <xdr:clientData fPrintsWithSheet="0"/>
  </xdr:twoCellAnchor>
  <xdr:twoCellAnchor editAs="oneCell">
    <xdr:from>
      <xdr:col>7</xdr:col>
      <xdr:colOff>295955</xdr:colOff>
      <xdr:row>140</xdr:row>
      <xdr:rowOff>0</xdr:rowOff>
    </xdr:from>
    <xdr:to>
      <xdr:col>7</xdr:col>
      <xdr:colOff>449033</xdr:colOff>
      <xdr:row>140</xdr:row>
      <xdr:rowOff>148865</xdr:rowOff>
    </xdr:to>
    <xdr:pic>
      <xdr:nvPicPr>
        <xdr:cNvPr id="12" name="Afbeelding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5"/>
        <a:srcRect l="1" r="-2272" b="18534"/>
        <a:stretch/>
      </xdr:blipFill>
      <xdr:spPr>
        <a:xfrm rot="10800000">
          <a:off x="4829855" y="15872460"/>
          <a:ext cx="153078" cy="148865"/>
        </a:xfrm>
        <a:prstGeom prst="rect">
          <a:avLst/>
        </a:prstGeom>
      </xdr:spPr>
    </xdr:pic>
    <xdr:clientData/>
  </xdr:twoCellAnchor>
  <xdr:twoCellAnchor editAs="oneCell">
    <xdr:from>
      <xdr:col>8</xdr:col>
      <xdr:colOff>413385</xdr:colOff>
      <xdr:row>71</xdr:row>
      <xdr:rowOff>27454</xdr:rowOff>
    </xdr:from>
    <xdr:to>
      <xdr:col>11</xdr:col>
      <xdr:colOff>251191</xdr:colOff>
      <xdr:row>76</xdr:row>
      <xdr:rowOff>151187</xdr:rowOff>
    </xdr:to>
    <xdr:pic>
      <xdr:nvPicPr>
        <xdr:cNvPr id="13" name="Afbeelding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6"/>
        <a:stretch>
          <a:fillRect/>
        </a:stretch>
      </xdr:blipFill>
      <xdr:spPr>
        <a:xfrm>
          <a:off x="5678805" y="9552454"/>
          <a:ext cx="2215246" cy="7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438150</xdr:colOff>
      <xdr:row>37</xdr:row>
      <xdr:rowOff>9525</xdr:rowOff>
    </xdr:from>
    <xdr:to>
      <xdr:col>3</xdr:col>
      <xdr:colOff>624840</xdr:colOff>
      <xdr:row>37</xdr:row>
      <xdr:rowOff>171450</xdr:rowOff>
    </xdr:to>
    <xdr:pic macro="[0]!Infodaglicht">
      <xdr:nvPicPr>
        <xdr:cNvPr id="2" name="Afbeelding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9270" y="5907405"/>
          <a:ext cx="180975" cy="161925"/>
        </a:xfrm>
        <a:prstGeom prst="rect">
          <a:avLst/>
        </a:prstGeom>
        <a:noFill/>
        <a:ln w="9525">
          <a:noFill/>
          <a:miter lim="800000"/>
          <a:headEnd/>
          <a:tailEnd/>
        </a:ln>
      </xdr:spPr>
    </xdr:pic>
    <xdr:clientData fPrintsWithSheet="0"/>
  </xdr:twoCellAnchor>
  <xdr:twoCellAnchor editAs="oneCell">
    <xdr:from>
      <xdr:col>3</xdr:col>
      <xdr:colOff>518067</xdr:colOff>
      <xdr:row>80</xdr:row>
      <xdr:rowOff>9525</xdr:rowOff>
    </xdr:from>
    <xdr:to>
      <xdr:col>3</xdr:col>
      <xdr:colOff>689103</xdr:colOff>
      <xdr:row>80</xdr:row>
      <xdr:rowOff>171450</xdr:rowOff>
    </xdr:to>
    <xdr:pic macro="[0]!Infoventilatietoevoer">
      <xdr:nvPicPr>
        <xdr:cNvPr id="3" name="Afbeelding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9187" y="10753725"/>
          <a:ext cx="171036" cy="161925"/>
        </a:xfrm>
        <a:prstGeom prst="rect">
          <a:avLst/>
        </a:prstGeom>
        <a:noFill/>
        <a:ln w="9525">
          <a:noFill/>
          <a:miter lim="800000"/>
          <a:headEnd/>
          <a:tailEnd/>
        </a:ln>
      </xdr:spPr>
    </xdr:pic>
    <xdr:clientData fPrintsWithSheet="0"/>
  </xdr:twoCellAnchor>
  <xdr:twoCellAnchor>
    <xdr:from>
      <xdr:col>13</xdr:col>
      <xdr:colOff>683341</xdr:colOff>
      <xdr:row>140</xdr:row>
      <xdr:rowOff>8569</xdr:rowOff>
    </xdr:from>
    <xdr:to>
      <xdr:col>14</xdr:col>
      <xdr:colOff>145304</xdr:colOff>
      <xdr:row>140</xdr:row>
      <xdr:rowOff>180020</xdr:rowOff>
    </xdr:to>
    <xdr:pic macro="[0]!Infooverstroom">
      <xdr:nvPicPr>
        <xdr:cNvPr id="4" name="Afbeelding 2">
          <a:extLst>
            <a:ext uri="{FF2B5EF4-FFF2-40B4-BE49-F238E27FC236}">
              <a16:creationId xmlns:a16="http://schemas.microsoft.com/office/drawing/2014/main" id="{00000000-0008-0000-0300-000004000000}"/>
            </a:ext>
          </a:extLst>
        </xdr:cNvPr>
        <xdr:cNvPicPr>
          <a:picLocks/>
        </xdr:cNvPicPr>
      </xdr:nvPicPr>
      <xdr:blipFill>
        <a:blip xmlns:r="http://schemas.openxmlformats.org/officeDocument/2006/relationships" r:embed="rId3" cstate="print"/>
        <a:srcRect/>
        <a:stretch>
          <a:fillRect/>
        </a:stretch>
      </xdr:blipFill>
      <xdr:spPr bwMode="auto">
        <a:xfrm>
          <a:off x="9789241" y="15881029"/>
          <a:ext cx="193483" cy="171451"/>
        </a:xfrm>
        <a:prstGeom prst="rect">
          <a:avLst/>
        </a:prstGeom>
        <a:noFill/>
        <a:ln w="9525">
          <a:noFill/>
          <a:miter lim="800000"/>
          <a:headEnd/>
          <a:tailEnd/>
        </a:ln>
      </xdr:spPr>
    </xdr:pic>
    <xdr:clientData fPrintsWithSheet="0"/>
  </xdr:twoCellAnchor>
  <xdr:twoCellAnchor editAs="oneCell">
    <xdr:from>
      <xdr:col>3</xdr:col>
      <xdr:colOff>66675</xdr:colOff>
      <xdr:row>179</xdr:row>
      <xdr:rowOff>9525</xdr:rowOff>
    </xdr:from>
    <xdr:to>
      <xdr:col>3</xdr:col>
      <xdr:colOff>247650</xdr:colOff>
      <xdr:row>179</xdr:row>
      <xdr:rowOff>171450</xdr:rowOff>
    </xdr:to>
    <xdr:pic macro="[0]!Infospui">
      <xdr:nvPicPr>
        <xdr:cNvPr id="5" name="Afbeelding 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19768185"/>
          <a:ext cx="180975" cy="161925"/>
        </a:xfrm>
        <a:prstGeom prst="rect">
          <a:avLst/>
        </a:prstGeom>
        <a:noFill/>
        <a:ln w="9525">
          <a:noFill/>
          <a:miter lim="800000"/>
          <a:headEnd/>
          <a:tailEnd/>
        </a:ln>
      </xdr:spPr>
    </xdr:pic>
    <xdr:clientData fPrintsWithSheet="0"/>
  </xdr:twoCellAnchor>
  <xdr:twoCellAnchor>
    <xdr:from>
      <xdr:col>4</xdr:col>
      <xdr:colOff>827833</xdr:colOff>
      <xdr:row>117</xdr:row>
      <xdr:rowOff>9524</xdr:rowOff>
    </xdr:from>
    <xdr:to>
      <xdr:col>5</xdr:col>
      <xdr:colOff>150583</xdr:colOff>
      <xdr:row>117</xdr:row>
      <xdr:rowOff>180975</xdr:rowOff>
    </xdr:to>
    <xdr:pic macro="[0]!Infoventilatieafvoer">
      <xdr:nvPicPr>
        <xdr:cNvPr id="6" name="Afbeelding 2">
          <a:extLst>
            <a:ext uri="{FF2B5EF4-FFF2-40B4-BE49-F238E27FC236}">
              <a16:creationId xmlns:a16="http://schemas.microsoft.com/office/drawing/2014/main" id="{00000000-0008-0000-0300-000006000000}"/>
            </a:ext>
          </a:extLst>
        </xdr:cNvPr>
        <xdr:cNvPicPr>
          <a:picLocks/>
        </xdr:cNvPicPr>
      </xdr:nvPicPr>
      <xdr:blipFill>
        <a:blip xmlns:r="http://schemas.openxmlformats.org/officeDocument/2006/relationships" r:embed="rId3" cstate="print"/>
        <a:srcRect/>
        <a:stretch>
          <a:fillRect/>
        </a:stretch>
      </xdr:blipFill>
      <xdr:spPr bwMode="auto">
        <a:xfrm>
          <a:off x="2900473" y="14281784"/>
          <a:ext cx="320970" cy="17145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0300-000001B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79202" name="Button 2" hidden="1">
              <a:extLst>
                <a:ext uri="{63B3BB69-23CF-44E3-9099-C40C66FF867C}">
                  <a14:compatExt spid="_x0000_s179202"/>
                </a:ext>
                <a:ext uri="{FF2B5EF4-FFF2-40B4-BE49-F238E27FC236}">
                  <a16:creationId xmlns:a16="http://schemas.microsoft.com/office/drawing/2014/main" id="{00000000-0008-0000-0300-000002B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37</xdr:row>
          <xdr:rowOff>7620</xdr:rowOff>
        </xdr:from>
        <xdr:to>
          <xdr:col>15</xdr:col>
          <xdr:colOff>792480</xdr:colOff>
          <xdr:row>38</xdr:row>
          <xdr:rowOff>0</xdr:rowOff>
        </xdr:to>
        <xdr:sp macro="" textlink="">
          <xdr:nvSpPr>
            <xdr:cNvPr id="179203" name="Button 9" hidden="1">
              <a:extLst>
                <a:ext uri="{63B3BB69-23CF-44E3-9099-C40C66FF867C}">
                  <a14:compatExt spid="_x0000_s179203"/>
                </a:ext>
                <a:ext uri="{FF2B5EF4-FFF2-40B4-BE49-F238E27FC236}">
                  <a16:creationId xmlns:a16="http://schemas.microsoft.com/office/drawing/2014/main" id="{00000000-0008-0000-0300-000003B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179</xdr:row>
          <xdr:rowOff>7620</xdr:rowOff>
        </xdr:from>
        <xdr:to>
          <xdr:col>15</xdr:col>
          <xdr:colOff>746760</xdr:colOff>
          <xdr:row>180</xdr:row>
          <xdr:rowOff>0</xdr:rowOff>
        </xdr:to>
        <xdr:sp macro="" textlink="">
          <xdr:nvSpPr>
            <xdr:cNvPr id="179204" name="Button 11" hidden="1">
              <a:extLst>
                <a:ext uri="{63B3BB69-23CF-44E3-9099-C40C66FF867C}">
                  <a14:compatExt spid="_x0000_s179204"/>
                </a:ext>
                <a:ext uri="{FF2B5EF4-FFF2-40B4-BE49-F238E27FC236}">
                  <a16:creationId xmlns:a16="http://schemas.microsoft.com/office/drawing/2014/main" id="{00000000-0008-0000-0300-000004B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70</xdr:row>
      <xdr:rowOff>9525</xdr:rowOff>
    </xdr:from>
    <xdr:to>
      <xdr:col>3</xdr:col>
      <xdr:colOff>586740</xdr:colOff>
      <xdr:row>70</xdr:row>
      <xdr:rowOff>171450</xdr:rowOff>
    </xdr:to>
    <xdr:pic macro="[0]!Infoventilatie">
      <xdr:nvPicPr>
        <xdr:cNvPr id="7" name="Afbeelding 2">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41170" y="9344025"/>
          <a:ext cx="180975" cy="161925"/>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29765"/>
          <a:ext cx="180975" cy="161925"/>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167640</xdr:rowOff>
    </xdr:to>
    <xdr:pic macro="[0]!Infoalgemeen">
      <xdr:nvPicPr>
        <xdr:cNvPr id="9" name="Afbeelding 2">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79245" y="647700"/>
          <a:ext cx="180975" cy="161925"/>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86965" y="3811905"/>
          <a:ext cx="180975" cy="161925"/>
        </a:xfrm>
        <a:prstGeom prst="rect">
          <a:avLst/>
        </a:prstGeom>
        <a:noFill/>
        <a:ln w="9525">
          <a:noFill/>
          <a:miter lim="800000"/>
          <a:headEnd/>
          <a:tailEnd/>
        </a:ln>
      </xdr:spPr>
    </xdr:pic>
    <xdr:clientData fPrintsWithSheet="0"/>
  </xdr:twoCellAnchor>
  <xdr:twoCellAnchor>
    <xdr:from>
      <xdr:col>5</xdr:col>
      <xdr:colOff>380157</xdr:colOff>
      <xdr:row>129</xdr:row>
      <xdr:rowOff>9525</xdr:rowOff>
    </xdr:from>
    <xdr:to>
      <xdr:col>5</xdr:col>
      <xdr:colOff>561974</xdr:colOff>
      <xdr:row>129</xdr:row>
      <xdr:rowOff>141899</xdr:rowOff>
    </xdr:to>
    <xdr:pic macro="[0]!Infoventilatieafvoer">
      <xdr:nvPicPr>
        <xdr:cNvPr id="11" name="Afbeelding 2">
          <a:extLst>
            <a:ext uri="{FF2B5EF4-FFF2-40B4-BE49-F238E27FC236}">
              <a16:creationId xmlns:a16="http://schemas.microsoft.com/office/drawing/2014/main" id="{00000000-0008-0000-0300-00000B000000}"/>
            </a:ext>
          </a:extLst>
        </xdr:cNvPr>
        <xdr:cNvPicPr>
          <a:picLocks/>
        </xdr:cNvPicPr>
      </xdr:nvPicPr>
      <xdr:blipFill>
        <a:blip xmlns:r="http://schemas.openxmlformats.org/officeDocument/2006/relationships" r:embed="rId3" cstate="print"/>
        <a:srcRect/>
        <a:stretch>
          <a:fillRect/>
        </a:stretch>
      </xdr:blipFill>
      <xdr:spPr bwMode="auto">
        <a:xfrm>
          <a:off x="3451017" y="15567660"/>
          <a:ext cx="181817" cy="0"/>
        </a:xfrm>
        <a:prstGeom prst="rect">
          <a:avLst/>
        </a:prstGeom>
        <a:noFill/>
        <a:ln w="9525">
          <a:noFill/>
          <a:miter lim="800000"/>
          <a:headEnd/>
          <a:tailEnd/>
        </a:ln>
      </xdr:spPr>
    </xdr:pic>
    <xdr:clientData fPrintsWithSheet="0"/>
  </xdr:twoCellAnchor>
  <xdr:twoCellAnchor editAs="oneCell">
    <xdr:from>
      <xdr:col>7</xdr:col>
      <xdr:colOff>295955</xdr:colOff>
      <xdr:row>140</xdr:row>
      <xdr:rowOff>0</xdr:rowOff>
    </xdr:from>
    <xdr:to>
      <xdr:col>7</xdr:col>
      <xdr:colOff>445223</xdr:colOff>
      <xdr:row>140</xdr:row>
      <xdr:rowOff>148865</xdr:rowOff>
    </xdr:to>
    <xdr:pic>
      <xdr:nvPicPr>
        <xdr:cNvPr id="12" name="Afbeelding 11">
          <a:extLst>
            <a:ext uri="{FF2B5EF4-FFF2-40B4-BE49-F238E27FC236}">
              <a16:creationId xmlns:a16="http://schemas.microsoft.com/office/drawing/2014/main" id="{00000000-0008-0000-0300-00000C000000}"/>
            </a:ext>
          </a:extLst>
        </xdr:cNvPr>
        <xdr:cNvPicPr>
          <a:picLocks noChangeAspect="1"/>
        </xdr:cNvPicPr>
      </xdr:nvPicPr>
      <xdr:blipFill rotWithShape="1">
        <a:blip xmlns:r="http://schemas.openxmlformats.org/officeDocument/2006/relationships" r:embed="rId5"/>
        <a:srcRect l="1" r="-2272" b="18534"/>
        <a:stretch/>
      </xdr:blipFill>
      <xdr:spPr>
        <a:xfrm rot="10800000">
          <a:off x="4829855" y="15872460"/>
          <a:ext cx="153078" cy="148865"/>
        </a:xfrm>
        <a:prstGeom prst="rect">
          <a:avLst/>
        </a:prstGeom>
      </xdr:spPr>
    </xdr:pic>
    <xdr:clientData/>
  </xdr:twoCellAnchor>
  <xdr:twoCellAnchor editAs="oneCell">
    <xdr:from>
      <xdr:col>8</xdr:col>
      <xdr:colOff>413385</xdr:colOff>
      <xdr:row>71</xdr:row>
      <xdr:rowOff>27454</xdr:rowOff>
    </xdr:from>
    <xdr:to>
      <xdr:col>11</xdr:col>
      <xdr:colOff>251191</xdr:colOff>
      <xdr:row>76</xdr:row>
      <xdr:rowOff>151187</xdr:rowOff>
    </xdr:to>
    <xdr:pic>
      <xdr:nvPicPr>
        <xdr:cNvPr id="13" name="Afbeelding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6"/>
        <a:stretch>
          <a:fillRect/>
        </a:stretch>
      </xdr:blipFill>
      <xdr:spPr>
        <a:xfrm>
          <a:off x="5678805" y="9552454"/>
          <a:ext cx="2215246" cy="7333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438150</xdr:colOff>
      <xdr:row>37</xdr:row>
      <xdr:rowOff>9525</xdr:rowOff>
    </xdr:from>
    <xdr:to>
      <xdr:col>3</xdr:col>
      <xdr:colOff>624840</xdr:colOff>
      <xdr:row>37</xdr:row>
      <xdr:rowOff>171450</xdr:rowOff>
    </xdr:to>
    <xdr:pic macro="[0]!Infodaglicht">
      <xdr:nvPicPr>
        <xdr:cNvPr id="2" name="Afbeelding 2">
          <a:extLst>
            <a:ext uri="{FF2B5EF4-FFF2-40B4-BE49-F238E27FC236}">
              <a16:creationId xmlns:a16="http://schemas.microsoft.com/office/drawing/2014/main" id="{2215F840-3B3F-40BA-87B7-8E96F07493B9}"/>
            </a:ext>
          </a:extLst>
        </xdr:cNvPr>
        <xdr:cNvPicPr>
          <a:picLocks noChangeAspect="1"/>
        </xdr:cNvPicPr>
      </xdr:nvPicPr>
      <xdr:blipFill>
        <a:blip xmlns:r="http://schemas.openxmlformats.org/officeDocument/2006/relationships" r:embed="rId1" cstate="print"/>
        <a:srcRect/>
        <a:stretch>
          <a:fillRect/>
        </a:stretch>
      </xdr:blipFill>
      <xdr:spPr bwMode="auto">
        <a:xfrm>
          <a:off x="1779270" y="5907405"/>
          <a:ext cx="186690" cy="161925"/>
        </a:xfrm>
        <a:prstGeom prst="rect">
          <a:avLst/>
        </a:prstGeom>
        <a:noFill/>
        <a:ln w="9525">
          <a:noFill/>
          <a:miter lim="800000"/>
          <a:headEnd/>
          <a:tailEnd/>
        </a:ln>
      </xdr:spPr>
    </xdr:pic>
    <xdr:clientData fPrintsWithSheet="0"/>
  </xdr:twoCellAnchor>
  <xdr:twoCellAnchor editAs="oneCell">
    <xdr:from>
      <xdr:col>3</xdr:col>
      <xdr:colOff>518067</xdr:colOff>
      <xdr:row>80</xdr:row>
      <xdr:rowOff>9525</xdr:rowOff>
    </xdr:from>
    <xdr:to>
      <xdr:col>3</xdr:col>
      <xdr:colOff>689103</xdr:colOff>
      <xdr:row>80</xdr:row>
      <xdr:rowOff>171450</xdr:rowOff>
    </xdr:to>
    <xdr:pic macro="[0]!Infoventilatietoevoer">
      <xdr:nvPicPr>
        <xdr:cNvPr id="3" name="Afbeelding 2">
          <a:extLst>
            <a:ext uri="{FF2B5EF4-FFF2-40B4-BE49-F238E27FC236}">
              <a16:creationId xmlns:a16="http://schemas.microsoft.com/office/drawing/2014/main" id="{7AD25E2C-5B60-4F8A-A081-3518B0A750AF}"/>
            </a:ext>
          </a:extLst>
        </xdr:cNvPr>
        <xdr:cNvPicPr>
          <a:picLocks noChangeAspect="1"/>
        </xdr:cNvPicPr>
      </xdr:nvPicPr>
      <xdr:blipFill>
        <a:blip xmlns:r="http://schemas.openxmlformats.org/officeDocument/2006/relationships" r:embed="rId2" cstate="print"/>
        <a:srcRect/>
        <a:stretch>
          <a:fillRect/>
        </a:stretch>
      </xdr:blipFill>
      <xdr:spPr bwMode="auto">
        <a:xfrm>
          <a:off x="1859187" y="10753725"/>
          <a:ext cx="171036" cy="161925"/>
        </a:xfrm>
        <a:prstGeom prst="rect">
          <a:avLst/>
        </a:prstGeom>
        <a:noFill/>
        <a:ln w="9525">
          <a:noFill/>
          <a:miter lim="800000"/>
          <a:headEnd/>
          <a:tailEnd/>
        </a:ln>
      </xdr:spPr>
    </xdr:pic>
    <xdr:clientData fPrintsWithSheet="0"/>
  </xdr:twoCellAnchor>
  <xdr:twoCellAnchor>
    <xdr:from>
      <xdr:col>13</xdr:col>
      <xdr:colOff>683341</xdr:colOff>
      <xdr:row>140</xdr:row>
      <xdr:rowOff>8569</xdr:rowOff>
    </xdr:from>
    <xdr:to>
      <xdr:col>14</xdr:col>
      <xdr:colOff>145304</xdr:colOff>
      <xdr:row>140</xdr:row>
      <xdr:rowOff>180020</xdr:rowOff>
    </xdr:to>
    <xdr:pic macro="[0]!Infooverstroom">
      <xdr:nvPicPr>
        <xdr:cNvPr id="4" name="Afbeelding 2">
          <a:extLst>
            <a:ext uri="{FF2B5EF4-FFF2-40B4-BE49-F238E27FC236}">
              <a16:creationId xmlns:a16="http://schemas.microsoft.com/office/drawing/2014/main" id="{CDB409FC-D3A3-4707-B929-1E7A3C60D784}"/>
            </a:ext>
          </a:extLst>
        </xdr:cNvPr>
        <xdr:cNvPicPr>
          <a:picLocks/>
        </xdr:cNvPicPr>
      </xdr:nvPicPr>
      <xdr:blipFill>
        <a:blip xmlns:r="http://schemas.openxmlformats.org/officeDocument/2006/relationships" r:embed="rId3" cstate="print"/>
        <a:srcRect/>
        <a:stretch>
          <a:fillRect/>
        </a:stretch>
      </xdr:blipFill>
      <xdr:spPr bwMode="auto">
        <a:xfrm>
          <a:off x="9789241" y="15881029"/>
          <a:ext cx="193483" cy="171451"/>
        </a:xfrm>
        <a:prstGeom prst="rect">
          <a:avLst/>
        </a:prstGeom>
        <a:noFill/>
        <a:ln w="9525">
          <a:noFill/>
          <a:miter lim="800000"/>
          <a:headEnd/>
          <a:tailEnd/>
        </a:ln>
      </xdr:spPr>
    </xdr:pic>
    <xdr:clientData fPrintsWithSheet="0"/>
  </xdr:twoCellAnchor>
  <xdr:twoCellAnchor editAs="oneCell">
    <xdr:from>
      <xdr:col>3</xdr:col>
      <xdr:colOff>66675</xdr:colOff>
      <xdr:row>179</xdr:row>
      <xdr:rowOff>9525</xdr:rowOff>
    </xdr:from>
    <xdr:to>
      <xdr:col>3</xdr:col>
      <xdr:colOff>247650</xdr:colOff>
      <xdr:row>179</xdr:row>
      <xdr:rowOff>171450</xdr:rowOff>
    </xdr:to>
    <xdr:pic macro="[0]!Infospui">
      <xdr:nvPicPr>
        <xdr:cNvPr id="5" name="Afbeelding 2">
          <a:extLst>
            <a:ext uri="{FF2B5EF4-FFF2-40B4-BE49-F238E27FC236}">
              <a16:creationId xmlns:a16="http://schemas.microsoft.com/office/drawing/2014/main" id="{63078C08-A32E-4E5C-AAC3-311C04C87B0A}"/>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19768185"/>
          <a:ext cx="180975" cy="161925"/>
        </a:xfrm>
        <a:prstGeom prst="rect">
          <a:avLst/>
        </a:prstGeom>
        <a:noFill/>
        <a:ln w="9525">
          <a:noFill/>
          <a:miter lim="800000"/>
          <a:headEnd/>
          <a:tailEnd/>
        </a:ln>
      </xdr:spPr>
    </xdr:pic>
    <xdr:clientData fPrintsWithSheet="0"/>
  </xdr:twoCellAnchor>
  <xdr:twoCellAnchor>
    <xdr:from>
      <xdr:col>4</xdr:col>
      <xdr:colOff>827833</xdr:colOff>
      <xdr:row>117</xdr:row>
      <xdr:rowOff>9524</xdr:rowOff>
    </xdr:from>
    <xdr:to>
      <xdr:col>5</xdr:col>
      <xdr:colOff>150583</xdr:colOff>
      <xdr:row>117</xdr:row>
      <xdr:rowOff>180975</xdr:rowOff>
    </xdr:to>
    <xdr:pic macro="[0]!Infoventilatieafvoer">
      <xdr:nvPicPr>
        <xdr:cNvPr id="6" name="Afbeelding 2">
          <a:extLst>
            <a:ext uri="{FF2B5EF4-FFF2-40B4-BE49-F238E27FC236}">
              <a16:creationId xmlns:a16="http://schemas.microsoft.com/office/drawing/2014/main" id="{59CAF44A-3390-4FB4-AE99-0FEF9B088849}"/>
            </a:ext>
          </a:extLst>
        </xdr:cNvPr>
        <xdr:cNvPicPr>
          <a:picLocks/>
        </xdr:cNvPicPr>
      </xdr:nvPicPr>
      <xdr:blipFill>
        <a:blip xmlns:r="http://schemas.openxmlformats.org/officeDocument/2006/relationships" r:embed="rId3" cstate="print"/>
        <a:srcRect/>
        <a:stretch>
          <a:fillRect/>
        </a:stretch>
      </xdr:blipFill>
      <xdr:spPr bwMode="auto">
        <a:xfrm>
          <a:off x="2900473" y="14281784"/>
          <a:ext cx="320970" cy="17145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58C0A419-F293-4325-B421-2E144062150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2096E7FC-316E-481D-B74F-83B572E7D0B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37</xdr:row>
          <xdr:rowOff>7620</xdr:rowOff>
        </xdr:from>
        <xdr:to>
          <xdr:col>15</xdr:col>
          <xdr:colOff>792480</xdr:colOff>
          <xdr:row>38</xdr:row>
          <xdr:rowOff>0</xdr:rowOff>
        </xdr:to>
        <xdr:sp macro="" textlink="">
          <xdr:nvSpPr>
            <xdr:cNvPr id="195587" name="Button 9" hidden="1">
              <a:extLst>
                <a:ext uri="{63B3BB69-23CF-44E3-9099-C40C66FF867C}">
                  <a14:compatExt spid="_x0000_s195587"/>
                </a:ext>
                <a:ext uri="{FF2B5EF4-FFF2-40B4-BE49-F238E27FC236}">
                  <a16:creationId xmlns:a16="http://schemas.microsoft.com/office/drawing/2014/main" id="{14CCB85E-2C85-47A6-AC3F-038E1F70AD7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179</xdr:row>
          <xdr:rowOff>7620</xdr:rowOff>
        </xdr:from>
        <xdr:to>
          <xdr:col>15</xdr:col>
          <xdr:colOff>746760</xdr:colOff>
          <xdr:row>180</xdr:row>
          <xdr:rowOff>0</xdr:rowOff>
        </xdr:to>
        <xdr:sp macro="" textlink="">
          <xdr:nvSpPr>
            <xdr:cNvPr id="195588" name="Button 11" hidden="1">
              <a:extLst>
                <a:ext uri="{63B3BB69-23CF-44E3-9099-C40C66FF867C}">
                  <a14:compatExt spid="_x0000_s195588"/>
                </a:ext>
                <a:ext uri="{FF2B5EF4-FFF2-40B4-BE49-F238E27FC236}">
                  <a16:creationId xmlns:a16="http://schemas.microsoft.com/office/drawing/2014/main" id="{F29872F6-F483-433D-8183-C03F9C9BE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70</xdr:row>
      <xdr:rowOff>9525</xdr:rowOff>
    </xdr:from>
    <xdr:to>
      <xdr:col>3</xdr:col>
      <xdr:colOff>586740</xdr:colOff>
      <xdr:row>70</xdr:row>
      <xdr:rowOff>171450</xdr:rowOff>
    </xdr:to>
    <xdr:pic macro="[0]!Infoventilatie">
      <xdr:nvPicPr>
        <xdr:cNvPr id="7" name="Afbeelding 2">
          <a:extLst>
            <a:ext uri="{FF2B5EF4-FFF2-40B4-BE49-F238E27FC236}">
              <a16:creationId xmlns:a16="http://schemas.microsoft.com/office/drawing/2014/main" id="{E38A6353-0319-4D9E-A7A7-EFB5497C6D30}"/>
            </a:ext>
          </a:extLst>
        </xdr:cNvPr>
        <xdr:cNvPicPr>
          <a:picLocks noChangeAspect="1"/>
        </xdr:cNvPicPr>
      </xdr:nvPicPr>
      <xdr:blipFill>
        <a:blip xmlns:r="http://schemas.openxmlformats.org/officeDocument/2006/relationships" r:embed="rId1" cstate="print"/>
        <a:srcRect/>
        <a:stretch>
          <a:fillRect/>
        </a:stretch>
      </xdr:blipFill>
      <xdr:spPr bwMode="auto">
        <a:xfrm>
          <a:off x="1741170" y="9344025"/>
          <a:ext cx="186690" cy="161925"/>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58CAE389-6E57-4821-8B2A-C07149B79AEF}"/>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29765"/>
          <a:ext cx="180975" cy="161925"/>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167640</xdr:rowOff>
    </xdr:to>
    <xdr:pic macro="[0]!Infoalgemeen">
      <xdr:nvPicPr>
        <xdr:cNvPr id="9" name="Afbeelding 2">
          <a:extLst>
            <a:ext uri="{FF2B5EF4-FFF2-40B4-BE49-F238E27FC236}">
              <a16:creationId xmlns:a16="http://schemas.microsoft.com/office/drawing/2014/main" id="{5240D524-1ABD-4A65-88CE-EA79B42772EC}"/>
            </a:ext>
          </a:extLst>
        </xdr:cNvPr>
        <xdr:cNvPicPr>
          <a:picLocks noChangeAspect="1"/>
        </xdr:cNvPicPr>
      </xdr:nvPicPr>
      <xdr:blipFill>
        <a:blip xmlns:r="http://schemas.openxmlformats.org/officeDocument/2006/relationships" r:embed="rId1" cstate="print"/>
        <a:srcRect/>
        <a:stretch>
          <a:fillRect/>
        </a:stretch>
      </xdr:blipFill>
      <xdr:spPr bwMode="auto">
        <a:xfrm>
          <a:off x="1579245" y="647700"/>
          <a:ext cx="180975" cy="167640"/>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4E60A951-A628-4912-8D8C-B1AB2C779850}"/>
            </a:ext>
          </a:extLst>
        </xdr:cNvPr>
        <xdr:cNvPicPr>
          <a:picLocks noChangeAspect="1"/>
        </xdr:cNvPicPr>
      </xdr:nvPicPr>
      <xdr:blipFill>
        <a:blip xmlns:r="http://schemas.openxmlformats.org/officeDocument/2006/relationships" r:embed="rId1" cstate="print"/>
        <a:srcRect/>
        <a:stretch>
          <a:fillRect/>
        </a:stretch>
      </xdr:blipFill>
      <xdr:spPr bwMode="auto">
        <a:xfrm>
          <a:off x="2386965" y="3811905"/>
          <a:ext cx="180975" cy="161925"/>
        </a:xfrm>
        <a:prstGeom prst="rect">
          <a:avLst/>
        </a:prstGeom>
        <a:noFill/>
        <a:ln w="9525">
          <a:noFill/>
          <a:miter lim="800000"/>
          <a:headEnd/>
          <a:tailEnd/>
        </a:ln>
      </xdr:spPr>
    </xdr:pic>
    <xdr:clientData fPrintsWithSheet="0"/>
  </xdr:twoCellAnchor>
  <xdr:twoCellAnchor>
    <xdr:from>
      <xdr:col>5</xdr:col>
      <xdr:colOff>380157</xdr:colOff>
      <xdr:row>129</xdr:row>
      <xdr:rowOff>9525</xdr:rowOff>
    </xdr:from>
    <xdr:to>
      <xdr:col>5</xdr:col>
      <xdr:colOff>561974</xdr:colOff>
      <xdr:row>129</xdr:row>
      <xdr:rowOff>141899</xdr:rowOff>
    </xdr:to>
    <xdr:pic macro="[0]!Infoventilatieafvoer">
      <xdr:nvPicPr>
        <xdr:cNvPr id="11" name="Afbeelding 2">
          <a:extLst>
            <a:ext uri="{FF2B5EF4-FFF2-40B4-BE49-F238E27FC236}">
              <a16:creationId xmlns:a16="http://schemas.microsoft.com/office/drawing/2014/main" id="{29B72715-BFEB-4D59-9642-B594F11C6462}"/>
            </a:ext>
          </a:extLst>
        </xdr:cNvPr>
        <xdr:cNvPicPr>
          <a:picLocks/>
        </xdr:cNvPicPr>
      </xdr:nvPicPr>
      <xdr:blipFill>
        <a:blip xmlns:r="http://schemas.openxmlformats.org/officeDocument/2006/relationships" r:embed="rId3" cstate="print"/>
        <a:srcRect/>
        <a:stretch>
          <a:fillRect/>
        </a:stretch>
      </xdr:blipFill>
      <xdr:spPr bwMode="auto">
        <a:xfrm>
          <a:off x="3451017" y="15567660"/>
          <a:ext cx="181817" cy="0"/>
        </a:xfrm>
        <a:prstGeom prst="rect">
          <a:avLst/>
        </a:prstGeom>
        <a:noFill/>
        <a:ln w="9525">
          <a:noFill/>
          <a:miter lim="800000"/>
          <a:headEnd/>
          <a:tailEnd/>
        </a:ln>
      </xdr:spPr>
    </xdr:pic>
    <xdr:clientData fPrintsWithSheet="0"/>
  </xdr:twoCellAnchor>
  <xdr:twoCellAnchor editAs="oneCell">
    <xdr:from>
      <xdr:col>7</xdr:col>
      <xdr:colOff>295955</xdr:colOff>
      <xdr:row>140</xdr:row>
      <xdr:rowOff>0</xdr:rowOff>
    </xdr:from>
    <xdr:to>
      <xdr:col>7</xdr:col>
      <xdr:colOff>437603</xdr:colOff>
      <xdr:row>140</xdr:row>
      <xdr:rowOff>148865</xdr:rowOff>
    </xdr:to>
    <xdr:pic>
      <xdr:nvPicPr>
        <xdr:cNvPr id="12" name="Afbeelding 11">
          <a:extLst>
            <a:ext uri="{FF2B5EF4-FFF2-40B4-BE49-F238E27FC236}">
              <a16:creationId xmlns:a16="http://schemas.microsoft.com/office/drawing/2014/main" id="{AB4564D2-D816-4FDF-9E51-16C136402EF9}"/>
            </a:ext>
          </a:extLst>
        </xdr:cNvPr>
        <xdr:cNvPicPr>
          <a:picLocks noChangeAspect="1"/>
        </xdr:cNvPicPr>
      </xdr:nvPicPr>
      <xdr:blipFill rotWithShape="1">
        <a:blip xmlns:r="http://schemas.openxmlformats.org/officeDocument/2006/relationships" r:embed="rId5"/>
        <a:srcRect l="1" r="-2272" b="18534"/>
        <a:stretch/>
      </xdr:blipFill>
      <xdr:spPr>
        <a:xfrm rot="10800000">
          <a:off x="4829855" y="15872460"/>
          <a:ext cx="149268" cy="148865"/>
        </a:xfrm>
        <a:prstGeom prst="rect">
          <a:avLst/>
        </a:prstGeom>
      </xdr:spPr>
    </xdr:pic>
    <xdr:clientData/>
  </xdr:twoCellAnchor>
  <xdr:twoCellAnchor editAs="oneCell">
    <xdr:from>
      <xdr:col>8</xdr:col>
      <xdr:colOff>413385</xdr:colOff>
      <xdr:row>71</xdr:row>
      <xdr:rowOff>27454</xdr:rowOff>
    </xdr:from>
    <xdr:to>
      <xdr:col>11</xdr:col>
      <xdr:colOff>251191</xdr:colOff>
      <xdr:row>76</xdr:row>
      <xdr:rowOff>151187</xdr:rowOff>
    </xdr:to>
    <xdr:pic>
      <xdr:nvPicPr>
        <xdr:cNvPr id="13" name="Afbeelding 12">
          <a:extLst>
            <a:ext uri="{FF2B5EF4-FFF2-40B4-BE49-F238E27FC236}">
              <a16:creationId xmlns:a16="http://schemas.microsoft.com/office/drawing/2014/main" id="{5F913303-944B-4C0C-91E5-3F3C0C684DF2}"/>
            </a:ext>
          </a:extLst>
        </xdr:cNvPr>
        <xdr:cNvPicPr>
          <a:picLocks noChangeAspect="1"/>
        </xdr:cNvPicPr>
      </xdr:nvPicPr>
      <xdr:blipFill>
        <a:blip xmlns:r="http://schemas.openxmlformats.org/officeDocument/2006/relationships" r:embed="rId6"/>
        <a:stretch>
          <a:fillRect/>
        </a:stretch>
      </xdr:blipFill>
      <xdr:spPr>
        <a:xfrm>
          <a:off x="5678805" y="9552454"/>
          <a:ext cx="2215246" cy="7333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438150</xdr:colOff>
      <xdr:row>37</xdr:row>
      <xdr:rowOff>9525</xdr:rowOff>
    </xdr:from>
    <xdr:to>
      <xdr:col>3</xdr:col>
      <xdr:colOff>624840</xdr:colOff>
      <xdr:row>37</xdr:row>
      <xdr:rowOff>171450</xdr:rowOff>
    </xdr:to>
    <xdr:pic macro="[0]!Infodaglicht">
      <xdr:nvPicPr>
        <xdr:cNvPr id="2" name="Afbeelding 2">
          <a:extLst>
            <a:ext uri="{FF2B5EF4-FFF2-40B4-BE49-F238E27FC236}">
              <a16:creationId xmlns:a16="http://schemas.microsoft.com/office/drawing/2014/main" id="{FCFEFC83-D3FC-41A1-B298-3C0A38E22D4F}"/>
            </a:ext>
          </a:extLst>
        </xdr:cNvPr>
        <xdr:cNvPicPr>
          <a:picLocks noChangeAspect="1"/>
        </xdr:cNvPicPr>
      </xdr:nvPicPr>
      <xdr:blipFill>
        <a:blip xmlns:r="http://schemas.openxmlformats.org/officeDocument/2006/relationships" r:embed="rId1" cstate="print"/>
        <a:srcRect/>
        <a:stretch>
          <a:fillRect/>
        </a:stretch>
      </xdr:blipFill>
      <xdr:spPr bwMode="auto">
        <a:xfrm>
          <a:off x="1777365" y="5916930"/>
          <a:ext cx="194310" cy="156210"/>
        </a:xfrm>
        <a:prstGeom prst="rect">
          <a:avLst/>
        </a:prstGeom>
        <a:noFill/>
        <a:ln w="9525">
          <a:noFill/>
          <a:miter lim="800000"/>
          <a:headEnd/>
          <a:tailEnd/>
        </a:ln>
      </xdr:spPr>
    </xdr:pic>
    <xdr:clientData fPrintsWithSheet="0"/>
  </xdr:twoCellAnchor>
  <xdr:twoCellAnchor editAs="oneCell">
    <xdr:from>
      <xdr:col>3</xdr:col>
      <xdr:colOff>518067</xdr:colOff>
      <xdr:row>80</xdr:row>
      <xdr:rowOff>9525</xdr:rowOff>
    </xdr:from>
    <xdr:to>
      <xdr:col>3</xdr:col>
      <xdr:colOff>689103</xdr:colOff>
      <xdr:row>80</xdr:row>
      <xdr:rowOff>171450</xdr:rowOff>
    </xdr:to>
    <xdr:pic macro="[0]!Infoventilatietoevoer">
      <xdr:nvPicPr>
        <xdr:cNvPr id="3" name="Afbeelding 2">
          <a:extLst>
            <a:ext uri="{FF2B5EF4-FFF2-40B4-BE49-F238E27FC236}">
              <a16:creationId xmlns:a16="http://schemas.microsoft.com/office/drawing/2014/main" id="{875A231A-A764-4AA0-A67E-C25AD09194EA}"/>
            </a:ext>
          </a:extLst>
        </xdr:cNvPr>
        <xdr:cNvPicPr>
          <a:picLocks noChangeAspect="1"/>
        </xdr:cNvPicPr>
      </xdr:nvPicPr>
      <xdr:blipFill>
        <a:blip xmlns:r="http://schemas.openxmlformats.org/officeDocument/2006/relationships" r:embed="rId2" cstate="print"/>
        <a:srcRect/>
        <a:stretch>
          <a:fillRect/>
        </a:stretch>
      </xdr:blipFill>
      <xdr:spPr bwMode="auto">
        <a:xfrm>
          <a:off x="1857282" y="10765155"/>
          <a:ext cx="174846" cy="156210"/>
        </a:xfrm>
        <a:prstGeom prst="rect">
          <a:avLst/>
        </a:prstGeom>
        <a:noFill/>
        <a:ln w="9525">
          <a:noFill/>
          <a:miter lim="800000"/>
          <a:headEnd/>
          <a:tailEnd/>
        </a:ln>
      </xdr:spPr>
    </xdr:pic>
    <xdr:clientData fPrintsWithSheet="0"/>
  </xdr:twoCellAnchor>
  <xdr:twoCellAnchor>
    <xdr:from>
      <xdr:col>13</xdr:col>
      <xdr:colOff>683341</xdr:colOff>
      <xdr:row>140</xdr:row>
      <xdr:rowOff>8569</xdr:rowOff>
    </xdr:from>
    <xdr:to>
      <xdr:col>14</xdr:col>
      <xdr:colOff>145304</xdr:colOff>
      <xdr:row>140</xdr:row>
      <xdr:rowOff>180020</xdr:rowOff>
    </xdr:to>
    <xdr:pic macro="[0]!Infooverstroom">
      <xdr:nvPicPr>
        <xdr:cNvPr id="4" name="Afbeelding 2">
          <a:extLst>
            <a:ext uri="{FF2B5EF4-FFF2-40B4-BE49-F238E27FC236}">
              <a16:creationId xmlns:a16="http://schemas.microsoft.com/office/drawing/2014/main" id="{F68DAA90-2A86-417D-88E6-44AAA4DBB6A9}"/>
            </a:ext>
          </a:extLst>
        </xdr:cNvPr>
        <xdr:cNvPicPr>
          <a:picLocks/>
        </xdr:cNvPicPr>
      </xdr:nvPicPr>
      <xdr:blipFill>
        <a:blip xmlns:r="http://schemas.openxmlformats.org/officeDocument/2006/relationships" r:embed="rId3" cstate="print"/>
        <a:srcRect/>
        <a:stretch>
          <a:fillRect/>
        </a:stretch>
      </xdr:blipFill>
      <xdr:spPr bwMode="auto">
        <a:xfrm>
          <a:off x="9808291" y="15888649"/>
          <a:ext cx="193483" cy="167641"/>
        </a:xfrm>
        <a:prstGeom prst="rect">
          <a:avLst/>
        </a:prstGeom>
        <a:noFill/>
        <a:ln w="9525">
          <a:noFill/>
          <a:miter lim="800000"/>
          <a:headEnd/>
          <a:tailEnd/>
        </a:ln>
      </xdr:spPr>
    </xdr:pic>
    <xdr:clientData fPrintsWithSheet="0"/>
  </xdr:twoCellAnchor>
  <xdr:twoCellAnchor editAs="oneCell">
    <xdr:from>
      <xdr:col>3</xdr:col>
      <xdr:colOff>66675</xdr:colOff>
      <xdr:row>179</xdr:row>
      <xdr:rowOff>9525</xdr:rowOff>
    </xdr:from>
    <xdr:to>
      <xdr:col>3</xdr:col>
      <xdr:colOff>247650</xdr:colOff>
      <xdr:row>179</xdr:row>
      <xdr:rowOff>171450</xdr:rowOff>
    </xdr:to>
    <xdr:pic macro="[0]!Infospui">
      <xdr:nvPicPr>
        <xdr:cNvPr id="5" name="Afbeelding 2">
          <a:extLst>
            <a:ext uri="{FF2B5EF4-FFF2-40B4-BE49-F238E27FC236}">
              <a16:creationId xmlns:a16="http://schemas.microsoft.com/office/drawing/2014/main" id="{5521DA2F-27E3-4B5A-A1FD-A9D0B7895B5B}"/>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19775805"/>
          <a:ext cx="179070" cy="156210"/>
        </a:xfrm>
        <a:prstGeom prst="rect">
          <a:avLst/>
        </a:prstGeom>
        <a:noFill/>
        <a:ln w="9525">
          <a:noFill/>
          <a:miter lim="800000"/>
          <a:headEnd/>
          <a:tailEnd/>
        </a:ln>
      </xdr:spPr>
    </xdr:pic>
    <xdr:clientData fPrintsWithSheet="0"/>
  </xdr:twoCellAnchor>
  <xdr:twoCellAnchor>
    <xdr:from>
      <xdr:col>4</xdr:col>
      <xdr:colOff>827833</xdr:colOff>
      <xdr:row>117</xdr:row>
      <xdr:rowOff>9524</xdr:rowOff>
    </xdr:from>
    <xdr:to>
      <xdr:col>5</xdr:col>
      <xdr:colOff>150583</xdr:colOff>
      <xdr:row>117</xdr:row>
      <xdr:rowOff>180975</xdr:rowOff>
    </xdr:to>
    <xdr:pic macro="[0]!Infoventilatieafvoer">
      <xdr:nvPicPr>
        <xdr:cNvPr id="6" name="Afbeelding 2">
          <a:extLst>
            <a:ext uri="{FF2B5EF4-FFF2-40B4-BE49-F238E27FC236}">
              <a16:creationId xmlns:a16="http://schemas.microsoft.com/office/drawing/2014/main" id="{24E28C87-A311-4C86-9DC7-9E48C97249E4}"/>
            </a:ext>
          </a:extLst>
        </xdr:cNvPr>
        <xdr:cNvPicPr>
          <a:picLocks/>
        </xdr:cNvPicPr>
      </xdr:nvPicPr>
      <xdr:blipFill>
        <a:blip xmlns:r="http://schemas.openxmlformats.org/officeDocument/2006/relationships" r:embed="rId3" cstate="print"/>
        <a:srcRect/>
        <a:stretch>
          <a:fillRect/>
        </a:stretch>
      </xdr:blipFill>
      <xdr:spPr bwMode="auto">
        <a:xfrm>
          <a:off x="2902378" y="14289404"/>
          <a:ext cx="324780" cy="16764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4D11DCD2-9F74-4FC7-BE08-A24D8BEE76E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117E870C-D14B-4AF9-8ADA-318A1F7C14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37</xdr:row>
          <xdr:rowOff>7620</xdr:rowOff>
        </xdr:from>
        <xdr:to>
          <xdr:col>15</xdr:col>
          <xdr:colOff>792480</xdr:colOff>
          <xdr:row>38</xdr:row>
          <xdr:rowOff>0</xdr:rowOff>
        </xdr:to>
        <xdr:sp macro="" textlink="">
          <xdr:nvSpPr>
            <xdr:cNvPr id="202755" name="Button 9" hidden="1">
              <a:extLst>
                <a:ext uri="{63B3BB69-23CF-44E3-9099-C40C66FF867C}">
                  <a14:compatExt spid="_x0000_s202755"/>
                </a:ext>
                <a:ext uri="{FF2B5EF4-FFF2-40B4-BE49-F238E27FC236}">
                  <a16:creationId xmlns:a16="http://schemas.microsoft.com/office/drawing/2014/main" id="{36413A9B-7C8B-42AA-8962-5E37989DC5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179</xdr:row>
          <xdr:rowOff>7620</xdr:rowOff>
        </xdr:from>
        <xdr:to>
          <xdr:col>15</xdr:col>
          <xdr:colOff>746760</xdr:colOff>
          <xdr:row>180</xdr:row>
          <xdr:rowOff>0</xdr:rowOff>
        </xdr:to>
        <xdr:sp macro="" textlink="">
          <xdr:nvSpPr>
            <xdr:cNvPr id="202756" name="Button 11" hidden="1">
              <a:extLst>
                <a:ext uri="{63B3BB69-23CF-44E3-9099-C40C66FF867C}">
                  <a14:compatExt spid="_x0000_s202756"/>
                </a:ext>
                <a:ext uri="{FF2B5EF4-FFF2-40B4-BE49-F238E27FC236}">
                  <a16:creationId xmlns:a16="http://schemas.microsoft.com/office/drawing/2014/main" id="{0FED4AD4-1023-49E6-93EE-B1AED3E0E78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70</xdr:row>
      <xdr:rowOff>9525</xdr:rowOff>
    </xdr:from>
    <xdr:to>
      <xdr:col>3</xdr:col>
      <xdr:colOff>586740</xdr:colOff>
      <xdr:row>70</xdr:row>
      <xdr:rowOff>171450</xdr:rowOff>
    </xdr:to>
    <xdr:pic macro="[0]!Infoventilatie">
      <xdr:nvPicPr>
        <xdr:cNvPr id="7" name="Afbeelding 2">
          <a:extLst>
            <a:ext uri="{FF2B5EF4-FFF2-40B4-BE49-F238E27FC236}">
              <a16:creationId xmlns:a16="http://schemas.microsoft.com/office/drawing/2014/main" id="{0211BD1F-DD09-4056-A52B-3BC37BFA76A1}"/>
            </a:ext>
          </a:extLst>
        </xdr:cNvPr>
        <xdr:cNvPicPr>
          <a:picLocks noChangeAspect="1"/>
        </xdr:cNvPicPr>
      </xdr:nvPicPr>
      <xdr:blipFill>
        <a:blip xmlns:r="http://schemas.openxmlformats.org/officeDocument/2006/relationships" r:embed="rId1" cstate="print"/>
        <a:srcRect/>
        <a:stretch>
          <a:fillRect/>
        </a:stretch>
      </xdr:blipFill>
      <xdr:spPr bwMode="auto">
        <a:xfrm>
          <a:off x="1739265" y="9355455"/>
          <a:ext cx="194310" cy="156210"/>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2A42E5B2-E5E5-4D14-BE71-9FCDB3090CA9}"/>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35480"/>
          <a:ext cx="179070" cy="156210"/>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167640</xdr:rowOff>
    </xdr:to>
    <xdr:pic macro="[0]!Infoalgemeen">
      <xdr:nvPicPr>
        <xdr:cNvPr id="9" name="Afbeelding 2">
          <a:extLst>
            <a:ext uri="{FF2B5EF4-FFF2-40B4-BE49-F238E27FC236}">
              <a16:creationId xmlns:a16="http://schemas.microsoft.com/office/drawing/2014/main" id="{A83250E1-9C5A-4DF7-93D5-4A0C220ECA19}"/>
            </a:ext>
          </a:extLst>
        </xdr:cNvPr>
        <xdr:cNvPicPr>
          <a:picLocks noChangeAspect="1"/>
        </xdr:cNvPicPr>
      </xdr:nvPicPr>
      <xdr:blipFill>
        <a:blip xmlns:r="http://schemas.openxmlformats.org/officeDocument/2006/relationships" r:embed="rId1" cstate="print"/>
        <a:srcRect/>
        <a:stretch>
          <a:fillRect/>
        </a:stretch>
      </xdr:blipFill>
      <xdr:spPr bwMode="auto">
        <a:xfrm>
          <a:off x="1583055" y="647700"/>
          <a:ext cx="179070" cy="171450"/>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CA048AD-A763-415C-AFB5-8F3B5686496B}"/>
            </a:ext>
          </a:extLst>
        </xdr:cNvPr>
        <xdr:cNvPicPr>
          <a:picLocks noChangeAspect="1"/>
        </xdr:cNvPicPr>
      </xdr:nvPicPr>
      <xdr:blipFill>
        <a:blip xmlns:r="http://schemas.openxmlformats.org/officeDocument/2006/relationships" r:embed="rId1" cstate="print"/>
        <a:srcRect/>
        <a:stretch>
          <a:fillRect/>
        </a:stretch>
      </xdr:blipFill>
      <xdr:spPr bwMode="auto">
        <a:xfrm>
          <a:off x="2392680" y="3821430"/>
          <a:ext cx="179070" cy="156210"/>
        </a:xfrm>
        <a:prstGeom prst="rect">
          <a:avLst/>
        </a:prstGeom>
        <a:noFill/>
        <a:ln w="9525">
          <a:noFill/>
          <a:miter lim="800000"/>
          <a:headEnd/>
          <a:tailEnd/>
        </a:ln>
      </xdr:spPr>
    </xdr:pic>
    <xdr:clientData fPrintsWithSheet="0"/>
  </xdr:twoCellAnchor>
  <xdr:twoCellAnchor>
    <xdr:from>
      <xdr:col>5</xdr:col>
      <xdr:colOff>380157</xdr:colOff>
      <xdr:row>129</xdr:row>
      <xdr:rowOff>9525</xdr:rowOff>
    </xdr:from>
    <xdr:to>
      <xdr:col>5</xdr:col>
      <xdr:colOff>561974</xdr:colOff>
      <xdr:row>129</xdr:row>
      <xdr:rowOff>141899</xdr:rowOff>
    </xdr:to>
    <xdr:pic macro="[0]!Infoventilatieafvoer">
      <xdr:nvPicPr>
        <xdr:cNvPr id="11" name="Afbeelding 2">
          <a:extLst>
            <a:ext uri="{FF2B5EF4-FFF2-40B4-BE49-F238E27FC236}">
              <a16:creationId xmlns:a16="http://schemas.microsoft.com/office/drawing/2014/main" id="{09D6B0AD-E86C-42A9-9949-F13DD4DA5689}"/>
            </a:ext>
          </a:extLst>
        </xdr:cNvPr>
        <xdr:cNvPicPr>
          <a:picLocks/>
        </xdr:cNvPicPr>
      </xdr:nvPicPr>
      <xdr:blipFill>
        <a:blip xmlns:r="http://schemas.openxmlformats.org/officeDocument/2006/relationships" r:embed="rId3" cstate="print"/>
        <a:srcRect/>
        <a:stretch>
          <a:fillRect/>
        </a:stretch>
      </xdr:blipFill>
      <xdr:spPr bwMode="auto">
        <a:xfrm>
          <a:off x="3456732" y="15573375"/>
          <a:ext cx="179912" cy="0"/>
        </a:xfrm>
        <a:prstGeom prst="rect">
          <a:avLst/>
        </a:prstGeom>
        <a:noFill/>
        <a:ln w="9525">
          <a:noFill/>
          <a:miter lim="800000"/>
          <a:headEnd/>
          <a:tailEnd/>
        </a:ln>
      </xdr:spPr>
    </xdr:pic>
    <xdr:clientData fPrintsWithSheet="0"/>
  </xdr:twoCellAnchor>
  <xdr:twoCellAnchor editAs="oneCell">
    <xdr:from>
      <xdr:col>7</xdr:col>
      <xdr:colOff>295955</xdr:colOff>
      <xdr:row>140</xdr:row>
      <xdr:rowOff>0</xdr:rowOff>
    </xdr:from>
    <xdr:to>
      <xdr:col>7</xdr:col>
      <xdr:colOff>437603</xdr:colOff>
      <xdr:row>140</xdr:row>
      <xdr:rowOff>148865</xdr:rowOff>
    </xdr:to>
    <xdr:pic>
      <xdr:nvPicPr>
        <xdr:cNvPr id="12" name="Afbeelding 11">
          <a:extLst>
            <a:ext uri="{FF2B5EF4-FFF2-40B4-BE49-F238E27FC236}">
              <a16:creationId xmlns:a16="http://schemas.microsoft.com/office/drawing/2014/main" id="{35D880AA-4EFD-4757-A1CB-22401565CC87}"/>
            </a:ext>
          </a:extLst>
        </xdr:cNvPr>
        <xdr:cNvPicPr>
          <a:picLocks noChangeAspect="1"/>
        </xdr:cNvPicPr>
      </xdr:nvPicPr>
      <xdr:blipFill rotWithShape="1">
        <a:blip xmlns:r="http://schemas.openxmlformats.org/officeDocument/2006/relationships" r:embed="rId5"/>
        <a:srcRect l="1" r="-2272" b="18534"/>
        <a:stretch/>
      </xdr:blipFill>
      <xdr:spPr>
        <a:xfrm rot="10800000">
          <a:off x="4837475" y="15878175"/>
          <a:ext cx="147363" cy="148865"/>
        </a:xfrm>
        <a:prstGeom prst="rect">
          <a:avLst/>
        </a:prstGeom>
      </xdr:spPr>
    </xdr:pic>
    <xdr:clientData/>
  </xdr:twoCellAnchor>
  <xdr:twoCellAnchor editAs="oneCell">
    <xdr:from>
      <xdr:col>8</xdr:col>
      <xdr:colOff>413385</xdr:colOff>
      <xdr:row>71</xdr:row>
      <xdr:rowOff>27454</xdr:rowOff>
    </xdr:from>
    <xdr:to>
      <xdr:col>11</xdr:col>
      <xdr:colOff>251191</xdr:colOff>
      <xdr:row>76</xdr:row>
      <xdr:rowOff>151187</xdr:rowOff>
    </xdr:to>
    <xdr:pic>
      <xdr:nvPicPr>
        <xdr:cNvPr id="13" name="Afbeelding 12">
          <a:extLst>
            <a:ext uri="{FF2B5EF4-FFF2-40B4-BE49-F238E27FC236}">
              <a16:creationId xmlns:a16="http://schemas.microsoft.com/office/drawing/2014/main" id="{4329CC95-C756-4C6D-B1E8-F020D51DBA08}"/>
            </a:ext>
          </a:extLst>
        </xdr:cNvPr>
        <xdr:cNvPicPr>
          <a:picLocks noChangeAspect="1"/>
        </xdr:cNvPicPr>
      </xdr:nvPicPr>
      <xdr:blipFill>
        <a:blip xmlns:r="http://schemas.openxmlformats.org/officeDocument/2006/relationships" r:embed="rId6"/>
        <a:stretch>
          <a:fillRect/>
        </a:stretch>
      </xdr:blipFill>
      <xdr:spPr>
        <a:xfrm>
          <a:off x="5688330" y="9560074"/>
          <a:ext cx="2217151" cy="73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438150</xdr:colOff>
      <xdr:row>37</xdr:row>
      <xdr:rowOff>9525</xdr:rowOff>
    </xdr:from>
    <xdr:to>
      <xdr:col>3</xdr:col>
      <xdr:colOff>624840</xdr:colOff>
      <xdr:row>37</xdr:row>
      <xdr:rowOff>171450</xdr:rowOff>
    </xdr:to>
    <xdr:pic macro="[0]!Infodaglicht">
      <xdr:nvPicPr>
        <xdr:cNvPr id="2" name="Afbeelding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7365" y="5916930"/>
          <a:ext cx="186690" cy="156210"/>
        </a:xfrm>
        <a:prstGeom prst="rect">
          <a:avLst/>
        </a:prstGeom>
        <a:noFill/>
        <a:ln w="9525">
          <a:noFill/>
          <a:miter lim="800000"/>
          <a:headEnd/>
          <a:tailEnd/>
        </a:ln>
      </xdr:spPr>
    </xdr:pic>
    <xdr:clientData fPrintsWithSheet="0"/>
  </xdr:twoCellAnchor>
  <xdr:twoCellAnchor editAs="oneCell">
    <xdr:from>
      <xdr:col>3</xdr:col>
      <xdr:colOff>518067</xdr:colOff>
      <xdr:row>73</xdr:row>
      <xdr:rowOff>9525</xdr:rowOff>
    </xdr:from>
    <xdr:to>
      <xdr:col>3</xdr:col>
      <xdr:colOff>689103</xdr:colOff>
      <xdr:row>73</xdr:row>
      <xdr:rowOff>171450</xdr:rowOff>
    </xdr:to>
    <xdr:pic macro="[0]!Infoventilatietoevoer">
      <xdr:nvPicPr>
        <xdr:cNvPr id="3" name="Afbeelding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7282" y="10765155"/>
          <a:ext cx="174846" cy="156210"/>
        </a:xfrm>
        <a:prstGeom prst="rect">
          <a:avLst/>
        </a:prstGeom>
        <a:noFill/>
        <a:ln w="9525">
          <a:noFill/>
          <a:miter lim="800000"/>
          <a:headEnd/>
          <a:tailEnd/>
        </a:ln>
      </xdr:spPr>
    </xdr:pic>
    <xdr:clientData fPrintsWithSheet="0"/>
  </xdr:twoCellAnchor>
  <xdr:twoCellAnchor>
    <xdr:from>
      <xdr:col>13</xdr:col>
      <xdr:colOff>683341</xdr:colOff>
      <xdr:row>126</xdr:row>
      <xdr:rowOff>8569</xdr:rowOff>
    </xdr:from>
    <xdr:to>
      <xdr:col>14</xdr:col>
      <xdr:colOff>145304</xdr:colOff>
      <xdr:row>126</xdr:row>
      <xdr:rowOff>180020</xdr:rowOff>
    </xdr:to>
    <xdr:pic macro="[0]!Infooverstroom">
      <xdr:nvPicPr>
        <xdr:cNvPr id="4" name="Afbeelding 2">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3" cstate="print"/>
        <a:srcRect/>
        <a:stretch>
          <a:fillRect/>
        </a:stretch>
      </xdr:blipFill>
      <xdr:spPr bwMode="auto">
        <a:xfrm>
          <a:off x="9808291" y="15888649"/>
          <a:ext cx="193483" cy="167641"/>
        </a:xfrm>
        <a:prstGeom prst="rect">
          <a:avLst/>
        </a:prstGeom>
        <a:noFill/>
        <a:ln w="9525">
          <a:noFill/>
          <a:miter lim="800000"/>
          <a:headEnd/>
          <a:tailEnd/>
        </a:ln>
      </xdr:spPr>
    </xdr:pic>
    <xdr:clientData fPrintsWithSheet="0"/>
  </xdr:twoCellAnchor>
  <xdr:twoCellAnchor editAs="oneCell">
    <xdr:from>
      <xdr:col>3</xdr:col>
      <xdr:colOff>66675</xdr:colOff>
      <xdr:row>158</xdr:row>
      <xdr:rowOff>9525</xdr:rowOff>
    </xdr:from>
    <xdr:to>
      <xdr:col>3</xdr:col>
      <xdr:colOff>247650</xdr:colOff>
      <xdr:row>158</xdr:row>
      <xdr:rowOff>171450</xdr:rowOff>
    </xdr:to>
    <xdr:pic macro="[0]!Infospui">
      <xdr:nvPicPr>
        <xdr:cNvPr id="5" name="Afbeelding 2">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19775805"/>
          <a:ext cx="179070" cy="156210"/>
        </a:xfrm>
        <a:prstGeom prst="rect">
          <a:avLst/>
        </a:prstGeom>
        <a:noFill/>
        <a:ln w="9525">
          <a:noFill/>
          <a:miter lim="800000"/>
          <a:headEnd/>
          <a:tailEnd/>
        </a:ln>
      </xdr:spPr>
    </xdr:pic>
    <xdr:clientData fPrintsWithSheet="0"/>
  </xdr:twoCellAnchor>
  <xdr:twoCellAnchor>
    <xdr:from>
      <xdr:col>4</xdr:col>
      <xdr:colOff>827833</xdr:colOff>
      <xdr:row>103</xdr:row>
      <xdr:rowOff>9524</xdr:rowOff>
    </xdr:from>
    <xdr:to>
      <xdr:col>5</xdr:col>
      <xdr:colOff>150583</xdr:colOff>
      <xdr:row>103</xdr:row>
      <xdr:rowOff>180975</xdr:rowOff>
    </xdr:to>
    <xdr:pic macro="[0]!Infoventilatieafvoer">
      <xdr:nvPicPr>
        <xdr:cNvPr id="6" name="Afbeelding 2">
          <a:extLst>
            <a:ext uri="{FF2B5EF4-FFF2-40B4-BE49-F238E27FC236}">
              <a16:creationId xmlns:a16="http://schemas.microsoft.com/office/drawing/2014/main" id="{00000000-0008-0000-0400-000006000000}"/>
            </a:ext>
          </a:extLst>
        </xdr:cNvPr>
        <xdr:cNvPicPr>
          <a:picLocks/>
        </xdr:cNvPicPr>
      </xdr:nvPicPr>
      <xdr:blipFill>
        <a:blip xmlns:r="http://schemas.openxmlformats.org/officeDocument/2006/relationships" r:embed="rId3" cstate="print"/>
        <a:srcRect/>
        <a:stretch>
          <a:fillRect/>
        </a:stretch>
      </xdr:blipFill>
      <xdr:spPr bwMode="auto">
        <a:xfrm>
          <a:off x="2902378" y="14289404"/>
          <a:ext cx="324780" cy="16764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91490" name="Button 2" hidden="1">
              <a:extLst>
                <a:ext uri="{63B3BB69-23CF-44E3-9099-C40C66FF867C}">
                  <a14:compatExt spid="_x0000_s191490"/>
                </a:ext>
                <a:ext uri="{FF2B5EF4-FFF2-40B4-BE49-F238E27FC236}">
                  <a16:creationId xmlns:a16="http://schemas.microsoft.com/office/drawing/2014/main" id="{00000000-0008-0000-0400-000002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37</xdr:row>
          <xdr:rowOff>7620</xdr:rowOff>
        </xdr:from>
        <xdr:to>
          <xdr:col>15</xdr:col>
          <xdr:colOff>792480</xdr:colOff>
          <xdr:row>38</xdr:row>
          <xdr:rowOff>0</xdr:rowOff>
        </xdr:to>
        <xdr:sp macro="" textlink="">
          <xdr:nvSpPr>
            <xdr:cNvPr id="191491" name="Button 9" hidden="1">
              <a:extLst>
                <a:ext uri="{63B3BB69-23CF-44E3-9099-C40C66FF867C}">
                  <a14:compatExt spid="_x0000_s191491"/>
                </a:ext>
                <a:ext uri="{FF2B5EF4-FFF2-40B4-BE49-F238E27FC236}">
                  <a16:creationId xmlns:a16="http://schemas.microsoft.com/office/drawing/2014/main" id="{00000000-0008-0000-0400-000003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158</xdr:row>
          <xdr:rowOff>7620</xdr:rowOff>
        </xdr:from>
        <xdr:to>
          <xdr:col>15</xdr:col>
          <xdr:colOff>746760</xdr:colOff>
          <xdr:row>159</xdr:row>
          <xdr:rowOff>0</xdr:rowOff>
        </xdr:to>
        <xdr:sp macro="" textlink="">
          <xdr:nvSpPr>
            <xdr:cNvPr id="191492" name="Button 11" hidden="1">
              <a:extLst>
                <a:ext uri="{63B3BB69-23CF-44E3-9099-C40C66FF867C}">
                  <a14:compatExt spid="_x0000_s191492"/>
                </a:ext>
                <a:ext uri="{FF2B5EF4-FFF2-40B4-BE49-F238E27FC236}">
                  <a16:creationId xmlns:a16="http://schemas.microsoft.com/office/drawing/2014/main" id="{00000000-0008-0000-0400-000004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63</xdr:row>
      <xdr:rowOff>9525</xdr:rowOff>
    </xdr:from>
    <xdr:to>
      <xdr:col>3</xdr:col>
      <xdr:colOff>586740</xdr:colOff>
      <xdr:row>63</xdr:row>
      <xdr:rowOff>171450</xdr:rowOff>
    </xdr:to>
    <xdr:pic macro="[0]!Infoventilatie">
      <xdr:nvPicPr>
        <xdr:cNvPr id="7" name="Afbeelding 2">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39265" y="9355455"/>
          <a:ext cx="186690" cy="156210"/>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35480"/>
          <a:ext cx="179070" cy="156210"/>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167640</xdr:rowOff>
    </xdr:to>
    <xdr:pic macro="[0]!Infoalgemeen">
      <xdr:nvPicPr>
        <xdr:cNvPr id="9" name="Afbeelding 2">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83055" y="647700"/>
          <a:ext cx="179070" cy="163830"/>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92680" y="3821430"/>
          <a:ext cx="179070" cy="156210"/>
        </a:xfrm>
        <a:prstGeom prst="rect">
          <a:avLst/>
        </a:prstGeom>
        <a:noFill/>
        <a:ln w="9525">
          <a:noFill/>
          <a:miter lim="800000"/>
          <a:headEnd/>
          <a:tailEnd/>
        </a:ln>
      </xdr:spPr>
    </xdr:pic>
    <xdr:clientData fPrintsWithSheet="0"/>
  </xdr:twoCellAnchor>
  <xdr:twoCellAnchor>
    <xdr:from>
      <xdr:col>5</xdr:col>
      <xdr:colOff>380157</xdr:colOff>
      <xdr:row>115</xdr:row>
      <xdr:rowOff>9525</xdr:rowOff>
    </xdr:from>
    <xdr:to>
      <xdr:col>5</xdr:col>
      <xdr:colOff>561974</xdr:colOff>
      <xdr:row>115</xdr:row>
      <xdr:rowOff>141899</xdr:rowOff>
    </xdr:to>
    <xdr:pic macro="[0]!Infoventilatieafvoer">
      <xdr:nvPicPr>
        <xdr:cNvPr id="11" name="Afbeelding 2">
          <a:extLst>
            <a:ext uri="{FF2B5EF4-FFF2-40B4-BE49-F238E27FC236}">
              <a16:creationId xmlns:a16="http://schemas.microsoft.com/office/drawing/2014/main" id="{00000000-0008-0000-0400-00000B000000}"/>
            </a:ext>
          </a:extLst>
        </xdr:cNvPr>
        <xdr:cNvPicPr>
          <a:picLocks/>
        </xdr:cNvPicPr>
      </xdr:nvPicPr>
      <xdr:blipFill>
        <a:blip xmlns:r="http://schemas.openxmlformats.org/officeDocument/2006/relationships" r:embed="rId3" cstate="print"/>
        <a:srcRect/>
        <a:stretch>
          <a:fillRect/>
        </a:stretch>
      </xdr:blipFill>
      <xdr:spPr bwMode="auto">
        <a:xfrm>
          <a:off x="3456732" y="15573375"/>
          <a:ext cx="179912" cy="0"/>
        </a:xfrm>
        <a:prstGeom prst="rect">
          <a:avLst/>
        </a:prstGeom>
        <a:noFill/>
        <a:ln w="9525">
          <a:noFill/>
          <a:miter lim="800000"/>
          <a:headEnd/>
          <a:tailEnd/>
        </a:ln>
      </xdr:spPr>
    </xdr:pic>
    <xdr:clientData fPrintsWithSheet="0"/>
  </xdr:twoCellAnchor>
  <xdr:twoCellAnchor editAs="oneCell">
    <xdr:from>
      <xdr:col>7</xdr:col>
      <xdr:colOff>295955</xdr:colOff>
      <xdr:row>126</xdr:row>
      <xdr:rowOff>0</xdr:rowOff>
    </xdr:from>
    <xdr:to>
      <xdr:col>7</xdr:col>
      <xdr:colOff>437603</xdr:colOff>
      <xdr:row>126</xdr:row>
      <xdr:rowOff>148865</xdr:rowOff>
    </xdr:to>
    <xdr:pic>
      <xdr:nvPicPr>
        <xdr:cNvPr id="12" name="Afbeelding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5"/>
        <a:srcRect l="1" r="-2272" b="18534"/>
        <a:stretch/>
      </xdr:blipFill>
      <xdr:spPr>
        <a:xfrm rot="10800000">
          <a:off x="4837475" y="15878175"/>
          <a:ext cx="153078" cy="148865"/>
        </a:xfrm>
        <a:prstGeom prst="rect">
          <a:avLst/>
        </a:prstGeom>
      </xdr:spPr>
    </xdr:pic>
    <xdr:clientData/>
  </xdr:twoCellAnchor>
  <xdr:twoCellAnchor editAs="oneCell">
    <xdr:from>
      <xdr:col>8</xdr:col>
      <xdr:colOff>413385</xdr:colOff>
      <xdr:row>64</xdr:row>
      <xdr:rowOff>27454</xdr:rowOff>
    </xdr:from>
    <xdr:to>
      <xdr:col>11</xdr:col>
      <xdr:colOff>251191</xdr:colOff>
      <xdr:row>68</xdr:row>
      <xdr:rowOff>151187</xdr:rowOff>
    </xdr:to>
    <xdr:pic>
      <xdr:nvPicPr>
        <xdr:cNvPr id="13" name="Afbeelding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stretch>
          <a:fillRect/>
        </a:stretch>
      </xdr:blipFill>
      <xdr:spPr>
        <a:xfrm>
          <a:off x="5688330" y="9560074"/>
          <a:ext cx="2217151" cy="73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438150</xdr:colOff>
      <xdr:row>37</xdr:row>
      <xdr:rowOff>9525</xdr:rowOff>
    </xdr:from>
    <xdr:to>
      <xdr:col>3</xdr:col>
      <xdr:colOff>628650</xdr:colOff>
      <xdr:row>37</xdr:row>
      <xdr:rowOff>167640</xdr:rowOff>
    </xdr:to>
    <xdr:pic macro="[0]!Infodaglicht">
      <xdr:nvPicPr>
        <xdr:cNvPr id="2" name="Afbeelding 2">
          <a:extLst>
            <a:ext uri="{FF2B5EF4-FFF2-40B4-BE49-F238E27FC236}">
              <a16:creationId xmlns:a16="http://schemas.microsoft.com/office/drawing/2014/main" id="{C6F844B7-28EC-4B38-8D85-1A3B6C1E6200}"/>
            </a:ext>
          </a:extLst>
        </xdr:cNvPr>
        <xdr:cNvPicPr>
          <a:picLocks noChangeAspect="1"/>
        </xdr:cNvPicPr>
      </xdr:nvPicPr>
      <xdr:blipFill>
        <a:blip xmlns:r="http://schemas.openxmlformats.org/officeDocument/2006/relationships" r:embed="rId1" cstate="print"/>
        <a:srcRect/>
        <a:stretch>
          <a:fillRect/>
        </a:stretch>
      </xdr:blipFill>
      <xdr:spPr bwMode="auto">
        <a:xfrm>
          <a:off x="1777365" y="5916930"/>
          <a:ext cx="194310" cy="156210"/>
        </a:xfrm>
        <a:prstGeom prst="rect">
          <a:avLst/>
        </a:prstGeom>
        <a:noFill/>
        <a:ln w="9525">
          <a:noFill/>
          <a:miter lim="800000"/>
          <a:headEnd/>
          <a:tailEnd/>
        </a:ln>
      </xdr:spPr>
    </xdr:pic>
    <xdr:clientData fPrintsWithSheet="0"/>
  </xdr:twoCellAnchor>
  <xdr:twoCellAnchor editAs="oneCell">
    <xdr:from>
      <xdr:col>3</xdr:col>
      <xdr:colOff>518067</xdr:colOff>
      <xdr:row>73</xdr:row>
      <xdr:rowOff>9525</xdr:rowOff>
    </xdr:from>
    <xdr:to>
      <xdr:col>3</xdr:col>
      <xdr:colOff>689103</xdr:colOff>
      <xdr:row>73</xdr:row>
      <xdr:rowOff>167640</xdr:rowOff>
    </xdr:to>
    <xdr:pic macro="[0]!Infoventilatietoevoer">
      <xdr:nvPicPr>
        <xdr:cNvPr id="3" name="Afbeelding 2">
          <a:extLst>
            <a:ext uri="{FF2B5EF4-FFF2-40B4-BE49-F238E27FC236}">
              <a16:creationId xmlns:a16="http://schemas.microsoft.com/office/drawing/2014/main" id="{C79DB57D-953E-4DD8-A56B-F7BAE8F13E7A}"/>
            </a:ext>
          </a:extLst>
        </xdr:cNvPr>
        <xdr:cNvPicPr>
          <a:picLocks noChangeAspect="1"/>
        </xdr:cNvPicPr>
      </xdr:nvPicPr>
      <xdr:blipFill>
        <a:blip xmlns:r="http://schemas.openxmlformats.org/officeDocument/2006/relationships" r:embed="rId2" cstate="print"/>
        <a:srcRect/>
        <a:stretch>
          <a:fillRect/>
        </a:stretch>
      </xdr:blipFill>
      <xdr:spPr bwMode="auto">
        <a:xfrm>
          <a:off x="1857282" y="11374755"/>
          <a:ext cx="174846" cy="156210"/>
        </a:xfrm>
        <a:prstGeom prst="rect">
          <a:avLst/>
        </a:prstGeom>
        <a:noFill/>
        <a:ln w="9525">
          <a:noFill/>
          <a:miter lim="800000"/>
          <a:headEnd/>
          <a:tailEnd/>
        </a:ln>
      </xdr:spPr>
    </xdr:pic>
    <xdr:clientData fPrintsWithSheet="0"/>
  </xdr:twoCellAnchor>
  <xdr:twoCellAnchor>
    <xdr:from>
      <xdr:col>13</xdr:col>
      <xdr:colOff>683341</xdr:colOff>
      <xdr:row>126</xdr:row>
      <xdr:rowOff>8569</xdr:rowOff>
    </xdr:from>
    <xdr:to>
      <xdr:col>14</xdr:col>
      <xdr:colOff>145304</xdr:colOff>
      <xdr:row>126</xdr:row>
      <xdr:rowOff>180020</xdr:rowOff>
    </xdr:to>
    <xdr:pic macro="[0]!Infooverstroom">
      <xdr:nvPicPr>
        <xdr:cNvPr id="4" name="Afbeelding 2">
          <a:extLst>
            <a:ext uri="{FF2B5EF4-FFF2-40B4-BE49-F238E27FC236}">
              <a16:creationId xmlns:a16="http://schemas.microsoft.com/office/drawing/2014/main" id="{92207D2C-6AA4-4ABE-8DFF-543B7F844EC4}"/>
            </a:ext>
          </a:extLst>
        </xdr:cNvPr>
        <xdr:cNvPicPr>
          <a:picLocks/>
        </xdr:cNvPicPr>
      </xdr:nvPicPr>
      <xdr:blipFill>
        <a:blip xmlns:r="http://schemas.openxmlformats.org/officeDocument/2006/relationships" r:embed="rId3" cstate="print"/>
        <a:srcRect/>
        <a:stretch>
          <a:fillRect/>
        </a:stretch>
      </xdr:blipFill>
      <xdr:spPr bwMode="auto">
        <a:xfrm>
          <a:off x="9808291" y="19393849"/>
          <a:ext cx="193483" cy="167641"/>
        </a:xfrm>
        <a:prstGeom prst="rect">
          <a:avLst/>
        </a:prstGeom>
        <a:noFill/>
        <a:ln w="9525">
          <a:noFill/>
          <a:miter lim="800000"/>
          <a:headEnd/>
          <a:tailEnd/>
        </a:ln>
      </xdr:spPr>
    </xdr:pic>
    <xdr:clientData fPrintsWithSheet="0"/>
  </xdr:twoCellAnchor>
  <xdr:twoCellAnchor editAs="oneCell">
    <xdr:from>
      <xdr:col>3</xdr:col>
      <xdr:colOff>66675</xdr:colOff>
      <xdr:row>158</xdr:row>
      <xdr:rowOff>9525</xdr:rowOff>
    </xdr:from>
    <xdr:to>
      <xdr:col>3</xdr:col>
      <xdr:colOff>243840</xdr:colOff>
      <xdr:row>158</xdr:row>
      <xdr:rowOff>167640</xdr:rowOff>
    </xdr:to>
    <xdr:pic macro="[0]!Infospui">
      <xdr:nvPicPr>
        <xdr:cNvPr id="5" name="Afbeelding 2">
          <a:extLst>
            <a:ext uri="{FF2B5EF4-FFF2-40B4-BE49-F238E27FC236}">
              <a16:creationId xmlns:a16="http://schemas.microsoft.com/office/drawing/2014/main" id="{8FFECEBF-1D6A-4C5F-A46E-134D5F855CC9}"/>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4195405"/>
          <a:ext cx="179070" cy="156210"/>
        </a:xfrm>
        <a:prstGeom prst="rect">
          <a:avLst/>
        </a:prstGeom>
        <a:noFill/>
        <a:ln w="9525">
          <a:noFill/>
          <a:miter lim="800000"/>
          <a:headEnd/>
          <a:tailEnd/>
        </a:ln>
      </xdr:spPr>
    </xdr:pic>
    <xdr:clientData fPrintsWithSheet="0"/>
  </xdr:twoCellAnchor>
  <xdr:twoCellAnchor>
    <xdr:from>
      <xdr:col>4</xdr:col>
      <xdr:colOff>827833</xdr:colOff>
      <xdr:row>103</xdr:row>
      <xdr:rowOff>9524</xdr:rowOff>
    </xdr:from>
    <xdr:to>
      <xdr:col>5</xdr:col>
      <xdr:colOff>150583</xdr:colOff>
      <xdr:row>103</xdr:row>
      <xdr:rowOff>180975</xdr:rowOff>
    </xdr:to>
    <xdr:pic macro="[0]!Infoventilatieafvoer">
      <xdr:nvPicPr>
        <xdr:cNvPr id="6" name="Afbeelding 2">
          <a:extLst>
            <a:ext uri="{FF2B5EF4-FFF2-40B4-BE49-F238E27FC236}">
              <a16:creationId xmlns:a16="http://schemas.microsoft.com/office/drawing/2014/main" id="{841C8DC5-07C7-4E5E-828E-D02A1F71D6E3}"/>
            </a:ext>
          </a:extLst>
        </xdr:cNvPr>
        <xdr:cNvPicPr>
          <a:picLocks/>
        </xdr:cNvPicPr>
      </xdr:nvPicPr>
      <xdr:blipFill>
        <a:blip xmlns:r="http://schemas.openxmlformats.org/officeDocument/2006/relationships" r:embed="rId3" cstate="print"/>
        <a:srcRect/>
        <a:stretch>
          <a:fillRect/>
        </a:stretch>
      </xdr:blipFill>
      <xdr:spPr bwMode="auto">
        <a:xfrm>
          <a:off x="2902378" y="16118204"/>
          <a:ext cx="324780" cy="16764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D140A905-0330-43B0-BB83-4EA1AD09F3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9250756A-C327-4FDA-BBC0-B8DC889773E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37</xdr:row>
          <xdr:rowOff>7620</xdr:rowOff>
        </xdr:from>
        <xdr:to>
          <xdr:col>15</xdr:col>
          <xdr:colOff>792480</xdr:colOff>
          <xdr:row>38</xdr:row>
          <xdr:rowOff>0</xdr:rowOff>
        </xdr:to>
        <xdr:sp macro="" textlink="">
          <xdr:nvSpPr>
            <xdr:cNvPr id="203779" name="Button 9" hidden="1">
              <a:extLst>
                <a:ext uri="{63B3BB69-23CF-44E3-9099-C40C66FF867C}">
                  <a14:compatExt spid="_x0000_s203779"/>
                </a:ext>
                <a:ext uri="{FF2B5EF4-FFF2-40B4-BE49-F238E27FC236}">
                  <a16:creationId xmlns:a16="http://schemas.microsoft.com/office/drawing/2014/main" id="{0E167A0F-8E8E-4833-8E74-2A19F7A4E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158</xdr:row>
          <xdr:rowOff>7620</xdr:rowOff>
        </xdr:from>
        <xdr:to>
          <xdr:col>15</xdr:col>
          <xdr:colOff>746760</xdr:colOff>
          <xdr:row>159</xdr:row>
          <xdr:rowOff>0</xdr:rowOff>
        </xdr:to>
        <xdr:sp macro="" textlink="">
          <xdr:nvSpPr>
            <xdr:cNvPr id="203780" name="Button 11" hidden="1">
              <a:extLst>
                <a:ext uri="{63B3BB69-23CF-44E3-9099-C40C66FF867C}">
                  <a14:compatExt spid="_x0000_s203780"/>
                </a:ext>
                <a:ext uri="{FF2B5EF4-FFF2-40B4-BE49-F238E27FC236}">
                  <a16:creationId xmlns:a16="http://schemas.microsoft.com/office/drawing/2014/main" id="{25471CB9-DCEE-48D5-B824-020E0B91DC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63</xdr:row>
      <xdr:rowOff>9525</xdr:rowOff>
    </xdr:from>
    <xdr:to>
      <xdr:col>3</xdr:col>
      <xdr:colOff>590550</xdr:colOff>
      <xdr:row>63</xdr:row>
      <xdr:rowOff>167640</xdr:rowOff>
    </xdr:to>
    <xdr:pic macro="[0]!Infoventilatie">
      <xdr:nvPicPr>
        <xdr:cNvPr id="7" name="Afbeelding 2">
          <a:extLst>
            <a:ext uri="{FF2B5EF4-FFF2-40B4-BE49-F238E27FC236}">
              <a16:creationId xmlns:a16="http://schemas.microsoft.com/office/drawing/2014/main" id="{75DB7492-0E66-4DA9-A728-AEF29906E3AC}"/>
            </a:ext>
          </a:extLst>
        </xdr:cNvPr>
        <xdr:cNvPicPr>
          <a:picLocks noChangeAspect="1"/>
        </xdr:cNvPicPr>
      </xdr:nvPicPr>
      <xdr:blipFill>
        <a:blip xmlns:r="http://schemas.openxmlformats.org/officeDocument/2006/relationships" r:embed="rId1" cstate="print"/>
        <a:srcRect/>
        <a:stretch>
          <a:fillRect/>
        </a:stretch>
      </xdr:blipFill>
      <xdr:spPr bwMode="auto">
        <a:xfrm>
          <a:off x="1739265" y="9812655"/>
          <a:ext cx="194310" cy="156210"/>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701040</xdr:colOff>
      <xdr:row>12</xdr:row>
      <xdr:rowOff>167640</xdr:rowOff>
    </xdr:to>
    <xdr:pic macro="[0]!Infogegevens">
      <xdr:nvPicPr>
        <xdr:cNvPr id="8" name="Afbeelding 2">
          <a:extLst>
            <a:ext uri="{FF2B5EF4-FFF2-40B4-BE49-F238E27FC236}">
              <a16:creationId xmlns:a16="http://schemas.microsoft.com/office/drawing/2014/main" id="{D117820D-D6BD-48BD-826B-060255C9D985}"/>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35480"/>
          <a:ext cx="179070" cy="156210"/>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171450</xdr:rowOff>
    </xdr:to>
    <xdr:pic macro="[0]!Infoalgemeen">
      <xdr:nvPicPr>
        <xdr:cNvPr id="9" name="Afbeelding 2">
          <a:extLst>
            <a:ext uri="{FF2B5EF4-FFF2-40B4-BE49-F238E27FC236}">
              <a16:creationId xmlns:a16="http://schemas.microsoft.com/office/drawing/2014/main" id="{6A5FA869-BF1E-4CFC-B2CB-649495B10C66}"/>
            </a:ext>
          </a:extLst>
        </xdr:cNvPr>
        <xdr:cNvPicPr>
          <a:picLocks noChangeAspect="1"/>
        </xdr:cNvPicPr>
      </xdr:nvPicPr>
      <xdr:blipFill>
        <a:blip xmlns:r="http://schemas.openxmlformats.org/officeDocument/2006/relationships" r:embed="rId1" cstate="print"/>
        <a:srcRect/>
        <a:stretch>
          <a:fillRect/>
        </a:stretch>
      </xdr:blipFill>
      <xdr:spPr bwMode="auto">
        <a:xfrm>
          <a:off x="1583055" y="647700"/>
          <a:ext cx="179070" cy="171450"/>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167640</xdr:rowOff>
    </xdr:to>
    <xdr:pic macro="[0]!Infoindelingvg">
      <xdr:nvPicPr>
        <xdr:cNvPr id="10" name="Afbeelding 2">
          <a:extLst>
            <a:ext uri="{FF2B5EF4-FFF2-40B4-BE49-F238E27FC236}">
              <a16:creationId xmlns:a16="http://schemas.microsoft.com/office/drawing/2014/main" id="{BB5E561C-0B02-4BCA-AA53-55E289B6EA47}"/>
            </a:ext>
          </a:extLst>
        </xdr:cNvPr>
        <xdr:cNvPicPr>
          <a:picLocks noChangeAspect="1"/>
        </xdr:cNvPicPr>
      </xdr:nvPicPr>
      <xdr:blipFill>
        <a:blip xmlns:r="http://schemas.openxmlformats.org/officeDocument/2006/relationships" r:embed="rId1" cstate="print"/>
        <a:srcRect/>
        <a:stretch>
          <a:fillRect/>
        </a:stretch>
      </xdr:blipFill>
      <xdr:spPr bwMode="auto">
        <a:xfrm>
          <a:off x="2392680" y="3821430"/>
          <a:ext cx="179070" cy="156210"/>
        </a:xfrm>
        <a:prstGeom prst="rect">
          <a:avLst/>
        </a:prstGeom>
        <a:noFill/>
        <a:ln w="9525">
          <a:noFill/>
          <a:miter lim="800000"/>
          <a:headEnd/>
          <a:tailEnd/>
        </a:ln>
      </xdr:spPr>
    </xdr:pic>
    <xdr:clientData fPrintsWithSheet="0"/>
  </xdr:twoCellAnchor>
  <xdr:twoCellAnchor>
    <xdr:from>
      <xdr:col>5</xdr:col>
      <xdr:colOff>380157</xdr:colOff>
      <xdr:row>115</xdr:row>
      <xdr:rowOff>9525</xdr:rowOff>
    </xdr:from>
    <xdr:to>
      <xdr:col>5</xdr:col>
      <xdr:colOff>561974</xdr:colOff>
      <xdr:row>115</xdr:row>
      <xdr:rowOff>141899</xdr:rowOff>
    </xdr:to>
    <xdr:pic macro="[0]!Infoventilatieafvoer">
      <xdr:nvPicPr>
        <xdr:cNvPr id="11" name="Afbeelding 2">
          <a:extLst>
            <a:ext uri="{FF2B5EF4-FFF2-40B4-BE49-F238E27FC236}">
              <a16:creationId xmlns:a16="http://schemas.microsoft.com/office/drawing/2014/main" id="{0DD7AF92-7ECA-47E3-9934-DF5B2F7B9AFE}"/>
            </a:ext>
          </a:extLst>
        </xdr:cNvPr>
        <xdr:cNvPicPr>
          <a:picLocks/>
        </xdr:cNvPicPr>
      </xdr:nvPicPr>
      <xdr:blipFill>
        <a:blip xmlns:r="http://schemas.openxmlformats.org/officeDocument/2006/relationships" r:embed="rId3" cstate="print"/>
        <a:srcRect/>
        <a:stretch>
          <a:fillRect/>
        </a:stretch>
      </xdr:blipFill>
      <xdr:spPr bwMode="auto">
        <a:xfrm>
          <a:off x="3456732" y="17870805"/>
          <a:ext cx="179912" cy="128564"/>
        </a:xfrm>
        <a:prstGeom prst="rect">
          <a:avLst/>
        </a:prstGeom>
        <a:noFill/>
        <a:ln w="9525">
          <a:noFill/>
          <a:miter lim="800000"/>
          <a:headEnd/>
          <a:tailEnd/>
        </a:ln>
      </xdr:spPr>
    </xdr:pic>
    <xdr:clientData fPrintsWithSheet="0"/>
  </xdr:twoCellAnchor>
  <xdr:twoCellAnchor editAs="oneCell">
    <xdr:from>
      <xdr:col>7</xdr:col>
      <xdr:colOff>295955</xdr:colOff>
      <xdr:row>126</xdr:row>
      <xdr:rowOff>0</xdr:rowOff>
    </xdr:from>
    <xdr:to>
      <xdr:col>7</xdr:col>
      <xdr:colOff>441413</xdr:colOff>
      <xdr:row>126</xdr:row>
      <xdr:rowOff>148865</xdr:rowOff>
    </xdr:to>
    <xdr:pic>
      <xdr:nvPicPr>
        <xdr:cNvPr id="12" name="Afbeelding 11">
          <a:extLst>
            <a:ext uri="{FF2B5EF4-FFF2-40B4-BE49-F238E27FC236}">
              <a16:creationId xmlns:a16="http://schemas.microsoft.com/office/drawing/2014/main" id="{F1E9F793-53B4-4690-B119-5D12F468E53D}"/>
            </a:ext>
          </a:extLst>
        </xdr:cNvPr>
        <xdr:cNvPicPr>
          <a:picLocks noChangeAspect="1"/>
        </xdr:cNvPicPr>
      </xdr:nvPicPr>
      <xdr:blipFill rotWithShape="1">
        <a:blip xmlns:r="http://schemas.openxmlformats.org/officeDocument/2006/relationships" r:embed="rId5"/>
        <a:srcRect l="1" r="-2272" b="18534"/>
        <a:stretch/>
      </xdr:blipFill>
      <xdr:spPr>
        <a:xfrm rot="10800000">
          <a:off x="4837475" y="19383375"/>
          <a:ext cx="147363" cy="148865"/>
        </a:xfrm>
        <a:prstGeom prst="rect">
          <a:avLst/>
        </a:prstGeom>
      </xdr:spPr>
    </xdr:pic>
    <xdr:clientData/>
  </xdr:twoCellAnchor>
  <xdr:twoCellAnchor editAs="oneCell">
    <xdr:from>
      <xdr:col>8</xdr:col>
      <xdr:colOff>413385</xdr:colOff>
      <xdr:row>64</xdr:row>
      <xdr:rowOff>27454</xdr:rowOff>
    </xdr:from>
    <xdr:to>
      <xdr:col>11</xdr:col>
      <xdr:colOff>247381</xdr:colOff>
      <xdr:row>68</xdr:row>
      <xdr:rowOff>151187</xdr:rowOff>
    </xdr:to>
    <xdr:pic>
      <xdr:nvPicPr>
        <xdr:cNvPr id="13" name="Afbeelding 12">
          <a:extLst>
            <a:ext uri="{FF2B5EF4-FFF2-40B4-BE49-F238E27FC236}">
              <a16:creationId xmlns:a16="http://schemas.microsoft.com/office/drawing/2014/main" id="{2A365B43-D7BD-4408-AD75-BDE0C72F78B6}"/>
            </a:ext>
          </a:extLst>
        </xdr:cNvPr>
        <xdr:cNvPicPr>
          <a:picLocks noChangeAspect="1"/>
        </xdr:cNvPicPr>
      </xdr:nvPicPr>
      <xdr:blipFill>
        <a:blip xmlns:r="http://schemas.openxmlformats.org/officeDocument/2006/relationships" r:embed="rId6"/>
        <a:stretch>
          <a:fillRect/>
        </a:stretch>
      </xdr:blipFill>
      <xdr:spPr>
        <a:xfrm>
          <a:off x="5688330" y="10017274"/>
          <a:ext cx="2217151" cy="73523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438150</xdr:colOff>
      <xdr:row>34</xdr:row>
      <xdr:rowOff>9525</xdr:rowOff>
    </xdr:from>
    <xdr:to>
      <xdr:col>3</xdr:col>
      <xdr:colOff>619125</xdr:colOff>
      <xdr:row>34</xdr:row>
      <xdr:rowOff>171450</xdr:rowOff>
    </xdr:to>
    <xdr:pic macro="[0]!Infodaglicht">
      <xdr:nvPicPr>
        <xdr:cNvPr id="2" name="Afbeelding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779270" y="5450205"/>
          <a:ext cx="180975" cy="161925"/>
        </a:xfrm>
        <a:prstGeom prst="rect">
          <a:avLst/>
        </a:prstGeom>
        <a:noFill/>
        <a:ln w="9525">
          <a:noFill/>
          <a:miter lim="800000"/>
          <a:headEnd/>
          <a:tailEnd/>
        </a:ln>
      </xdr:spPr>
    </xdr:pic>
    <xdr:clientData fPrintsWithSheet="0"/>
  </xdr:twoCellAnchor>
  <xdr:twoCellAnchor editAs="oneCell">
    <xdr:from>
      <xdr:col>3</xdr:col>
      <xdr:colOff>518067</xdr:colOff>
      <xdr:row>63</xdr:row>
      <xdr:rowOff>9525</xdr:rowOff>
    </xdr:from>
    <xdr:to>
      <xdr:col>3</xdr:col>
      <xdr:colOff>689103</xdr:colOff>
      <xdr:row>63</xdr:row>
      <xdr:rowOff>171450</xdr:rowOff>
    </xdr:to>
    <xdr:pic macro="[0]!Infoventilatietoevoer">
      <xdr:nvPicPr>
        <xdr:cNvPr id="3" name="Afbeelding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srcRect/>
        <a:stretch>
          <a:fillRect/>
        </a:stretch>
      </xdr:blipFill>
      <xdr:spPr bwMode="auto">
        <a:xfrm>
          <a:off x="1859187" y="9839325"/>
          <a:ext cx="171036" cy="161925"/>
        </a:xfrm>
        <a:prstGeom prst="rect">
          <a:avLst/>
        </a:prstGeom>
        <a:noFill/>
        <a:ln w="9525">
          <a:noFill/>
          <a:miter lim="800000"/>
          <a:headEnd/>
          <a:tailEnd/>
        </a:ln>
      </xdr:spPr>
    </xdr:pic>
    <xdr:clientData fPrintsWithSheet="0"/>
  </xdr:twoCellAnchor>
  <xdr:twoCellAnchor>
    <xdr:from>
      <xdr:col>13</xdr:col>
      <xdr:colOff>683341</xdr:colOff>
      <xdr:row>109</xdr:row>
      <xdr:rowOff>8569</xdr:rowOff>
    </xdr:from>
    <xdr:to>
      <xdr:col>14</xdr:col>
      <xdr:colOff>145304</xdr:colOff>
      <xdr:row>109</xdr:row>
      <xdr:rowOff>180020</xdr:rowOff>
    </xdr:to>
    <xdr:pic macro="[0]!Infooverstroom">
      <xdr:nvPicPr>
        <xdr:cNvPr id="4" name="Afbeelding 2">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3" cstate="print"/>
        <a:srcRect/>
        <a:stretch>
          <a:fillRect/>
        </a:stretch>
      </xdr:blipFill>
      <xdr:spPr bwMode="auto">
        <a:xfrm>
          <a:off x="9789241" y="16795429"/>
          <a:ext cx="193483" cy="171451"/>
        </a:xfrm>
        <a:prstGeom prst="rect">
          <a:avLst/>
        </a:prstGeom>
        <a:noFill/>
        <a:ln w="9525">
          <a:noFill/>
          <a:miter lim="800000"/>
          <a:headEnd/>
          <a:tailEnd/>
        </a:ln>
      </xdr:spPr>
    </xdr:pic>
    <xdr:clientData fPrintsWithSheet="0"/>
  </xdr:twoCellAnchor>
  <xdr:twoCellAnchor editAs="oneCell">
    <xdr:from>
      <xdr:col>3</xdr:col>
      <xdr:colOff>66675</xdr:colOff>
      <xdr:row>134</xdr:row>
      <xdr:rowOff>9525</xdr:rowOff>
    </xdr:from>
    <xdr:to>
      <xdr:col>3</xdr:col>
      <xdr:colOff>247650</xdr:colOff>
      <xdr:row>134</xdr:row>
      <xdr:rowOff>171450</xdr:rowOff>
    </xdr:to>
    <xdr:pic macro="[0]!Infospui">
      <xdr:nvPicPr>
        <xdr:cNvPr id="5" name="Afbeelding 2">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srcRect/>
        <a:stretch>
          <a:fillRect/>
        </a:stretch>
      </xdr:blipFill>
      <xdr:spPr bwMode="auto">
        <a:xfrm>
          <a:off x="1407795" y="20530185"/>
          <a:ext cx="180975" cy="161925"/>
        </a:xfrm>
        <a:prstGeom prst="rect">
          <a:avLst/>
        </a:prstGeom>
        <a:noFill/>
        <a:ln w="9525">
          <a:noFill/>
          <a:miter lim="800000"/>
          <a:headEnd/>
          <a:tailEnd/>
        </a:ln>
      </xdr:spPr>
    </xdr:pic>
    <xdr:clientData fPrintsWithSheet="0"/>
  </xdr:twoCellAnchor>
  <xdr:twoCellAnchor>
    <xdr:from>
      <xdr:col>4</xdr:col>
      <xdr:colOff>827833</xdr:colOff>
      <xdr:row>86</xdr:row>
      <xdr:rowOff>9524</xdr:rowOff>
    </xdr:from>
    <xdr:to>
      <xdr:col>5</xdr:col>
      <xdr:colOff>150583</xdr:colOff>
      <xdr:row>86</xdr:row>
      <xdr:rowOff>180975</xdr:rowOff>
    </xdr:to>
    <xdr:pic macro="[0]!Infoventilatieafvoer">
      <xdr:nvPicPr>
        <xdr:cNvPr id="6" name="Afbeelding 2">
          <a:extLst>
            <a:ext uri="{FF2B5EF4-FFF2-40B4-BE49-F238E27FC236}">
              <a16:creationId xmlns:a16="http://schemas.microsoft.com/office/drawing/2014/main" id="{00000000-0008-0000-0500-000006000000}"/>
            </a:ext>
          </a:extLst>
        </xdr:cNvPr>
        <xdr:cNvPicPr>
          <a:picLocks/>
        </xdr:cNvPicPr>
      </xdr:nvPicPr>
      <xdr:blipFill>
        <a:blip xmlns:r="http://schemas.openxmlformats.org/officeDocument/2006/relationships" r:embed="rId3" cstate="print"/>
        <a:srcRect/>
        <a:stretch>
          <a:fillRect/>
        </a:stretch>
      </xdr:blipFill>
      <xdr:spPr bwMode="auto">
        <a:xfrm>
          <a:off x="2900473" y="13519784"/>
          <a:ext cx="320970" cy="171451"/>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xdr:from>
          <xdr:col>11</xdr:col>
          <xdr:colOff>22860</xdr:colOff>
          <xdr:row>24</xdr:row>
          <xdr:rowOff>7620</xdr:rowOff>
        </xdr:from>
        <xdr:to>
          <xdr:col>16</xdr:col>
          <xdr:colOff>0</xdr:colOff>
          <xdr:row>25</xdr:row>
          <xdr:rowOff>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0500-000001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Indeling verblijfsgebieden bevestigen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xdr:colOff>
          <xdr:row>5</xdr:row>
          <xdr:rowOff>7620</xdr:rowOff>
        </xdr:from>
        <xdr:to>
          <xdr:col>16</xdr:col>
          <xdr:colOff>0</xdr:colOff>
          <xdr:row>6</xdr:row>
          <xdr:rowOff>0</xdr:rowOff>
        </xdr:to>
        <xdr:sp macro="" textlink="">
          <xdr:nvSpPr>
            <xdr:cNvPr id="168962" name="Button 2" hidden="1">
              <a:extLst>
                <a:ext uri="{63B3BB69-23CF-44E3-9099-C40C66FF867C}">
                  <a14:compatExt spid="_x0000_s168962"/>
                </a:ext>
                <a:ext uri="{FF2B5EF4-FFF2-40B4-BE49-F238E27FC236}">
                  <a16:creationId xmlns:a16="http://schemas.microsoft.com/office/drawing/2014/main" id="{00000000-0008-0000-0500-000002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gegevens inclusief aantal verblijfsruimten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182880</xdr:colOff>
          <xdr:row>34</xdr:row>
          <xdr:rowOff>7620</xdr:rowOff>
        </xdr:from>
        <xdr:to>
          <xdr:col>15</xdr:col>
          <xdr:colOff>792480</xdr:colOff>
          <xdr:row>35</xdr:row>
          <xdr:rowOff>0</xdr:rowOff>
        </xdr:to>
        <xdr:sp macro="" textlink="">
          <xdr:nvSpPr>
            <xdr:cNvPr id="168963" name="Button 9" hidden="1">
              <a:extLst>
                <a:ext uri="{63B3BB69-23CF-44E3-9099-C40C66FF867C}">
                  <a14:compatExt spid="_x0000_s168963"/>
                </a:ext>
                <a:ext uri="{FF2B5EF4-FFF2-40B4-BE49-F238E27FC236}">
                  <a16:creationId xmlns:a16="http://schemas.microsoft.com/office/drawing/2014/main" id="{00000000-0008-0000-0500-000003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134</xdr:row>
          <xdr:rowOff>7620</xdr:rowOff>
        </xdr:from>
        <xdr:to>
          <xdr:col>15</xdr:col>
          <xdr:colOff>746760</xdr:colOff>
          <xdr:row>135</xdr:row>
          <xdr:rowOff>0</xdr:rowOff>
        </xdr:to>
        <xdr:sp macro="" textlink="">
          <xdr:nvSpPr>
            <xdr:cNvPr id="168964" name="Button 11" hidden="1">
              <a:extLst>
                <a:ext uri="{63B3BB69-23CF-44E3-9099-C40C66FF867C}">
                  <a14:compatExt spid="_x0000_s168964"/>
                </a:ext>
                <a:ext uri="{FF2B5EF4-FFF2-40B4-BE49-F238E27FC236}">
                  <a16:creationId xmlns:a16="http://schemas.microsoft.com/office/drawing/2014/main" id="{00000000-0008-0000-0500-000004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Helvetica"/>
                  <a:cs typeface="Helvetica"/>
                </a:rPr>
                <a:t>rij toevoegen</a:t>
              </a:r>
            </a:p>
          </xdr:txBody>
        </xdr:sp>
        <xdr:clientData fPrintsWithSheet="0"/>
      </xdr:twoCellAnchor>
    </mc:Choice>
    <mc:Fallback/>
  </mc:AlternateContent>
  <xdr:twoCellAnchor editAs="oneCell">
    <xdr:from>
      <xdr:col>3</xdr:col>
      <xdr:colOff>400050</xdr:colOff>
      <xdr:row>53</xdr:row>
      <xdr:rowOff>9525</xdr:rowOff>
    </xdr:from>
    <xdr:to>
      <xdr:col>3</xdr:col>
      <xdr:colOff>581025</xdr:colOff>
      <xdr:row>53</xdr:row>
      <xdr:rowOff>171450</xdr:rowOff>
    </xdr:to>
    <xdr:pic macro="[0]!Infoventilatie">
      <xdr:nvPicPr>
        <xdr:cNvPr id="7" name="Afbeelding 2">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cstate="print"/>
        <a:srcRect/>
        <a:stretch>
          <a:fillRect/>
        </a:stretch>
      </xdr:blipFill>
      <xdr:spPr bwMode="auto">
        <a:xfrm>
          <a:off x="1741170" y="8277225"/>
          <a:ext cx="180975" cy="161925"/>
        </a:xfrm>
        <a:prstGeom prst="rect">
          <a:avLst/>
        </a:prstGeom>
        <a:noFill/>
        <a:ln w="9525">
          <a:noFill/>
          <a:miter lim="800000"/>
          <a:headEnd/>
          <a:tailEnd/>
        </a:ln>
      </xdr:spPr>
    </xdr:pic>
    <xdr:clientData fPrintsWithSheet="0"/>
  </xdr:twoCellAnchor>
  <xdr:twoCellAnchor editAs="oneCell">
    <xdr:from>
      <xdr:col>3</xdr:col>
      <xdr:colOff>523875</xdr:colOff>
      <xdr:row>12</xdr:row>
      <xdr:rowOff>9525</xdr:rowOff>
    </xdr:from>
    <xdr:to>
      <xdr:col>3</xdr:col>
      <xdr:colOff>704850</xdr:colOff>
      <xdr:row>12</xdr:row>
      <xdr:rowOff>171450</xdr:rowOff>
    </xdr:to>
    <xdr:pic macro="[0]!Infogegevens">
      <xdr:nvPicPr>
        <xdr:cNvPr id="8" name="Afbeelding 2">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cstate="print"/>
        <a:srcRect/>
        <a:stretch>
          <a:fillRect/>
        </a:stretch>
      </xdr:blipFill>
      <xdr:spPr bwMode="auto">
        <a:xfrm>
          <a:off x="1864995" y="1929765"/>
          <a:ext cx="180975" cy="161925"/>
        </a:xfrm>
        <a:prstGeom prst="rect">
          <a:avLst/>
        </a:prstGeom>
        <a:noFill/>
        <a:ln w="9525">
          <a:noFill/>
          <a:miter lim="800000"/>
          <a:headEnd/>
          <a:tailEnd/>
        </a:ln>
      </xdr:spPr>
    </xdr:pic>
    <xdr:clientData fPrintsWithSheet="0"/>
  </xdr:twoCellAnchor>
  <xdr:twoCellAnchor editAs="oneCell">
    <xdr:from>
      <xdr:col>3</xdr:col>
      <xdr:colOff>238125</xdr:colOff>
      <xdr:row>5</xdr:row>
      <xdr:rowOff>0</xdr:rowOff>
    </xdr:from>
    <xdr:to>
      <xdr:col>3</xdr:col>
      <xdr:colOff>419100</xdr:colOff>
      <xdr:row>5</xdr:row>
      <xdr:rowOff>161925</xdr:rowOff>
    </xdr:to>
    <xdr:pic macro="[0]!Infoalgemeen">
      <xdr:nvPicPr>
        <xdr:cNvPr id="9" name="Afbeelding 2">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579245" y="647700"/>
          <a:ext cx="180975" cy="161925"/>
        </a:xfrm>
        <a:prstGeom prst="rect">
          <a:avLst/>
        </a:prstGeom>
        <a:noFill/>
        <a:ln w="9525">
          <a:noFill/>
          <a:miter lim="800000"/>
          <a:headEnd/>
          <a:tailEnd/>
        </a:ln>
      </xdr:spPr>
    </xdr:pic>
    <xdr:clientData fPrintsWithSheet="0"/>
  </xdr:twoCellAnchor>
  <xdr:twoCellAnchor editAs="oneCell">
    <xdr:from>
      <xdr:col>4</xdr:col>
      <xdr:colOff>314325</xdr:colOff>
      <xdr:row>24</xdr:row>
      <xdr:rowOff>9525</xdr:rowOff>
    </xdr:from>
    <xdr:to>
      <xdr:col>4</xdr:col>
      <xdr:colOff>495300</xdr:colOff>
      <xdr:row>24</xdr:row>
      <xdr:rowOff>171450</xdr:rowOff>
    </xdr:to>
    <xdr:pic macro="[0]!Infoindelingvg">
      <xdr:nvPicPr>
        <xdr:cNvPr id="10" name="Afbeelding 2">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cstate="print"/>
        <a:srcRect/>
        <a:stretch>
          <a:fillRect/>
        </a:stretch>
      </xdr:blipFill>
      <xdr:spPr bwMode="auto">
        <a:xfrm>
          <a:off x="2386965" y="3811905"/>
          <a:ext cx="180975" cy="161925"/>
        </a:xfrm>
        <a:prstGeom prst="rect">
          <a:avLst/>
        </a:prstGeom>
        <a:noFill/>
        <a:ln w="9525">
          <a:noFill/>
          <a:miter lim="800000"/>
          <a:headEnd/>
          <a:tailEnd/>
        </a:ln>
      </xdr:spPr>
    </xdr:pic>
    <xdr:clientData fPrintsWithSheet="0"/>
  </xdr:twoCellAnchor>
  <xdr:twoCellAnchor>
    <xdr:from>
      <xdr:col>5</xdr:col>
      <xdr:colOff>380157</xdr:colOff>
      <xdr:row>98</xdr:row>
      <xdr:rowOff>9525</xdr:rowOff>
    </xdr:from>
    <xdr:to>
      <xdr:col>5</xdr:col>
      <xdr:colOff>561974</xdr:colOff>
      <xdr:row>98</xdr:row>
      <xdr:rowOff>141899</xdr:rowOff>
    </xdr:to>
    <xdr:pic macro="[0]!Infoventilatieafvoer">
      <xdr:nvPicPr>
        <xdr:cNvPr id="11" name="Afbeelding 2">
          <a:extLst>
            <a:ext uri="{FF2B5EF4-FFF2-40B4-BE49-F238E27FC236}">
              <a16:creationId xmlns:a16="http://schemas.microsoft.com/office/drawing/2014/main" id="{00000000-0008-0000-0500-00000B000000}"/>
            </a:ext>
          </a:extLst>
        </xdr:cNvPr>
        <xdr:cNvPicPr>
          <a:picLocks/>
        </xdr:cNvPicPr>
      </xdr:nvPicPr>
      <xdr:blipFill>
        <a:blip xmlns:r="http://schemas.openxmlformats.org/officeDocument/2006/relationships" r:embed="rId3" cstate="print"/>
        <a:srcRect/>
        <a:stretch>
          <a:fillRect/>
        </a:stretch>
      </xdr:blipFill>
      <xdr:spPr bwMode="auto">
        <a:xfrm>
          <a:off x="3451017" y="15272385"/>
          <a:ext cx="181817" cy="132374"/>
        </a:xfrm>
        <a:prstGeom prst="rect">
          <a:avLst/>
        </a:prstGeom>
        <a:noFill/>
        <a:ln w="9525">
          <a:noFill/>
          <a:miter lim="800000"/>
          <a:headEnd/>
          <a:tailEnd/>
        </a:ln>
      </xdr:spPr>
    </xdr:pic>
    <xdr:clientData fPrintsWithSheet="0"/>
  </xdr:twoCellAnchor>
  <xdr:twoCellAnchor editAs="oneCell">
    <xdr:from>
      <xdr:col>8</xdr:col>
      <xdr:colOff>413385</xdr:colOff>
      <xdr:row>54</xdr:row>
      <xdr:rowOff>27454</xdr:rowOff>
    </xdr:from>
    <xdr:to>
      <xdr:col>11</xdr:col>
      <xdr:colOff>251191</xdr:colOff>
      <xdr:row>58</xdr:row>
      <xdr:rowOff>151187</xdr:rowOff>
    </xdr:to>
    <xdr:pic>
      <xdr:nvPicPr>
        <xdr:cNvPr id="13" name="Afbeelding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5"/>
        <a:stretch>
          <a:fillRect/>
        </a:stretch>
      </xdr:blipFill>
      <xdr:spPr>
        <a:xfrm>
          <a:off x="5678805" y="8485654"/>
          <a:ext cx="2215246" cy="73333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2</xdr:col>
      <xdr:colOff>342901</xdr:colOff>
      <xdr:row>12</xdr:row>
      <xdr:rowOff>116711</xdr:rowOff>
    </xdr:from>
    <xdr:ext cx="2434256" cy="2588390"/>
    <xdr:pic>
      <xdr:nvPicPr>
        <xdr:cNvPr id="2" name="Afbeelding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956" t="16747" r="27581" b="11740"/>
        <a:stretch/>
      </xdr:blipFill>
      <xdr:spPr>
        <a:xfrm>
          <a:off x="1714501" y="1831211"/>
          <a:ext cx="2434256" cy="2588390"/>
        </a:xfrm>
        <a:prstGeom prst="rect">
          <a:avLst/>
        </a:prstGeom>
      </xdr:spPr>
    </xdr:pic>
    <xdr:clientData/>
  </xdr:oneCellAnchor>
  <xdr:oneCellAnchor>
    <xdr:from>
      <xdr:col>13</xdr:col>
      <xdr:colOff>352426</xdr:colOff>
      <xdr:row>13</xdr:row>
      <xdr:rowOff>2411</xdr:rowOff>
    </xdr:from>
    <xdr:ext cx="2434256" cy="2588390"/>
    <xdr:pic>
      <xdr:nvPicPr>
        <xdr:cNvPr id="4" name="Afbeelding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956" t="16747" r="27581" b="11740"/>
        <a:stretch/>
      </xdr:blipFill>
      <xdr:spPr>
        <a:xfrm>
          <a:off x="9267826" y="1859786"/>
          <a:ext cx="2434256" cy="2588390"/>
        </a:xfrm>
        <a:prstGeom prst="rect">
          <a:avLst/>
        </a:prstGeom>
      </xdr:spPr>
    </xdr:pic>
    <xdr:clientData/>
  </xdr:oneCellAnchor>
  <xdr:twoCellAnchor editAs="oneCell">
    <xdr:from>
      <xdr:col>1</xdr:col>
      <xdr:colOff>276225</xdr:colOff>
      <xdr:row>0</xdr:row>
      <xdr:rowOff>28575</xdr:rowOff>
    </xdr:from>
    <xdr:to>
      <xdr:col>4</xdr:col>
      <xdr:colOff>442111</xdr:colOff>
      <xdr:row>6</xdr:row>
      <xdr:rowOff>274036</xdr:rowOff>
    </xdr:to>
    <xdr:pic>
      <xdr:nvPicPr>
        <xdr:cNvPr id="5" name="Afbeelding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stretch>
          <a:fillRect/>
        </a:stretch>
      </xdr:blipFill>
      <xdr:spPr>
        <a:xfrm>
          <a:off x="419100" y="28575"/>
          <a:ext cx="1737511" cy="112176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Daphne Hellendoorn" id="{608F8E5C-6E00-4E36-BF2C-D3CF45D4C127}" userId="S::DHe@nieman.nl::2f3a4b34-6e88-4432-9009-5b28e5e979d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186" dT="2022-09-12T09:22:51.00" personId="{608F8E5C-6E00-4E36-BF2C-D3CF45D4C127}" id="{377EB322-3A3F-4B99-972F-6888977E86DB}">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2.xml><?xml version="1.0" encoding="utf-8"?>
<ThreadedComments xmlns="http://schemas.microsoft.com/office/spreadsheetml/2018/threadedcomments" xmlns:x="http://schemas.openxmlformats.org/spreadsheetml/2006/main">
  <threadedComment ref="O186" dT="2022-09-12T09:22:51.00" personId="{608F8E5C-6E00-4E36-BF2C-D3CF45D4C127}" id="{03762ACC-D580-4CE5-AE11-9829DDAD774D}">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3.xml><?xml version="1.0" encoding="utf-8"?>
<ThreadedComments xmlns="http://schemas.microsoft.com/office/spreadsheetml/2018/threadedcomments" xmlns:x="http://schemas.openxmlformats.org/spreadsheetml/2006/main">
  <threadedComment ref="O186" dT="2022-09-12T09:22:51.00" personId="{608F8E5C-6E00-4E36-BF2C-D3CF45D4C127}" id="{A8F410D3-4884-4168-B4FC-CC848FE4A259}">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4.xml><?xml version="1.0" encoding="utf-8"?>
<ThreadedComments xmlns="http://schemas.microsoft.com/office/spreadsheetml/2018/threadedcomments" xmlns:x="http://schemas.openxmlformats.org/spreadsheetml/2006/main">
  <threadedComment ref="O186" dT="2022-09-12T09:22:51.00" personId="{608F8E5C-6E00-4E36-BF2C-D3CF45D4C127}" id="{CAF199D3-E74F-4022-9574-14AD9ED51A1C}">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5.xml><?xml version="1.0" encoding="utf-8"?>
<ThreadedComments xmlns="http://schemas.microsoft.com/office/spreadsheetml/2018/threadedcomments" xmlns:x="http://schemas.openxmlformats.org/spreadsheetml/2006/main">
  <threadedComment ref="O186" dT="2022-09-12T09:22:51.00" personId="{608F8E5C-6E00-4E36-BF2C-D3CF45D4C127}" id="{9E24EA6D-63C6-4B63-8EA5-FE24E3FB028E}">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6.xml><?xml version="1.0" encoding="utf-8"?>
<ThreadedComments xmlns="http://schemas.microsoft.com/office/spreadsheetml/2018/threadedcomments" xmlns:x="http://schemas.openxmlformats.org/spreadsheetml/2006/main">
  <threadedComment ref="O165" dT="2022-09-12T09:22:51.00" personId="{608F8E5C-6E00-4E36-BF2C-D3CF45D4C127}" id="{592DFEA0-E4C5-4337-B01A-2DE60BC45590}">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7.xml><?xml version="1.0" encoding="utf-8"?>
<ThreadedComments xmlns="http://schemas.microsoft.com/office/spreadsheetml/2018/threadedcomments" xmlns:x="http://schemas.openxmlformats.org/spreadsheetml/2006/main">
  <threadedComment ref="O165" dT="2022-09-12T09:22:51.00" personId="{608F8E5C-6E00-4E36-BF2C-D3CF45D4C127}" id="{2C1E3090-D675-4680-AEF8-F301D93976FE}">
    <text>let op verschillende manieren van spuien bepalen:
- let op inwenidge hoek en uitwendige hoek en luchtsnelheid
- verschil op verblijfsgebied niveau en verblijfsruimteniveau.
nagaan bij Sandra of Wouter!!!!</text>
  </threadedComment>
</ThreadedComments>
</file>

<file path=xl/threadedComments/threadedComment8.xml><?xml version="1.0" encoding="utf-8"?>
<ThreadedComments xmlns="http://schemas.microsoft.com/office/spreadsheetml/2018/threadedcomments" xmlns:x="http://schemas.openxmlformats.org/spreadsheetml/2006/main">
  <threadedComment ref="O141" dT="2022-09-12T09:22:51.00" personId="{608F8E5C-6E00-4E36-BF2C-D3CF45D4C127}" id="{EF99098F-A7F4-4D02-8768-5EA34B782D47}">
    <text>let op verschillende manieren van spuien bepalen:
- let op inwenidge hoek en uitwendige hoek en luchtsnelheid
- verschil op verblijfsgebied niveau en verblijfsruimteniveau.
nagaan bij Sandra of Wouter!!!!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17/10/relationships/threadedComment" Target="../threadedComments/threadedComment1.xml"/><Relationship Id="rId4" Type="http://schemas.openxmlformats.org/officeDocument/2006/relationships/vmlDrawing" Target="../drawings/vmlDrawing4.v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10" Type="http://schemas.microsoft.com/office/2017/10/relationships/threadedComment" Target="../threadedComments/threadedComment2.xml"/><Relationship Id="rId4" Type="http://schemas.openxmlformats.org/officeDocument/2006/relationships/vmlDrawing" Target="../drawings/vmlDrawing6.v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7.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10" Type="http://schemas.microsoft.com/office/2017/10/relationships/threadedComment" Target="../threadedComments/threadedComment3.xml"/><Relationship Id="rId4" Type="http://schemas.openxmlformats.org/officeDocument/2006/relationships/vmlDrawing" Target="../drawings/vmlDrawing8.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9.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10" Type="http://schemas.microsoft.com/office/2017/10/relationships/threadedComment" Target="../threadedComments/threadedComment4.xml"/><Relationship Id="rId4" Type="http://schemas.openxmlformats.org/officeDocument/2006/relationships/vmlDrawing" Target="../drawings/vmlDrawing10.v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11.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10" Type="http://schemas.microsoft.com/office/2017/10/relationships/threadedComment" Target="../threadedComments/threadedComment5.xml"/><Relationship Id="rId4" Type="http://schemas.openxmlformats.org/officeDocument/2006/relationships/vmlDrawing" Target="../drawings/vmlDrawing12.v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13.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5" Type="http://schemas.openxmlformats.org/officeDocument/2006/relationships/ctrlProp" Target="../ctrlProps/ctrlProp21.xml"/><Relationship Id="rId10" Type="http://schemas.microsoft.com/office/2017/10/relationships/threadedComment" Target="../threadedComments/threadedComment6.xml"/><Relationship Id="rId4" Type="http://schemas.openxmlformats.org/officeDocument/2006/relationships/vmlDrawing" Target="../drawings/vmlDrawing14.vml"/><Relationship Id="rId9" Type="http://schemas.openxmlformats.org/officeDocument/2006/relationships/comments" Target="../comments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15.vml"/><Relationship Id="rId7" Type="http://schemas.openxmlformats.org/officeDocument/2006/relationships/ctrlProp" Target="../ctrlProps/ctrlProp2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10" Type="http://schemas.microsoft.com/office/2017/10/relationships/threadedComment" Target="../threadedComments/threadedComment7.xml"/><Relationship Id="rId4" Type="http://schemas.openxmlformats.org/officeDocument/2006/relationships/vmlDrawing" Target="../drawings/vmlDrawing16.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17.vml"/><Relationship Id="rId7" Type="http://schemas.openxmlformats.org/officeDocument/2006/relationships/ctrlProp" Target="../ctrlProps/ctrlProp31.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30.xml"/><Relationship Id="rId5" Type="http://schemas.openxmlformats.org/officeDocument/2006/relationships/ctrlProp" Target="../ctrlProps/ctrlProp29.xml"/><Relationship Id="rId10" Type="http://schemas.microsoft.com/office/2017/10/relationships/threadedComment" Target="../threadedComments/threadedComment8.xml"/><Relationship Id="rId4" Type="http://schemas.openxmlformats.org/officeDocument/2006/relationships/vmlDrawing" Target="../drawings/vmlDrawing18.vml"/><Relationship Id="rId9"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9.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7">
    <tabColor indexed="12"/>
  </sheetPr>
  <dimension ref="A1:AE43"/>
  <sheetViews>
    <sheetView topLeftCell="C4" workbookViewId="0">
      <selection activeCell="G32" sqref="G32"/>
    </sheetView>
  </sheetViews>
  <sheetFormatPr defaultColWidth="9.109375" defaultRowHeight="13.2"/>
  <cols>
    <col min="1" max="1" width="3" style="688" hidden="1" customWidth="1"/>
    <col min="2" max="2" width="2.109375" style="688" hidden="1" customWidth="1"/>
    <col min="3" max="3" width="32.6640625" style="671" customWidth="1"/>
    <col min="4" max="4" width="8.6640625" style="671" customWidth="1"/>
    <col min="5" max="7" width="10.6640625" style="671" customWidth="1"/>
    <col min="8" max="8" width="16.88671875" style="672" customWidth="1"/>
    <col min="9" max="9" width="7.6640625" style="672" bestFit="1" customWidth="1"/>
    <col min="10" max="10" width="17.109375" style="672" customWidth="1"/>
    <col min="11" max="11" width="10.6640625" style="672" customWidth="1"/>
    <col min="12" max="12" width="3.109375" style="672" bestFit="1" customWidth="1"/>
    <col min="13" max="13" width="10.6640625" style="672" customWidth="1"/>
    <col min="14" max="14" width="6" style="672" customWidth="1"/>
    <col min="15" max="15" width="12.44140625" style="672" customWidth="1"/>
    <col min="16" max="16" width="8.109375" style="498" customWidth="1"/>
    <col min="17" max="17" width="4" style="498" customWidth="1"/>
    <col min="18" max="18" width="2.109375" style="498" bestFit="1" customWidth="1"/>
    <col min="19" max="19" width="3.109375" style="673" customWidth="1"/>
    <col min="20" max="20" width="5.109375" style="498" bestFit="1" customWidth="1"/>
    <col min="21" max="24" width="2.109375" style="498" bestFit="1" customWidth="1"/>
    <col min="25" max="27" width="3" style="498" bestFit="1" customWidth="1"/>
    <col min="28" max="28" width="4" style="500" customWidth="1"/>
    <col min="29" max="29" width="4.109375" style="498" bestFit="1" customWidth="1"/>
    <col min="30" max="30" width="6.109375" style="498" customWidth="1"/>
    <col min="31" max="16384" width="9.109375" style="498"/>
  </cols>
  <sheetData>
    <row r="1" spans="1:31" ht="57" hidden="1" customHeight="1">
      <c r="C1" s="428"/>
      <c r="D1" s="428"/>
      <c r="E1" s="428"/>
      <c r="F1" s="428"/>
      <c r="G1" s="428"/>
      <c r="H1" s="429"/>
      <c r="I1" s="429"/>
      <c r="J1" s="429"/>
      <c r="K1" s="429"/>
      <c r="L1" s="429"/>
      <c r="M1" s="429"/>
      <c r="N1" s="429"/>
      <c r="O1" s="429"/>
      <c r="AB1" s="498"/>
    </row>
    <row r="2" spans="1:31" ht="24" hidden="1" customHeight="1">
      <c r="C2" s="493"/>
      <c r="D2" s="493"/>
      <c r="E2" s="493"/>
      <c r="F2" s="493"/>
      <c r="G2" s="493"/>
      <c r="H2" s="493"/>
      <c r="I2" s="493"/>
      <c r="J2" s="493"/>
      <c r="K2" s="493"/>
      <c r="L2" s="493"/>
      <c r="M2" s="493"/>
      <c r="N2" s="493"/>
      <c r="O2" s="493"/>
    </row>
    <row r="3" spans="1:31" ht="24" hidden="1" customHeight="1">
      <c r="A3" s="689"/>
      <c r="B3" s="689"/>
      <c r="C3" s="502"/>
      <c r="D3" s="502"/>
      <c r="E3" s="502"/>
      <c r="F3" s="502"/>
      <c r="G3" s="502"/>
      <c r="H3" s="502"/>
      <c r="I3" s="502"/>
      <c r="J3" s="503"/>
      <c r="K3" s="503"/>
      <c r="L3" s="503"/>
      <c r="M3" s="503"/>
      <c r="N3" s="503"/>
      <c r="O3" s="503"/>
      <c r="P3" s="690"/>
      <c r="Q3" s="690"/>
      <c r="R3" s="690"/>
      <c r="S3" s="691"/>
      <c r="T3" s="690"/>
      <c r="U3" s="690"/>
      <c r="V3" s="690"/>
      <c r="W3" s="690"/>
      <c r="X3" s="690"/>
      <c r="Y3" s="690"/>
      <c r="Z3" s="690"/>
      <c r="AA3" s="690"/>
      <c r="AB3" s="692"/>
    </row>
    <row r="4" spans="1:31" ht="27" customHeight="1">
      <c r="C4" s="792" t="s">
        <v>1078</v>
      </c>
      <c r="D4" s="792"/>
      <c r="E4" s="792"/>
      <c r="F4" s="792"/>
      <c r="G4" s="792"/>
      <c r="H4" s="792"/>
      <c r="I4" s="792"/>
      <c r="J4" s="792"/>
      <c r="K4" s="792"/>
      <c r="L4" s="792"/>
      <c r="M4" s="792"/>
      <c r="N4" s="792"/>
      <c r="O4" s="792"/>
      <c r="P4" s="693"/>
      <c r="Q4" s="694"/>
      <c r="R4" s="694"/>
      <c r="S4" s="695"/>
      <c r="T4" s="690"/>
      <c r="U4" s="690"/>
      <c r="V4" s="690"/>
      <c r="W4" s="690"/>
      <c r="X4" s="690"/>
      <c r="Y4" s="690"/>
      <c r="Z4" s="690"/>
      <c r="AA4" s="690"/>
      <c r="AB4" s="692"/>
    </row>
    <row r="5" spans="1:31" s="514" customFormat="1" ht="24" customHeight="1">
      <c r="A5" s="696"/>
      <c r="B5" s="696"/>
      <c r="C5" s="793"/>
      <c r="D5" s="793"/>
      <c r="E5" s="793"/>
      <c r="F5" s="793"/>
      <c r="G5" s="793"/>
      <c r="H5" s="793"/>
      <c r="I5" s="793"/>
      <c r="J5" s="793"/>
      <c r="K5" s="793"/>
      <c r="L5" s="510"/>
      <c r="M5" s="510"/>
      <c r="N5" s="510"/>
      <c r="O5" s="697"/>
      <c r="P5" s="695"/>
      <c r="Q5" s="695"/>
      <c r="R5" s="692"/>
      <c r="S5" s="692"/>
      <c r="T5" s="695"/>
      <c r="U5" s="695"/>
      <c r="V5" s="695"/>
      <c r="W5" s="695"/>
      <c r="X5" s="695"/>
      <c r="Y5" s="695"/>
      <c r="Z5" s="695"/>
      <c r="AA5" s="695"/>
      <c r="AB5" s="692"/>
      <c r="AE5" s="498"/>
    </row>
    <row r="6" spans="1:31" s="518" customFormat="1" ht="15" customHeight="1">
      <c r="A6" s="698"/>
      <c r="B6" s="698"/>
      <c r="C6" s="788" t="s">
        <v>1079</v>
      </c>
      <c r="D6" s="788"/>
      <c r="E6" s="788"/>
      <c r="F6" s="788"/>
      <c r="G6" s="788"/>
      <c r="H6" s="788"/>
      <c r="I6" s="788"/>
      <c r="J6" s="788"/>
      <c r="K6" s="788"/>
      <c r="L6" s="788"/>
      <c r="M6" s="788"/>
      <c r="N6" s="788"/>
      <c r="O6" s="788"/>
      <c r="P6" s="546"/>
      <c r="Q6" s="546"/>
      <c r="R6" s="692"/>
      <c r="S6" s="692"/>
      <c r="T6" s="546"/>
      <c r="U6" s="546"/>
      <c r="V6" s="546"/>
      <c r="W6" s="546"/>
      <c r="X6" s="546"/>
      <c r="Y6" s="546"/>
      <c r="Z6" s="546"/>
      <c r="AA6" s="546"/>
      <c r="AB6" s="692"/>
      <c r="AE6" s="498"/>
    </row>
    <row r="7" spans="1:31" s="518" customFormat="1" ht="9" hidden="1" customHeight="1">
      <c r="A7" s="698"/>
      <c r="B7" s="698"/>
      <c r="C7" s="386"/>
      <c r="D7" s="386"/>
      <c r="E7" s="386"/>
      <c r="F7" s="386"/>
      <c r="G7" s="386"/>
      <c r="H7" s="386"/>
      <c r="I7" s="386"/>
      <c r="J7" s="386"/>
      <c r="K7" s="386"/>
      <c r="L7" s="386"/>
      <c r="M7" s="386"/>
      <c r="N7" s="386"/>
      <c r="O7" s="386"/>
      <c r="P7" s="546"/>
      <c r="Q7" s="546"/>
      <c r="R7" s="692"/>
      <c r="S7" s="699"/>
      <c r="T7" s="546"/>
      <c r="U7" s="546"/>
      <c r="V7" s="546"/>
      <c r="W7" s="546"/>
      <c r="X7" s="546"/>
      <c r="Y7" s="546"/>
      <c r="Z7" s="546"/>
      <c r="AA7" s="546"/>
      <c r="AB7" s="692"/>
      <c r="AE7" s="498"/>
    </row>
    <row r="8" spans="1:31" s="518" customFormat="1" ht="15" customHeight="1">
      <c r="A8" s="698"/>
      <c r="B8" s="698"/>
      <c r="C8" s="387" t="s">
        <v>0</v>
      </c>
      <c r="D8" s="785" t="s">
        <v>5</v>
      </c>
      <c r="E8" s="785"/>
      <c r="F8" s="785"/>
      <c r="G8" s="700"/>
      <c r="H8" s="391"/>
      <c r="I8" s="391"/>
      <c r="J8" s="391"/>
      <c r="K8" s="391"/>
      <c r="L8" s="391"/>
      <c r="M8" s="391"/>
      <c r="N8" s="391"/>
      <c r="O8" s="391"/>
      <c r="P8" s="546"/>
      <c r="Q8" s="546"/>
      <c r="R8" s="692"/>
      <c r="S8" s="699"/>
      <c r="T8" s="546"/>
      <c r="U8" s="546"/>
      <c r="V8" s="546"/>
      <c r="W8" s="546"/>
      <c r="X8" s="546"/>
      <c r="Y8" s="546"/>
      <c r="Z8" s="546"/>
      <c r="AA8" s="546"/>
      <c r="AB8" s="692"/>
      <c r="AE8" s="498"/>
    </row>
    <row r="9" spans="1:31" s="518" customFormat="1" ht="15" customHeight="1">
      <c r="A9" s="698"/>
      <c r="B9" s="698"/>
      <c r="C9" s="387" t="s">
        <v>1</v>
      </c>
      <c r="D9" s="785" t="s">
        <v>6</v>
      </c>
      <c r="E9" s="785"/>
      <c r="F9" s="785"/>
      <c r="G9" s="700"/>
      <c r="H9" s="391"/>
      <c r="I9" s="391"/>
      <c r="J9" s="391"/>
      <c r="K9" s="391"/>
      <c r="L9" s="391"/>
      <c r="M9" s="391"/>
      <c r="N9" s="391"/>
      <c r="O9" s="391"/>
      <c r="P9" s="546"/>
      <c r="Q9" s="546"/>
      <c r="R9" s="692"/>
      <c r="S9" s="699"/>
      <c r="T9" s="546"/>
      <c r="U9" s="546"/>
      <c r="V9" s="546"/>
      <c r="W9" s="546"/>
      <c r="X9" s="546"/>
      <c r="Y9" s="546"/>
      <c r="Z9" s="546"/>
      <c r="AA9" s="546"/>
      <c r="AB9" s="692"/>
      <c r="AE9" s="498"/>
    </row>
    <row r="10" spans="1:31" s="518" customFormat="1" ht="15" customHeight="1">
      <c r="A10" s="698"/>
      <c r="B10" s="698"/>
      <c r="C10" s="387" t="s">
        <v>2</v>
      </c>
      <c r="D10" s="785" t="s">
        <v>7</v>
      </c>
      <c r="E10" s="785"/>
      <c r="F10" s="785"/>
      <c r="G10" s="700"/>
      <c r="H10" s="391"/>
      <c r="I10" s="391"/>
      <c r="J10" s="391"/>
      <c r="K10" s="391"/>
      <c r="L10" s="391"/>
      <c r="M10" s="391"/>
      <c r="N10" s="391"/>
      <c r="O10" s="391"/>
      <c r="P10" s="546"/>
      <c r="Q10" s="546"/>
      <c r="R10" s="692"/>
      <c r="S10" s="699"/>
      <c r="T10" s="546"/>
      <c r="U10" s="546"/>
      <c r="V10" s="546"/>
      <c r="W10" s="546"/>
      <c r="X10" s="546"/>
      <c r="Y10" s="546"/>
      <c r="Z10" s="546"/>
      <c r="AA10" s="546"/>
      <c r="AB10" s="692"/>
      <c r="AE10" s="498"/>
    </row>
    <row r="11" spans="1:31" s="518" customFormat="1" ht="15" customHeight="1">
      <c r="A11" s="698"/>
      <c r="B11" s="698"/>
      <c r="C11" s="387" t="s">
        <v>3</v>
      </c>
      <c r="D11" s="786">
        <f ca="1">TODAY()</f>
        <v>45033</v>
      </c>
      <c r="E11" s="787"/>
      <c r="F11" s="787"/>
      <c r="G11" s="701"/>
      <c r="H11" s="702"/>
      <c r="I11" s="702"/>
      <c r="J11" s="399"/>
      <c r="K11" s="399"/>
      <c r="L11" s="399"/>
      <c r="M11" s="399"/>
      <c r="N11" s="399"/>
      <c r="O11" s="399"/>
      <c r="P11" s="546"/>
      <c r="Q11" s="546"/>
      <c r="R11" s="546"/>
      <c r="S11" s="703"/>
      <c r="T11" s="546"/>
      <c r="U11" s="546"/>
      <c r="V11" s="546"/>
      <c r="W11" s="546"/>
      <c r="X11" s="546"/>
      <c r="Y11" s="546"/>
      <c r="Z11" s="546"/>
      <c r="AA11" s="546"/>
      <c r="AB11" s="692"/>
      <c r="AE11" s="498"/>
    </row>
    <row r="12" spans="1:31" s="518" customFormat="1" ht="24" customHeight="1">
      <c r="A12" s="698"/>
      <c r="B12" s="698"/>
      <c r="C12" s="387"/>
      <c r="D12" s="401"/>
      <c r="E12" s="401"/>
      <c r="F12" s="401"/>
      <c r="G12" s="387"/>
      <c r="H12" s="387"/>
      <c r="I12" s="387"/>
      <c r="J12" s="387"/>
      <c r="K12" s="387"/>
      <c r="L12" s="387"/>
      <c r="M12" s="387"/>
      <c r="N12" s="387"/>
      <c r="O12" s="387"/>
      <c r="P12" s="704"/>
      <c r="Q12" s="546"/>
      <c r="R12" s="546"/>
      <c r="S12" s="703"/>
      <c r="T12" s="546"/>
      <c r="U12" s="546"/>
      <c r="V12" s="546"/>
      <c r="W12" s="546"/>
      <c r="X12" s="546"/>
      <c r="Y12" s="546"/>
      <c r="Z12" s="546"/>
      <c r="AA12" s="546"/>
      <c r="AB12" s="692"/>
      <c r="AE12" s="498"/>
    </row>
    <row r="13" spans="1:31" s="518" customFormat="1" ht="15" customHeight="1">
      <c r="A13" s="698"/>
      <c r="B13" s="698"/>
      <c r="C13" s="788" t="s">
        <v>1080</v>
      </c>
      <c r="D13" s="788"/>
      <c r="E13" s="788"/>
      <c r="F13" s="788"/>
      <c r="G13" s="788"/>
      <c r="H13" s="788"/>
      <c r="I13" s="788"/>
      <c r="J13" s="788"/>
      <c r="K13" s="788"/>
      <c r="L13" s="788"/>
      <c r="M13" s="788"/>
      <c r="N13" s="788"/>
      <c r="O13" s="788"/>
      <c r="P13" s="704"/>
      <c r="Q13" s="546"/>
      <c r="R13" s="546"/>
      <c r="S13" s="703"/>
      <c r="T13" s="546"/>
      <c r="U13" s="546"/>
      <c r="V13" s="546"/>
      <c r="W13" s="546"/>
      <c r="X13" s="546"/>
      <c r="Y13" s="546"/>
      <c r="Z13" s="546"/>
      <c r="AA13" s="546"/>
      <c r="AB13" s="692"/>
    </row>
    <row r="14" spans="1:31" s="518" customFormat="1" ht="9" hidden="1" customHeight="1">
      <c r="A14" s="698"/>
      <c r="B14" s="698"/>
      <c r="C14" s="386"/>
      <c r="D14" s="386"/>
      <c r="E14" s="386"/>
      <c r="F14" s="386"/>
      <c r="G14" s="386"/>
      <c r="H14" s="386"/>
      <c r="I14" s="386"/>
      <c r="J14" s="386"/>
      <c r="K14" s="386"/>
      <c r="L14" s="386"/>
      <c r="M14" s="386"/>
      <c r="N14" s="386"/>
      <c r="O14" s="386"/>
      <c r="P14" s="704"/>
      <c r="Q14" s="546"/>
      <c r="R14" s="546"/>
      <c r="S14" s="703"/>
      <c r="T14" s="546"/>
      <c r="U14" s="546"/>
      <c r="V14" s="546"/>
      <c r="W14" s="546"/>
      <c r="X14" s="546"/>
      <c r="Y14" s="546"/>
      <c r="Z14" s="546"/>
      <c r="AA14" s="546"/>
      <c r="AB14" s="692"/>
    </row>
    <row r="15" spans="1:31" s="518" customFormat="1" ht="15" customHeight="1">
      <c r="A15" s="698"/>
      <c r="B15" s="698"/>
      <c r="C15" s="705" t="s">
        <v>133</v>
      </c>
      <c r="D15" s="789" t="s">
        <v>1106</v>
      </c>
      <c r="E15" s="789"/>
      <c r="F15" s="789" t="s">
        <v>246</v>
      </c>
      <c r="G15" s="789"/>
      <c r="H15" s="461" t="s">
        <v>1111</v>
      </c>
      <c r="I15" s="461" t="s">
        <v>244</v>
      </c>
      <c r="J15" s="461" t="s">
        <v>1112</v>
      </c>
      <c r="K15" s="789" t="s">
        <v>1113</v>
      </c>
      <c r="L15" s="789"/>
      <c r="M15" s="789"/>
      <c r="N15" s="789" t="s">
        <v>1113</v>
      </c>
      <c r="O15" s="789"/>
      <c r="P15" s="706"/>
      <c r="Q15" s="706"/>
      <c r="R15" s="546"/>
      <c r="S15" s="706"/>
      <c r="T15" s="546"/>
      <c r="U15" s="546"/>
      <c r="V15" s="546"/>
      <c r="W15" s="546"/>
      <c r="X15" s="546"/>
      <c r="Y15" s="546"/>
      <c r="Z15" s="546"/>
      <c r="AA15" s="546"/>
      <c r="AB15" s="692"/>
    </row>
    <row r="16" spans="1:31" s="518" customFormat="1">
      <c r="A16" s="698"/>
      <c r="B16" s="698"/>
      <c r="C16" s="776" t="s">
        <v>69</v>
      </c>
      <c r="D16" s="794">
        <v>2</v>
      </c>
      <c r="E16" s="794"/>
      <c r="F16" s="795">
        <v>3.2</v>
      </c>
      <c r="G16" s="795"/>
      <c r="H16" s="770">
        <f>D16*F16</f>
        <v>6.4</v>
      </c>
      <c r="I16" s="777">
        <v>0.625</v>
      </c>
      <c r="J16" s="778">
        <f>H16/(I16*1000)</f>
        <v>1.0240000000000001E-2</v>
      </c>
      <c r="K16" s="779">
        <f>SQRT($J16)*1000</f>
        <v>101.19288512538814</v>
      </c>
      <c r="L16" s="780" t="s">
        <v>247</v>
      </c>
      <c r="M16" s="779">
        <f>SQRT($J16)*1000</f>
        <v>101.19288512538814</v>
      </c>
      <c r="N16" s="781" t="s">
        <v>248</v>
      </c>
      <c r="O16" s="779">
        <f>IF(((J16/0.25/(PI()))^0.5*1000)&lt;=63,63,IF(((J16/0.25/(PI()))^0.5*1000)&lt;=80,80,IF(((J16/0.25/(PI()))^0.5*1000)&lt;=100,100,IF(((J16/0.25/(PI()))^0.5*1000)&lt;=125,125,IF(((J16/0.25/(PI()))^0.5*1000)&lt;=160,160,IF(((J16/0.25/(PI()))^0.5*1000)&lt;=200,200,IF(((J16/0.25/(PI()))^0.5*1000)&lt;=250,250,IF(((J16/0.25/(PI()))^0.5*1000)&lt;=315,315,((J16/0.25/(PI()))^0.5*1000)))))))))</f>
        <v>125</v>
      </c>
      <c r="P16" s="704"/>
      <c r="Q16" s="707"/>
      <c r="R16" s="546"/>
      <c r="S16" s="703"/>
      <c r="T16" s="546"/>
      <c r="U16" s="546"/>
      <c r="V16" s="546"/>
      <c r="W16" s="546"/>
      <c r="X16" s="546"/>
      <c r="Y16" s="546"/>
      <c r="Z16" s="546"/>
      <c r="AA16" s="546"/>
      <c r="AB16" s="692"/>
    </row>
    <row r="17" spans="1:28" s="518" customFormat="1">
      <c r="A17" s="698"/>
      <c r="B17" s="698"/>
      <c r="C17" s="776" t="s">
        <v>1061</v>
      </c>
      <c r="D17" s="794">
        <v>10</v>
      </c>
      <c r="E17" s="794"/>
      <c r="F17" s="795">
        <v>0.5</v>
      </c>
      <c r="G17" s="795"/>
      <c r="H17" s="770">
        <f>D17*F17</f>
        <v>5</v>
      </c>
      <c r="I17" s="777">
        <v>0.625</v>
      </c>
      <c r="J17" s="778">
        <f>H17/(I17*1000)</f>
        <v>8.0000000000000002E-3</v>
      </c>
      <c r="K17" s="779">
        <f>SQRT($J17)*1000</f>
        <v>89.442719099991592</v>
      </c>
      <c r="L17" s="780" t="s">
        <v>247</v>
      </c>
      <c r="M17" s="779">
        <f>SQRT($J17)*1000</f>
        <v>89.442719099991592</v>
      </c>
      <c r="N17" s="781" t="s">
        <v>248</v>
      </c>
      <c r="O17" s="779">
        <f>IF(((J17/0.25/(PI()))^0.5*1000)&lt;=63,63,IF(((J17/0.25/(PI()))^0.5*1000)&lt;=80,80,IF(((J17/0.25/(PI()))^0.5*1000)&lt;=100,100,IF(((J17/0.25/(PI()))^0.5*1000)&lt;=125,125,IF(((J17/0.25/(PI()))^0.5*1000)&lt;=160,160,IF(((J17/0.25/(PI()))^0.5*1000)&lt;=200,200,IF(((J17/0.25/(PI()))^0.5*1000)&lt;=250,250,IF(((J17/0.25/(PI()))^0.5*1000)&lt;=315,315,((J17/0.25/(PI()))^0.5*1000)))))))))</f>
        <v>125</v>
      </c>
      <c r="P17" s="704"/>
      <c r="Q17" s="707"/>
      <c r="R17" s="546"/>
      <c r="S17" s="703"/>
      <c r="T17" s="546"/>
      <c r="U17" s="546"/>
      <c r="V17" s="546"/>
      <c r="W17" s="546"/>
      <c r="X17" s="546"/>
      <c r="Y17" s="546"/>
      <c r="Z17" s="546"/>
      <c r="AA17" s="546"/>
      <c r="AB17" s="692"/>
    </row>
    <row r="18" spans="1:28" s="518" customFormat="1">
      <c r="A18" s="698"/>
      <c r="B18" s="698"/>
      <c r="C18" s="776" t="s">
        <v>1060</v>
      </c>
      <c r="D18" s="794">
        <v>17.100000000000001</v>
      </c>
      <c r="E18" s="794"/>
      <c r="F18" s="795">
        <v>3</v>
      </c>
      <c r="G18" s="795"/>
      <c r="H18" s="770">
        <f>D18*F18</f>
        <v>51.300000000000004</v>
      </c>
      <c r="I18" s="782">
        <v>2.5</v>
      </c>
      <c r="J18" s="778">
        <f>H18/(I18*1000)</f>
        <v>2.052E-2</v>
      </c>
      <c r="K18" s="779">
        <f>SQRT($J18)*1000</f>
        <v>143.24803663575986</v>
      </c>
      <c r="L18" s="780" t="s">
        <v>247</v>
      </c>
      <c r="M18" s="779">
        <f>SQRT($J18)*1000</f>
        <v>143.24803663575986</v>
      </c>
      <c r="N18" s="781" t="s">
        <v>248</v>
      </c>
      <c r="O18" s="779">
        <f>IF(((J18/0.25/(PI()))^0.5*1000)&lt;=63,63,IF(((J18/0.25/(PI()))^0.5*1000)&lt;=80,80,IF(((J18/0.25/(PI()))^0.5*1000)&lt;=100,100,IF(((J18/0.25/(PI()))^0.5*1000)&lt;=125,125,IF(((J18/0.25/(PI()))^0.5*1000)&lt;=160,160,IF(((J18/0.25/(PI()))^0.5*1000)&lt;=200,200,IF(((J18/0.25/(PI()))^0.5*1000)&lt;=250,250,IF(((J18/0.25/(PI()))^0.5*1000)&lt;=315,315,((J18/0.25/(PI()))^0.5*1000)))))))))</f>
        <v>200</v>
      </c>
      <c r="P18" s="704"/>
      <c r="Q18" s="707"/>
      <c r="R18" s="546"/>
      <c r="S18" s="703"/>
      <c r="T18" s="546"/>
      <c r="U18" s="546"/>
      <c r="V18" s="546"/>
      <c r="W18" s="546"/>
      <c r="X18" s="546"/>
      <c r="Y18" s="546"/>
      <c r="Z18" s="546"/>
      <c r="AA18" s="546"/>
      <c r="AB18" s="692"/>
    </row>
    <row r="19" spans="1:28" s="518" customFormat="1">
      <c r="A19" s="698"/>
      <c r="B19" s="698"/>
      <c r="C19" s="776" t="s">
        <v>1062</v>
      </c>
      <c r="D19" s="794">
        <v>1.5</v>
      </c>
      <c r="E19" s="794"/>
      <c r="F19" s="795">
        <f>IF(D19&lt;1.5,0,10)</f>
        <v>10</v>
      </c>
      <c r="G19" s="795"/>
      <c r="H19" s="770">
        <f>D19*F19</f>
        <v>15</v>
      </c>
      <c r="I19" s="777">
        <v>0.625</v>
      </c>
      <c r="J19" s="778">
        <f>H19/(I19*1000)</f>
        <v>2.4E-2</v>
      </c>
      <c r="K19" s="779">
        <f>SQRT($J19)*1000</f>
        <v>154.91933384829667</v>
      </c>
      <c r="L19" s="780" t="s">
        <v>247</v>
      </c>
      <c r="M19" s="779">
        <f>SQRT($J19)*1000</f>
        <v>154.91933384829667</v>
      </c>
      <c r="N19" s="781" t="s">
        <v>248</v>
      </c>
      <c r="O19" s="779">
        <f>IF(((J19/0.25/(PI()))^0.5*1000)&lt;=63,63,IF(((J19/0.25/(PI()))^0.5*1000)&lt;=80,80,IF(((J19/0.25/(PI()))^0.5*1000)&lt;=100,100,IF(((J19/0.25/(PI()))^0.5*1000)&lt;=125,125,IF(((J19/0.25/(PI()))^0.5*1000)&lt;=160,160,IF(((J19/0.25/(PI()))^0.5*1000)&lt;=200,200,IF(((J19/0.25/(PI()))^0.5*1000)&lt;=250,250,IF(((J19/0.25/(PI()))^0.5*1000)&lt;=315,315,((J19/0.25/(PI()))^0.5*1000)))))))))</f>
        <v>200</v>
      </c>
      <c r="P19" s="704"/>
      <c r="Q19" s="707"/>
      <c r="R19" s="546"/>
      <c r="S19" s="703"/>
      <c r="T19" s="546"/>
      <c r="U19" s="546"/>
      <c r="V19" s="546"/>
      <c r="W19" s="546"/>
      <c r="X19" s="546"/>
      <c r="Y19" s="546"/>
      <c r="Z19" s="546"/>
      <c r="AA19" s="546"/>
      <c r="AB19" s="692"/>
    </row>
    <row r="20" spans="1:28" s="518" customFormat="1">
      <c r="A20" s="698"/>
      <c r="B20" s="698"/>
      <c r="C20" s="708"/>
      <c r="D20" s="709"/>
      <c r="E20" s="709"/>
      <c r="F20" s="710"/>
      <c r="G20" s="710"/>
      <c r="H20" s="711"/>
      <c r="I20" s="712"/>
      <c r="J20" s="711"/>
      <c r="K20" s="713"/>
      <c r="L20" s="713"/>
      <c r="M20" s="713"/>
      <c r="N20" s="714"/>
      <c r="O20" s="713"/>
      <c r="P20" s="704"/>
      <c r="Q20" s="707"/>
      <c r="R20" s="546"/>
      <c r="S20" s="703"/>
      <c r="T20" s="546"/>
      <c r="U20" s="546"/>
      <c r="V20" s="546"/>
      <c r="W20" s="546"/>
      <c r="X20" s="546"/>
      <c r="Y20" s="546"/>
      <c r="Z20" s="546"/>
      <c r="AA20" s="546"/>
      <c r="AB20" s="692"/>
    </row>
    <row r="21" spans="1:28" s="518" customFormat="1" ht="18" customHeight="1">
      <c r="A21" s="698"/>
      <c r="B21" s="698"/>
      <c r="C21" s="715"/>
      <c r="D21" s="715"/>
      <c r="E21" s="715"/>
      <c r="F21" s="715"/>
      <c r="G21" s="715"/>
      <c r="H21" s="715"/>
      <c r="I21" s="716"/>
      <c r="J21" s="715"/>
      <c r="K21" s="715"/>
      <c r="L21" s="715"/>
      <c r="M21" s="715"/>
      <c r="N21" s="715"/>
      <c r="O21" s="715"/>
      <c r="P21" s="704"/>
      <c r="Q21" s="546"/>
      <c r="R21" s="546"/>
      <c r="S21" s="703"/>
      <c r="T21" s="546"/>
      <c r="U21" s="546"/>
      <c r="V21" s="546"/>
      <c r="W21" s="546"/>
      <c r="X21" s="546"/>
      <c r="Y21" s="546"/>
      <c r="Z21" s="546"/>
      <c r="AA21" s="546"/>
      <c r="AB21" s="692"/>
    </row>
    <row r="22" spans="1:28" s="518" customFormat="1" ht="15.75" customHeight="1">
      <c r="A22" s="698"/>
      <c r="B22" s="707"/>
      <c r="C22" s="546"/>
      <c r="D22" s="546"/>
      <c r="E22" s="546"/>
      <c r="F22" s="546"/>
      <c r="G22" s="546"/>
      <c r="H22" s="546"/>
      <c r="I22" s="545"/>
      <c r="J22" s="546"/>
      <c r="K22" s="546"/>
      <c r="L22" s="546"/>
      <c r="M22" s="546"/>
      <c r="N22" s="546"/>
      <c r="O22" s="546"/>
      <c r="AB22" s="500"/>
    </row>
    <row r="23" spans="1:28" s="518" customFormat="1" ht="9.9" customHeight="1">
      <c r="A23" s="698"/>
      <c r="B23" s="707"/>
      <c r="C23" s="717"/>
      <c r="D23" s="717"/>
      <c r="E23" s="717"/>
      <c r="F23" s="718"/>
      <c r="G23" s="718"/>
      <c r="H23" s="719"/>
      <c r="I23" s="720"/>
      <c r="J23" s="721"/>
      <c r="K23" s="722"/>
      <c r="L23" s="722"/>
      <c r="M23" s="722"/>
      <c r="N23" s="722"/>
      <c r="O23" s="721"/>
      <c r="P23" s="723"/>
      <c r="T23" s="724"/>
      <c r="AB23" s="500"/>
    </row>
    <row r="24" spans="1:28">
      <c r="I24" s="555"/>
    </row>
    <row r="25" spans="1:28">
      <c r="C25" s="790" t="s">
        <v>1136</v>
      </c>
      <c r="D25" s="791"/>
      <c r="E25" s="791"/>
      <c r="F25" s="791"/>
      <c r="G25" s="791"/>
      <c r="H25" s="791"/>
      <c r="I25" s="791"/>
      <c r="J25" s="791"/>
      <c r="K25" s="791"/>
      <c r="L25" s="791"/>
      <c r="M25" s="791"/>
      <c r="N25" s="791"/>
      <c r="O25" s="791"/>
    </row>
    <row r="26" spans="1:28">
      <c r="C26" s="791"/>
      <c r="D26" s="791"/>
      <c r="E26" s="791"/>
      <c r="F26" s="791"/>
      <c r="G26" s="791"/>
      <c r="H26" s="791"/>
      <c r="I26" s="791"/>
      <c r="J26" s="791"/>
      <c r="K26" s="791"/>
      <c r="L26" s="791"/>
      <c r="M26" s="791"/>
      <c r="N26" s="791"/>
      <c r="O26" s="791"/>
    </row>
    <row r="27" spans="1:28">
      <c r="C27" s="791"/>
      <c r="D27" s="791"/>
      <c r="E27" s="791"/>
      <c r="F27" s="791"/>
      <c r="G27" s="791"/>
      <c r="H27" s="791"/>
      <c r="I27" s="791"/>
      <c r="J27" s="791"/>
      <c r="K27" s="791"/>
      <c r="L27" s="791"/>
      <c r="M27" s="791"/>
      <c r="N27" s="791"/>
      <c r="O27" s="791"/>
    </row>
    <row r="28" spans="1:28" ht="20.399999999999999">
      <c r="C28" s="790" t="s">
        <v>1137</v>
      </c>
      <c r="D28" s="791"/>
      <c r="E28" s="791"/>
      <c r="F28" s="791"/>
      <c r="G28" s="791"/>
      <c r="H28" s="791"/>
      <c r="I28" s="791"/>
      <c r="J28" s="791"/>
      <c r="K28" s="791"/>
      <c r="L28" s="791"/>
      <c r="M28" s="791"/>
      <c r="N28" s="791"/>
      <c r="O28" s="791"/>
    </row>
    <row r="29" spans="1:28">
      <c r="I29" s="555"/>
    </row>
    <row r="30" spans="1:28">
      <c r="I30" s="555"/>
    </row>
    <row r="31" spans="1:28">
      <c r="I31" s="555"/>
    </row>
    <row r="32" spans="1:28">
      <c r="I32" s="555"/>
    </row>
    <row r="33" spans="9:9">
      <c r="I33" s="555"/>
    </row>
    <row r="34" spans="9:9">
      <c r="I34" s="555"/>
    </row>
    <row r="35" spans="9:9">
      <c r="I35" s="555"/>
    </row>
    <row r="36" spans="9:9">
      <c r="I36" s="555"/>
    </row>
    <row r="37" spans="9:9">
      <c r="I37" s="555"/>
    </row>
    <row r="38" spans="9:9">
      <c r="I38" s="555"/>
    </row>
    <row r="39" spans="9:9">
      <c r="I39" s="555"/>
    </row>
    <row r="40" spans="9:9">
      <c r="I40" s="555"/>
    </row>
    <row r="41" spans="9:9">
      <c r="I41" s="555"/>
    </row>
    <row r="42" spans="9:9">
      <c r="I42" s="555"/>
    </row>
    <row r="43" spans="9:9">
      <c r="I43" s="555"/>
    </row>
  </sheetData>
  <mergeCells count="22">
    <mergeCell ref="C25:O27"/>
    <mergeCell ref="C28:O28"/>
    <mergeCell ref="C4:O4"/>
    <mergeCell ref="C5:K5"/>
    <mergeCell ref="C6:O6"/>
    <mergeCell ref="D8:F8"/>
    <mergeCell ref="D9:F9"/>
    <mergeCell ref="D16:E16"/>
    <mergeCell ref="F16:G16"/>
    <mergeCell ref="N15:O15"/>
    <mergeCell ref="D19:E19"/>
    <mergeCell ref="F19:G19"/>
    <mergeCell ref="D17:E17"/>
    <mergeCell ref="F17:G17"/>
    <mergeCell ref="D18:E18"/>
    <mergeCell ref="F18:G18"/>
    <mergeCell ref="D10:F10"/>
    <mergeCell ref="D11:F11"/>
    <mergeCell ref="C13:O13"/>
    <mergeCell ref="K15:M15"/>
    <mergeCell ref="D15:E15"/>
    <mergeCell ref="F15:G15"/>
  </mergeCells>
  <phoneticPr fontId="0" type="noConversion"/>
  <conditionalFormatting sqref="G8:O11">
    <cfRule type="cellIs" dxfId="1393" priority="1" stopIfTrue="1" operator="equal">
      <formula>"&lt;PROJECTNUMMER&gt;"</formula>
    </cfRule>
  </conditionalFormatting>
  <dataValidations disablePrompts="1" count="1">
    <dataValidation allowBlank="1" showInputMessage="1" showErrorMessage="1" promptTitle="NEN 1087 Ventilatie in gebouwen" prompt="5.3.4 Rekenregel_x000a_qv=Anetto x v x 1000_x000a__x000a_v = 0,625 m/s of v = 2,5 m/s_x000a_" sqref="I16:I19" xr:uid="{00000000-0002-0000-0000-000000000000}"/>
  </dataValidations>
  <pageMargins left="0.74803149606299213" right="0.70866141732283472" top="1.2598425196850394" bottom="0.39370078740157483" header="0.31496062992125984" footer="0.27559055118110237"/>
  <pageSetup paperSize="9" scale="54" fitToHeight="2" orientation="portrait" r:id="rId1"/>
  <headerFooter alignWithMargins="0">
    <oddHeader>&amp;C&amp;G</oddHeader>
    <oddFooter>&amp;L
&amp;"helvetica,Standaard"&amp;8&amp;K1B5EAAwww.NIEMAN.nl&amp;"Arial,Standaard"&amp;10&amp;K000000
&amp;"HELVETICA,Standaard"&amp;8&amp;F&amp;R&amp;"HELVETICA,Standaard"&amp;8
&amp;G
&amp;D</oddFooter>
  </headerFooter>
  <legacy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4D301-F7EF-4ED4-82A2-7C50DEBC223E}">
  <sheetPr codeName="Blad21">
    <tabColor indexed="11"/>
    <pageSetUpPr fitToPage="1"/>
  </sheetPr>
  <dimension ref="A1:AQ212"/>
  <sheetViews>
    <sheetView view="pageBreakPreview" topLeftCell="C5" zoomScale="85" zoomScaleNormal="100" zoomScaleSheetLayoutView="85" workbookViewId="0">
      <selection activeCell="L17" sqref="L17"/>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1162</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Grote dakkapellen</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7</v>
      </c>
      <c r="T7" s="519"/>
      <c r="U7" s="516"/>
      <c r="V7" s="517"/>
      <c r="W7" s="517"/>
      <c r="X7" s="517"/>
      <c r="AC7" s="500"/>
      <c r="AF7" s="498"/>
    </row>
    <row r="8" spans="1:34" s="518" customFormat="1" ht="12" customHeight="1">
      <c r="A8" s="515"/>
      <c r="B8" s="515"/>
      <c r="C8" s="387" t="s">
        <v>691</v>
      </c>
      <c r="D8" s="796" t="s">
        <v>1143</v>
      </c>
      <c r="E8" s="796"/>
      <c r="F8" s="796"/>
      <c r="G8" s="389"/>
      <c r="H8" s="390"/>
      <c r="I8" s="390"/>
      <c r="J8" s="390"/>
      <c r="K8" s="391"/>
      <c r="L8" s="391"/>
      <c r="M8" s="391"/>
      <c r="N8" s="391"/>
      <c r="O8" s="391"/>
      <c r="P8" s="391"/>
      <c r="Q8" s="516"/>
      <c r="R8" s="516" t="s">
        <v>254</v>
      </c>
      <c r="S8" s="512">
        <f>COUNTA(X:X)</f>
        <v>7</v>
      </c>
      <c r="T8" s="519"/>
      <c r="U8" s="516"/>
      <c r="V8" s="517"/>
      <c r="W8" s="517"/>
      <c r="X8" s="517"/>
      <c r="AC8" s="500"/>
      <c r="AF8" s="498"/>
    </row>
    <row r="9" spans="1:34" s="518" customFormat="1" ht="12" customHeight="1">
      <c r="A9" s="515"/>
      <c r="B9" s="515"/>
      <c r="C9" s="387" t="s">
        <v>692</v>
      </c>
      <c r="D9" s="396" t="s">
        <v>1129</v>
      </c>
      <c r="E9" s="388"/>
      <c r="F9" s="388"/>
      <c r="G9" s="392" t="s">
        <v>1041</v>
      </c>
      <c r="H9" s="393"/>
      <c r="I9" s="784">
        <v>45028</v>
      </c>
      <c r="J9" s="390"/>
      <c r="K9" s="391"/>
      <c r="L9" s="391"/>
      <c r="M9" s="391"/>
      <c r="N9" s="391"/>
      <c r="O9" s="391"/>
      <c r="P9" s="391"/>
      <c r="Q9" s="516"/>
      <c r="R9" s="516" t="s">
        <v>253</v>
      </c>
      <c r="S9" s="520">
        <f>COUNTA(C28:C37)-1</f>
        <v>4</v>
      </c>
      <c r="T9" s="519"/>
      <c r="U9" s="516"/>
      <c r="V9" s="517"/>
      <c r="W9" s="517"/>
      <c r="X9" s="517"/>
      <c r="AC9" s="500"/>
      <c r="AF9" s="498"/>
    </row>
    <row r="10" spans="1:34" s="518" customFormat="1" ht="12" customHeight="1">
      <c r="A10" s="515"/>
      <c r="B10" s="515"/>
      <c r="C10" s="387" t="s">
        <v>693</v>
      </c>
      <c r="D10" s="396" t="s">
        <v>1145</v>
      </c>
      <c r="E10" s="388"/>
      <c r="F10" s="388"/>
      <c r="G10" s="395"/>
      <c r="H10" s="393"/>
      <c r="I10" s="396" t="s">
        <v>1144</v>
      </c>
      <c r="J10" s="390"/>
      <c r="K10" s="391"/>
      <c r="L10" s="391"/>
      <c r="M10" s="391"/>
      <c r="N10" s="391"/>
      <c r="O10" s="391"/>
      <c r="P10" s="391"/>
      <c r="Q10" s="516"/>
      <c r="R10" s="516" t="s">
        <v>253</v>
      </c>
      <c r="S10" s="512">
        <f>MAX(U:W)</f>
        <v>4</v>
      </c>
      <c r="T10" s="519"/>
      <c r="U10" s="516"/>
      <c r="V10" s="517"/>
      <c r="W10" s="517"/>
      <c r="X10" s="517"/>
      <c r="AC10" s="500"/>
      <c r="AF10" s="498"/>
    </row>
    <row r="11" spans="1:34" s="518" customFormat="1" ht="12" customHeight="1">
      <c r="A11" s="515"/>
      <c r="B11" s="515"/>
      <c r="C11" s="387" t="s">
        <v>694</v>
      </c>
      <c r="D11" s="797">
        <v>45028</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D75</f>
        <v>nader te bepalen</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1146</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10.81</v>
      </c>
      <c r="M16" s="411"/>
      <c r="N16" s="409"/>
      <c r="O16" s="412"/>
      <c r="P16" s="412"/>
      <c r="Q16" s="525"/>
      <c r="R16" s="526"/>
      <c r="S16" s="527">
        <f>IF(D72="berekening op basis van minimale capaciteit",3,IF(D74="systeem A - natuurlijke toevoer &amp;  afvoer",1,IF(D74="systeem C - natuurlijke toevoer &amp; mechanische afvoer",1,2)))</f>
        <v>2</v>
      </c>
      <c r="T16" s="516" t="str">
        <f>IF(S16=1,"NT","MT")</f>
        <v>MT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157.12</v>
      </c>
      <c r="G17" s="403"/>
      <c r="H17" s="414"/>
      <c r="I17" s="404"/>
      <c r="J17" s="408" t="s">
        <v>687</v>
      </c>
      <c r="K17" s="409"/>
      <c r="L17" s="410">
        <v>68.98</v>
      </c>
      <c r="M17" s="415"/>
      <c r="N17" s="409"/>
      <c r="O17" s="404"/>
      <c r="P17" s="416"/>
      <c r="Q17" s="525"/>
      <c r="R17" s="526"/>
      <c r="S17" s="527">
        <f>IF(D75="nader te bepalen",1,2)</f>
        <v>1</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86.416000000000011</v>
      </c>
      <c r="G18" s="417"/>
      <c r="H18" s="418"/>
      <c r="I18" s="419"/>
      <c r="J18" s="408" t="s">
        <v>688</v>
      </c>
      <c r="K18" s="409"/>
      <c r="L18" s="410">
        <v>77.33</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F36</f>
        <v>90.860000000000014</v>
      </c>
      <c r="G19" s="420" t="s">
        <v>661</v>
      </c>
      <c r="H19" s="421">
        <f>IF(OR(F17=0,F19=0),0,F19/F17)</f>
        <v>0.57828411405295321</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ja, &gt;=55% &amp; VG &gt;= 18m²</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2</v>
      </c>
      <c r="I22" s="805"/>
      <c r="J22" s="427" t="str">
        <f>IF(H22&lt;F22,"voldoet niet","")</f>
        <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1</v>
      </c>
      <c r="I23" s="805"/>
      <c r="J23" s="427" t="str">
        <f>IF(H23&lt;F23,"voldoet niet","")</f>
        <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28.45</v>
      </c>
      <c r="E28" s="433">
        <f>IF(C28="","",SUMPRODUCT(($Y$1:$Y$28075)*($U$1:$U$28075=C28)))</f>
        <v>0</v>
      </c>
      <c r="F28" s="799">
        <f>IF(E28="","",IF(SUMPRODUCT(($AD$1:$AD$28130)*($AC$1:$AC$28130=C28))-E28&lt;verzamelblad!$AG$7,"&lt; " &amp; verzamelblad!$AG$7 &amp; " m², geen VG",SUMPRODUCT(($AD$1:$AD$28130)*($AC$1:$AC$28130=C28))-E28))</f>
        <v>28.45</v>
      </c>
      <c r="G28" s="799"/>
      <c r="H28" s="434">
        <f>IF(C28="","",0)</f>
        <v>0</v>
      </c>
      <c r="I28" s="435"/>
      <c r="J28" s="800">
        <f t="shared" ref="J28" si="0">A28</f>
        <v>1</v>
      </c>
      <c r="K28" s="800"/>
      <c r="L28" s="436" t="s">
        <v>1147</v>
      </c>
      <c r="M28" s="436"/>
      <c r="N28" s="801">
        <v>28.45</v>
      </c>
      <c r="O28" s="801"/>
      <c r="P28" s="437"/>
      <c r="Q28" s="392"/>
      <c r="R28" s="516"/>
      <c r="S28" s="516"/>
      <c r="T28" s="521"/>
      <c r="U28" s="516"/>
      <c r="V28" s="517"/>
      <c r="W28" s="517"/>
      <c r="X28" s="536">
        <f t="shared" ref="X28" si="1">A28</f>
        <v>1</v>
      </c>
      <c r="Y28" s="517"/>
      <c r="Z28" s="517"/>
      <c r="AA28" s="517"/>
      <c r="AB28" s="517"/>
      <c r="AC28" s="537">
        <f t="shared" ref="AC28" si="2">IF(C28&lt;&gt;"",C28,AC27)</f>
        <v>1</v>
      </c>
      <c r="AD28" s="538">
        <f>IF(C28&lt;&gt;"",D28+H28,0)</f>
        <v>28.45</v>
      </c>
      <c r="AE28" s="539">
        <f t="shared" ref="AE28" si="3">N28</f>
        <v>28.45</v>
      </c>
      <c r="AF28" s="540"/>
      <c r="AG28" s="517"/>
      <c r="AH28" s="535"/>
    </row>
    <row r="29" spans="1:34" s="518" customFormat="1" ht="12" customHeight="1">
      <c r="A29" s="527">
        <f t="shared" ref="A29:A34" si="4">A28+1</f>
        <v>2</v>
      </c>
      <c r="B29" s="515" t="s">
        <v>258</v>
      </c>
      <c r="C29" s="438">
        <v>2</v>
      </c>
      <c r="D29" s="432">
        <v>21.39</v>
      </c>
      <c r="E29" s="725">
        <f>IF(C29="","",SUMPRODUCT(($Y$1:$Y$28181)*($U$1:$U$28181=C29)))</f>
        <v>0</v>
      </c>
      <c r="F29" s="802">
        <f>IF(E29="","",IF(SUMPRODUCT(($AD$1:$AD$28181)*($AC$1:$AC$28181=C29))-E29&lt;verzamelblad!$AG$7,"&lt; " &amp; verzamelblad!$AG$7 &amp; " m², geen VG",SUMPRODUCT(($AD$1:$AD$28181)*($AC$1:$AC$28181=C29))-E29))</f>
        <v>21.39</v>
      </c>
      <c r="G29" s="802"/>
      <c r="H29" s="434">
        <f t="shared" ref="H29:H34" si="5">IF(C29="","",0)</f>
        <v>0</v>
      </c>
      <c r="I29" s="439"/>
      <c r="J29" s="803">
        <f t="shared" ref="J29:J34" si="6">A29</f>
        <v>2</v>
      </c>
      <c r="K29" s="803"/>
      <c r="L29" s="440" t="s">
        <v>727</v>
      </c>
      <c r="M29" s="440"/>
      <c r="N29" s="804">
        <v>15.1</v>
      </c>
      <c r="O29" s="804"/>
      <c r="P29" s="441"/>
      <c r="Q29" s="404"/>
      <c r="R29" s="541"/>
      <c r="S29" s="541"/>
      <c r="T29" s="521"/>
      <c r="U29" s="516"/>
      <c r="V29" s="517"/>
      <c r="W29" s="517"/>
      <c r="X29" s="536">
        <f t="shared" ref="X29:X34" si="7">A29</f>
        <v>2</v>
      </c>
      <c r="Y29" s="517"/>
      <c r="Z29" s="517"/>
      <c r="AA29" s="517"/>
      <c r="AB29" s="517"/>
      <c r="AC29" s="537">
        <f>IF(C29&lt;&gt;"",C29,AC28)</f>
        <v>2</v>
      </c>
      <c r="AD29" s="538">
        <f t="shared" ref="AD29:AD34" si="8">IF(C29&lt;&gt;"",D29+H29,0)</f>
        <v>21.39</v>
      </c>
      <c r="AE29" s="539">
        <f t="shared" ref="AE29:AE34" si="9">N29</f>
        <v>15.1</v>
      </c>
      <c r="AF29" s="540"/>
      <c r="AG29" s="517"/>
      <c r="AH29" s="535"/>
    </row>
    <row r="30" spans="1:34" s="518" customFormat="1" ht="12" customHeight="1">
      <c r="A30" s="542">
        <f t="shared" si="4"/>
        <v>3</v>
      </c>
      <c r="B30" s="543" t="s">
        <v>258</v>
      </c>
      <c r="C30" s="438"/>
      <c r="D30" s="740">
        <v>0</v>
      </c>
      <c r="E30" s="725" t="str">
        <f>IF(C30="","",SUMPRODUCT(($Y$1:$Y$28240)*($U$1:$U$28240=C30)))</f>
        <v/>
      </c>
      <c r="F30" s="802" t="str">
        <f>IF(E30="","",IF(SUMPRODUCT(($AD$1:$AD$28240)*($AC$1:$AC$28240=C30))-E30&lt;verzamelblad!$AG$7,"&lt; " &amp; verzamelblad!$AG$7 &amp; " m², geen VG",SUMPRODUCT(($AD$1:$AD$28240)*($AC$1:$AC$28240=C30))-E30))</f>
        <v/>
      </c>
      <c r="G30" s="802"/>
      <c r="H30" s="756" t="str">
        <f t="shared" si="5"/>
        <v/>
      </c>
      <c r="I30" s="439"/>
      <c r="J30" s="803">
        <f t="shared" si="6"/>
        <v>3</v>
      </c>
      <c r="K30" s="803"/>
      <c r="L30" s="440" t="s">
        <v>1149</v>
      </c>
      <c r="M30" s="440"/>
      <c r="N30" s="804">
        <v>5.96</v>
      </c>
      <c r="O30" s="804"/>
      <c r="P30" s="441"/>
      <c r="Q30" s="404"/>
      <c r="R30" s="404"/>
      <c r="S30" s="404"/>
      <c r="T30" s="544"/>
      <c r="U30" s="392"/>
      <c r="V30" s="545"/>
      <c r="W30" s="545"/>
      <c r="X30" s="757">
        <f t="shared" si="7"/>
        <v>3</v>
      </c>
      <c r="Y30" s="545"/>
      <c r="Z30" s="545"/>
      <c r="AA30" s="546"/>
      <c r="AB30" s="517"/>
      <c r="AC30" s="537">
        <f t="shared" ref="AC30:AC34" si="10">IF(C30&lt;&gt;"",C30,AC29)</f>
        <v>2</v>
      </c>
      <c r="AD30" s="538">
        <f t="shared" si="8"/>
        <v>0</v>
      </c>
      <c r="AE30" s="539">
        <f t="shared" si="9"/>
        <v>5.96</v>
      </c>
      <c r="AF30" s="517"/>
      <c r="AG30" s="517">
        <f>IF(P30="ja",1,0)</f>
        <v>0</v>
      </c>
      <c r="AH30" s="535"/>
    </row>
    <row r="31" spans="1:34" s="518" customFormat="1" ht="12" customHeight="1">
      <c r="A31" s="542">
        <f t="shared" si="4"/>
        <v>4</v>
      </c>
      <c r="B31" s="543" t="s">
        <v>258</v>
      </c>
      <c r="C31" s="438">
        <v>3</v>
      </c>
      <c r="D31" s="740">
        <v>32</v>
      </c>
      <c r="E31" s="725">
        <f>IF(C31="","",SUMPRODUCT(($Y$1:$Y$28239)*($U$1:$U$28239=C31)))</f>
        <v>0.30000000000000071</v>
      </c>
      <c r="F31" s="802">
        <f>IF(E31="","",IF(SUMPRODUCT(($AD$1:$AD$28239)*($AC$1:$AC$28239=C31))-E31&lt;verzamelblad!$AG$7,"&lt; " &amp; verzamelblad!$AG$7 &amp; " m², geen VG",SUMPRODUCT(($AD$1:$AD$28239)*($AC$1:$AC$28239=C31))-E31))</f>
        <v>31.7</v>
      </c>
      <c r="G31" s="802"/>
      <c r="H31" s="756">
        <f t="shared" si="5"/>
        <v>0</v>
      </c>
      <c r="I31" s="439"/>
      <c r="J31" s="803">
        <f t="shared" si="6"/>
        <v>4</v>
      </c>
      <c r="K31" s="803"/>
      <c r="L31" s="440" t="s">
        <v>742</v>
      </c>
      <c r="M31" s="440"/>
      <c r="N31" s="804">
        <v>10.88</v>
      </c>
      <c r="O31" s="804"/>
      <c r="P31" s="441"/>
      <c r="Q31" s="404"/>
      <c r="R31" s="404"/>
      <c r="S31" s="404"/>
      <c r="T31" s="544"/>
      <c r="U31" s="392"/>
      <c r="V31" s="545"/>
      <c r="W31" s="545"/>
      <c r="X31" s="757">
        <f t="shared" si="7"/>
        <v>4</v>
      </c>
      <c r="Y31" s="545"/>
      <c r="Z31" s="545"/>
      <c r="AA31" s="546"/>
      <c r="AB31" s="517"/>
      <c r="AC31" s="537">
        <f t="shared" si="10"/>
        <v>3</v>
      </c>
      <c r="AD31" s="538">
        <f t="shared" si="8"/>
        <v>32</v>
      </c>
      <c r="AE31" s="539">
        <f t="shared" si="9"/>
        <v>10.88</v>
      </c>
      <c r="AF31" s="517"/>
      <c r="AG31" s="517">
        <f>IF(P31="ja",1,0)</f>
        <v>0</v>
      </c>
      <c r="AH31" s="535"/>
    </row>
    <row r="32" spans="1:34" s="518" customFormat="1" ht="12" customHeight="1">
      <c r="A32" s="542">
        <f t="shared" si="4"/>
        <v>5</v>
      </c>
      <c r="B32" s="543" t="s">
        <v>258</v>
      </c>
      <c r="C32" s="438"/>
      <c r="D32" s="740">
        <v>0</v>
      </c>
      <c r="E32" s="725" t="str">
        <f>IF(C32="","",SUMPRODUCT(($Y$1:$Y$28252)*($U$1:$U$28252=C32)))</f>
        <v/>
      </c>
      <c r="F32" s="802" t="str">
        <f>IF(E32="","",IF(SUMPRODUCT(($AD$1:$AD$28252)*($AC$1:$AC$28252=C32))-E32&lt;verzamelblad!$AG$7,"&lt; " &amp; verzamelblad!$AG$7 &amp; " m², geen VG",SUMPRODUCT(($AD$1:$AD$28252)*($AC$1:$AC$28252=C32))-E32))</f>
        <v/>
      </c>
      <c r="G32" s="802"/>
      <c r="H32" s="756" t="str">
        <f t="shared" si="5"/>
        <v/>
      </c>
      <c r="I32" s="439"/>
      <c r="J32" s="803">
        <f t="shared" si="6"/>
        <v>5</v>
      </c>
      <c r="K32" s="803"/>
      <c r="L32" s="440" t="s">
        <v>1131</v>
      </c>
      <c r="M32" s="440"/>
      <c r="N32" s="804">
        <v>10.78</v>
      </c>
      <c r="O32" s="804"/>
      <c r="P32" s="441"/>
      <c r="Q32" s="404"/>
      <c r="R32" s="404"/>
      <c r="S32" s="404"/>
      <c r="T32" s="544"/>
      <c r="U32" s="392"/>
      <c r="V32" s="545"/>
      <c r="W32" s="545"/>
      <c r="X32" s="757">
        <f t="shared" si="7"/>
        <v>5</v>
      </c>
      <c r="Y32" s="545"/>
      <c r="Z32" s="545"/>
      <c r="AA32" s="546"/>
      <c r="AB32" s="517"/>
      <c r="AC32" s="537">
        <f t="shared" si="10"/>
        <v>3</v>
      </c>
      <c r="AD32" s="538">
        <f t="shared" si="8"/>
        <v>0</v>
      </c>
      <c r="AE32" s="539">
        <f t="shared" si="9"/>
        <v>10.78</v>
      </c>
      <c r="AF32" s="517"/>
      <c r="AG32" s="517">
        <f>IF(P32="ja",1,0)</f>
        <v>0</v>
      </c>
      <c r="AH32" s="535"/>
    </row>
    <row r="33" spans="1:34" s="518" customFormat="1" ht="12" customHeight="1">
      <c r="A33" s="542">
        <f t="shared" si="4"/>
        <v>6</v>
      </c>
      <c r="B33" s="543" t="s">
        <v>258</v>
      </c>
      <c r="C33" s="438"/>
      <c r="D33" s="740">
        <v>0</v>
      </c>
      <c r="E33" s="725" t="str">
        <f>IF(C33="","",SUMPRODUCT(($Y$1:$Y$28251)*($U$1:$U$28251=C33)))</f>
        <v/>
      </c>
      <c r="F33" s="802" t="str">
        <f>IF(E33="","",IF(SUMPRODUCT(($AD$1:$AD$28251)*($AC$1:$AC$28251=C33))-E33&lt;verzamelblad!$AG$7,"&lt; " &amp; verzamelblad!$AG$7 &amp; " m², geen VG",SUMPRODUCT(($AD$1:$AD$28251)*($AC$1:$AC$28251=C33))-E33))</f>
        <v/>
      </c>
      <c r="G33" s="802"/>
      <c r="H33" s="756" t="str">
        <f t="shared" si="5"/>
        <v/>
      </c>
      <c r="I33" s="439"/>
      <c r="J33" s="803">
        <f t="shared" si="6"/>
        <v>6</v>
      </c>
      <c r="K33" s="803"/>
      <c r="L33" s="440" t="s">
        <v>1148</v>
      </c>
      <c r="M33" s="440"/>
      <c r="N33" s="804">
        <v>9.8000000000000007</v>
      </c>
      <c r="O33" s="804"/>
      <c r="P33" s="441"/>
      <c r="Q33" s="404"/>
      <c r="R33" s="404"/>
      <c r="S33" s="404"/>
      <c r="T33" s="544"/>
      <c r="U33" s="392"/>
      <c r="V33" s="545"/>
      <c r="W33" s="545"/>
      <c r="X33" s="757">
        <f t="shared" si="7"/>
        <v>6</v>
      </c>
      <c r="Y33" s="545"/>
      <c r="Z33" s="545"/>
      <c r="AA33" s="546"/>
      <c r="AB33" s="517"/>
      <c r="AC33" s="537">
        <f t="shared" si="10"/>
        <v>3</v>
      </c>
      <c r="AD33" s="538">
        <f t="shared" si="8"/>
        <v>0</v>
      </c>
      <c r="AE33" s="539">
        <f t="shared" si="9"/>
        <v>9.8000000000000007</v>
      </c>
      <c r="AF33" s="517"/>
      <c r="AG33" s="517">
        <f>IF(P33="ja",1,0)</f>
        <v>0</v>
      </c>
      <c r="AH33" s="535"/>
    </row>
    <row r="34" spans="1:34" s="518" customFormat="1" ht="12" customHeight="1">
      <c r="A34" s="542">
        <f t="shared" si="4"/>
        <v>7</v>
      </c>
      <c r="B34" s="543" t="s">
        <v>258</v>
      </c>
      <c r="C34" s="438">
        <v>4</v>
      </c>
      <c r="D34" s="740">
        <v>9.32</v>
      </c>
      <c r="E34" s="725">
        <f>IF(C34="","",SUMPRODUCT(($Y$1:$Y$28250)*($U$1:$U$28250=C34)))</f>
        <v>0</v>
      </c>
      <c r="F34" s="802">
        <f>IF(E34="","",IF(SUMPRODUCT(($AD$1:$AD$28250)*($AC$1:$AC$28250=C34))-E34&lt;verzamelblad!$AG$7,"&lt; " &amp; verzamelblad!$AG$7 &amp; " m², geen VG",SUMPRODUCT(($AD$1:$AD$28250)*($AC$1:$AC$28250=C34))-E34))</f>
        <v>9.32</v>
      </c>
      <c r="G34" s="802"/>
      <c r="H34" s="756">
        <f t="shared" si="5"/>
        <v>0</v>
      </c>
      <c r="I34" s="439"/>
      <c r="J34" s="803">
        <f t="shared" si="6"/>
        <v>7</v>
      </c>
      <c r="K34" s="803"/>
      <c r="L34" s="440" t="s">
        <v>1132</v>
      </c>
      <c r="M34" s="440"/>
      <c r="N34" s="804">
        <v>9.32</v>
      </c>
      <c r="O34" s="804"/>
      <c r="P34" s="441"/>
      <c r="Q34" s="404"/>
      <c r="R34" s="404"/>
      <c r="S34" s="404"/>
      <c r="T34" s="544"/>
      <c r="U34" s="392"/>
      <c r="V34" s="545"/>
      <c r="W34" s="545"/>
      <c r="X34" s="757">
        <f t="shared" si="7"/>
        <v>7</v>
      </c>
      <c r="Y34" s="545"/>
      <c r="Z34" s="545"/>
      <c r="AA34" s="546"/>
      <c r="AB34" s="517"/>
      <c r="AC34" s="537">
        <f t="shared" si="10"/>
        <v>4</v>
      </c>
      <c r="AD34" s="538">
        <f t="shared" si="8"/>
        <v>9.32</v>
      </c>
      <c r="AE34" s="539">
        <f t="shared" si="9"/>
        <v>9.32</v>
      </c>
      <c r="AF34" s="517"/>
      <c r="AG34" s="517">
        <f>IF(P34="ja",1,0)</f>
        <v>0</v>
      </c>
      <c r="AH34" s="535"/>
    </row>
    <row r="35" spans="1:34" ht="12" customHeight="1">
      <c r="A35" s="492"/>
      <c r="B35" s="492"/>
      <c r="C35" s="442"/>
      <c r="D35" s="443"/>
      <c r="E35" s="443"/>
      <c r="F35" s="443"/>
      <c r="G35" s="444"/>
      <c r="H35" s="444"/>
      <c r="I35" s="444"/>
      <c r="J35" s="444"/>
      <c r="K35" s="445"/>
      <c r="L35" s="445"/>
      <c r="M35" s="445"/>
      <c r="N35" s="445"/>
      <c r="O35" s="445"/>
      <c r="P35" s="445"/>
      <c r="Q35" s="547"/>
      <c r="R35" s="516"/>
      <c r="S35" s="515"/>
      <c r="T35" s="532"/>
      <c r="U35" s="507"/>
      <c r="V35" s="508"/>
      <c r="W35" s="508"/>
      <c r="X35" s="508"/>
      <c r="Y35" s="508"/>
      <c r="Z35" s="508"/>
      <c r="AA35" s="508"/>
      <c r="AB35" s="508"/>
      <c r="AC35" s="524"/>
      <c r="AD35" s="508"/>
      <c r="AE35" s="517"/>
      <c r="AF35" s="508"/>
      <c r="AG35" s="508"/>
    </row>
    <row r="36" spans="1:34" ht="12" customHeight="1">
      <c r="A36" s="492"/>
      <c r="B36" s="492"/>
      <c r="C36" s="446" t="s">
        <v>16</v>
      </c>
      <c r="D36" s="728">
        <f>SUM(D24:D35)</f>
        <v>91.16</v>
      </c>
      <c r="E36" s="447"/>
      <c r="F36" s="808">
        <f>SUM(F24:F35)</f>
        <v>90.860000000000014</v>
      </c>
      <c r="G36" s="808"/>
      <c r="H36" s="448"/>
      <c r="I36" s="448"/>
      <c r="J36" s="728"/>
      <c r="K36" s="449"/>
      <c r="L36" s="450"/>
      <c r="M36" s="404"/>
      <c r="N36" s="728">
        <f>SUM(N24:N35)</f>
        <v>90.289999999999992</v>
      </c>
      <c r="O36" s="451"/>
      <c r="P36" s="452"/>
      <c r="Q36" s="452"/>
      <c r="R36" s="516"/>
      <c r="S36" s="515"/>
      <c r="T36" s="532"/>
      <c r="U36" s="507"/>
      <c r="V36" s="508"/>
      <c r="W36" s="508"/>
      <c r="X36" s="508"/>
      <c r="Y36" s="508"/>
      <c r="Z36" s="508"/>
      <c r="AA36" s="508"/>
      <c r="AB36" s="508"/>
      <c r="AC36" s="524"/>
      <c r="AD36" s="508"/>
      <c r="AE36" s="517"/>
      <c r="AF36" s="508"/>
      <c r="AG36" s="508"/>
      <c r="AH36" s="508"/>
    </row>
    <row r="37" spans="1:34" ht="12" customHeight="1">
      <c r="A37" s="492"/>
      <c r="B37" s="492"/>
      <c r="C37" s="453"/>
      <c r="D37" s="454"/>
      <c r="E37" s="454"/>
      <c r="F37" s="454"/>
      <c r="G37" s="455"/>
      <c r="H37" s="455"/>
      <c r="I37" s="455"/>
      <c r="J37" s="455"/>
      <c r="K37" s="456"/>
      <c r="L37" s="456"/>
      <c r="M37" s="456"/>
      <c r="N37" s="456"/>
      <c r="O37" s="456"/>
      <c r="P37" s="456"/>
      <c r="Q37" s="547"/>
      <c r="R37" s="516"/>
      <c r="S37" s="515"/>
      <c r="T37" s="532"/>
      <c r="U37" s="507"/>
      <c r="V37" s="508"/>
      <c r="W37" s="508"/>
      <c r="X37" s="508"/>
      <c r="Y37" s="508"/>
      <c r="Z37" s="508"/>
      <c r="AA37" s="508"/>
      <c r="AB37" s="508"/>
      <c r="AC37" s="524"/>
      <c r="AD37" s="508"/>
      <c r="AE37" s="517"/>
      <c r="AF37" s="508"/>
      <c r="AG37" s="508"/>
    </row>
    <row r="38" spans="1:34" s="518" customFormat="1" ht="15" customHeight="1">
      <c r="A38" s="515"/>
      <c r="B38" s="515"/>
      <c r="C38" s="457" t="s">
        <v>1083</v>
      </c>
      <c r="D38" s="457"/>
      <c r="E38" s="457"/>
      <c r="F38" s="457"/>
      <c r="G38" s="457"/>
      <c r="H38" s="457"/>
      <c r="I38" s="457"/>
      <c r="J38" s="457"/>
      <c r="K38" s="457"/>
      <c r="L38" s="457"/>
      <c r="M38" s="457"/>
      <c r="N38" s="457"/>
      <c r="O38" s="457"/>
      <c r="P38" s="457"/>
      <c r="Q38" s="522"/>
      <c r="R38" s="516"/>
      <c r="S38" s="516"/>
      <c r="T38" s="516"/>
      <c r="U38" s="516"/>
      <c r="V38" s="517"/>
      <c r="W38" s="548"/>
      <c r="X38" s="548"/>
      <c r="Y38" s="548"/>
      <c r="Z38" s="517"/>
      <c r="AA38" s="517"/>
      <c r="AB38" s="517"/>
      <c r="AC38" s="524"/>
      <c r="AD38" s="517"/>
      <c r="AE38" s="517"/>
      <c r="AF38" s="517"/>
      <c r="AG38" s="517"/>
    </row>
    <row r="39" spans="1:34" s="518" customFormat="1" ht="12.75" hidden="1" customHeight="1">
      <c r="A39" s="515"/>
      <c r="B39" s="515"/>
      <c r="C39" s="458"/>
      <c r="D39" s="458"/>
      <c r="E39" s="458"/>
      <c r="F39" s="458"/>
      <c r="G39" s="458"/>
      <c r="H39" s="459"/>
      <c r="I39" s="459"/>
      <c r="J39" s="459"/>
      <c r="K39" s="459"/>
      <c r="L39" s="459"/>
      <c r="M39" s="459"/>
      <c r="N39" s="459"/>
      <c r="O39" s="459"/>
      <c r="P39" s="459"/>
      <c r="Q39" s="522"/>
      <c r="R39" s="516"/>
      <c r="S39" s="516"/>
      <c r="T39" s="516"/>
      <c r="U39" s="516"/>
      <c r="V39" s="548"/>
      <c r="W39" s="548"/>
      <c r="X39" s="548"/>
      <c r="Y39" s="548"/>
      <c r="Z39" s="517"/>
      <c r="AA39" s="517"/>
      <c r="AB39" s="517"/>
      <c r="AC39" s="524"/>
      <c r="AD39" s="517"/>
      <c r="AE39" s="517"/>
      <c r="AF39" s="517"/>
      <c r="AG39" s="517"/>
      <c r="AH39" s="517"/>
    </row>
    <row r="40" spans="1:34" ht="15" customHeight="1">
      <c r="A40" s="492"/>
      <c r="B40" s="492"/>
      <c r="C40" s="736" t="s">
        <v>133</v>
      </c>
      <c r="D40" s="809" t="s">
        <v>134</v>
      </c>
      <c r="E40" s="809"/>
      <c r="F40" s="460" t="s">
        <v>135</v>
      </c>
      <c r="G40" s="460" t="s">
        <v>1101</v>
      </c>
      <c r="H40" s="460" t="s">
        <v>655</v>
      </c>
      <c r="I40" s="460" t="s">
        <v>1094</v>
      </c>
      <c r="J40" s="460" t="s">
        <v>1095</v>
      </c>
      <c r="K40" s="461" t="s">
        <v>1102</v>
      </c>
      <c r="L40" s="460" t="s">
        <v>1103</v>
      </c>
      <c r="M40" s="460" t="s">
        <v>1104</v>
      </c>
      <c r="N40" s="460" t="s">
        <v>1105</v>
      </c>
      <c r="O40" s="460" t="s">
        <v>16</v>
      </c>
      <c r="P40" s="460" t="s">
        <v>662</v>
      </c>
      <c r="Q40" s="507"/>
      <c r="R40" s="507"/>
      <c r="S40" s="507"/>
      <c r="T40" s="507"/>
      <c r="U40" s="507"/>
      <c r="V40" s="508"/>
      <c r="W40" s="508"/>
      <c r="X40" s="508"/>
      <c r="Y40" s="508"/>
      <c r="Z40" s="508"/>
      <c r="AA40" s="508"/>
      <c r="AB40" s="508"/>
      <c r="AC40" s="534"/>
      <c r="AD40" s="508"/>
      <c r="AE40" s="508"/>
      <c r="AF40" s="508"/>
      <c r="AG40" s="508"/>
      <c r="AH40" s="508"/>
    </row>
    <row r="41" spans="1:34" ht="12.75" customHeight="1">
      <c r="A41" s="492"/>
      <c r="B41" s="492"/>
      <c r="C41" s="462"/>
      <c r="D41" s="810"/>
      <c r="E41" s="810"/>
      <c r="F41" s="810"/>
      <c r="G41" s="456"/>
      <c r="H41" s="463"/>
      <c r="I41" s="463"/>
      <c r="J41" s="456"/>
      <c r="K41" s="456"/>
      <c r="L41" s="456"/>
      <c r="M41" s="456"/>
      <c r="N41" s="456"/>
      <c r="O41" s="456"/>
      <c r="P41" s="456"/>
      <c r="Q41" s="507"/>
      <c r="R41" s="507"/>
      <c r="S41" s="507"/>
      <c r="T41" s="507" t="str">
        <f>IF($B41&gt;0,$B41,"")</f>
        <v/>
      </c>
      <c r="U41" s="507"/>
      <c r="V41" s="508"/>
      <c r="W41" s="508"/>
      <c r="X41" s="508"/>
      <c r="Y41" s="508"/>
      <c r="Z41" s="508"/>
      <c r="AA41" s="508"/>
      <c r="AB41" s="508"/>
      <c r="AC41" s="524"/>
      <c r="AD41" s="508"/>
      <c r="AE41" s="517"/>
      <c r="AF41" s="508"/>
      <c r="AG41" s="508"/>
      <c r="AH41" s="508"/>
    </row>
    <row r="42" spans="1:34" s="518" customFormat="1" ht="12" customHeight="1">
      <c r="A42" s="515"/>
      <c r="B42" s="515"/>
      <c r="C42" s="464" t="str">
        <f>L28</f>
        <v>woonkamer / eetkamer</v>
      </c>
      <c r="D42" s="811" t="s">
        <v>1150</v>
      </c>
      <c r="E42" s="811"/>
      <c r="F42" s="657">
        <v>1</v>
      </c>
      <c r="G42" s="465">
        <v>2.4900000000000002</v>
      </c>
      <c r="H42" s="466">
        <v>90</v>
      </c>
      <c r="I42" s="466">
        <v>20</v>
      </c>
      <c r="J42" s="466">
        <v>25</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9">
        <f>ROUND(F42*G42*L42*M42,2)</f>
        <v>1.92</v>
      </c>
      <c r="O42" s="470"/>
      <c r="P42" s="404"/>
      <c r="Q42" s="525" t="str">
        <f t="shared" ref="Q42:Q46" si="11">IF(G42=0,"verbergen","")</f>
        <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49"/>
      <c r="B43" s="515"/>
      <c r="C43" s="464" t="str">
        <f>L28</f>
        <v>woonkamer / eetkamer</v>
      </c>
      <c r="D43" s="811" t="s">
        <v>1151</v>
      </c>
      <c r="E43" s="811"/>
      <c r="F43" s="657">
        <v>2</v>
      </c>
      <c r="G43" s="465">
        <v>0.89</v>
      </c>
      <c r="H43" s="466">
        <v>90</v>
      </c>
      <c r="I43" s="466">
        <v>31</v>
      </c>
      <c r="J43" s="466">
        <v>30</v>
      </c>
      <c r="K43" s="467" t="s">
        <v>737</v>
      </c>
      <c r="L43" s="467">
        <v>1</v>
      </c>
      <c r="M43" s="468">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0.67</v>
      </c>
      <c r="N43" s="469">
        <f>ROUND(F43*G43*L43*M43,2)</f>
        <v>1.19</v>
      </c>
      <c r="O43" s="470"/>
      <c r="P43" s="471"/>
      <c r="Q43" s="525" t="str">
        <f t="shared" si="11"/>
        <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20"/>
      <c r="B44" s="515"/>
      <c r="C44" s="464" t="str">
        <f>L28</f>
        <v>woonkamer / eetkamer</v>
      </c>
      <c r="D44" s="811" t="s">
        <v>1152</v>
      </c>
      <c r="E44" s="811"/>
      <c r="F44" s="657">
        <v>2</v>
      </c>
      <c r="G44" s="465">
        <v>0.89</v>
      </c>
      <c r="H44" s="466">
        <v>90</v>
      </c>
      <c r="I44" s="466">
        <v>31</v>
      </c>
      <c r="J44" s="466">
        <v>30</v>
      </c>
      <c r="K44" s="467" t="s">
        <v>737</v>
      </c>
      <c r="L44" s="467">
        <v>1</v>
      </c>
      <c r="M44" s="468">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0.67</v>
      </c>
      <c r="N44" s="469">
        <f>ROUND(F44*G44*L44*M44,2)</f>
        <v>1.19</v>
      </c>
      <c r="O44" s="470"/>
      <c r="P44" s="471"/>
      <c r="Q44" s="525" t="str">
        <f t="shared" si="11"/>
        <v/>
      </c>
      <c r="R44" s="516"/>
      <c r="S44" s="516"/>
      <c r="T44" s="507"/>
      <c r="U44" s="507">
        <v>1</v>
      </c>
      <c r="V44" s="508"/>
      <c r="W44" s="508"/>
      <c r="X44" s="508"/>
      <c r="Y44" s="508"/>
      <c r="Z44" s="508"/>
      <c r="AA44" s="508"/>
      <c r="AB44" s="508"/>
      <c r="AC44" s="524"/>
      <c r="AD44" s="517"/>
      <c r="AE44" s="517"/>
      <c r="AF44" s="517"/>
      <c r="AG44" s="517"/>
      <c r="AH44" s="517"/>
    </row>
    <row r="45" spans="1:34" s="518" customFormat="1" ht="12" hidden="1" customHeight="1">
      <c r="A45" s="520"/>
      <c r="B45" s="515"/>
      <c r="C45" s="464" t="s">
        <v>252</v>
      </c>
      <c r="D45" s="811" t="s">
        <v>251</v>
      </c>
      <c r="E45" s="811"/>
      <c r="F45" s="657">
        <v>1</v>
      </c>
      <c r="G45" s="465">
        <v>0</v>
      </c>
      <c r="H45" s="466">
        <v>90</v>
      </c>
      <c r="I45" s="466">
        <v>20</v>
      </c>
      <c r="J45" s="466">
        <v>0</v>
      </c>
      <c r="K45" s="467" t="s">
        <v>737</v>
      </c>
      <c r="L45" s="467">
        <v>1</v>
      </c>
      <c r="M45" s="468">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69">
        <f>ROUND(F45*G45*L45*M45,2)</f>
        <v>0</v>
      </c>
      <c r="O45" s="470"/>
      <c r="P45" s="471"/>
      <c r="Q45" s="525" t="str">
        <f t="shared" si="11"/>
        <v>verbergen</v>
      </c>
      <c r="R45" s="516"/>
      <c r="S45" s="516"/>
      <c r="T45" s="507"/>
      <c r="U45" s="507">
        <v>1</v>
      </c>
      <c r="V45" s="508"/>
      <c r="W45" s="508"/>
      <c r="X45" s="508"/>
      <c r="Y45" s="508"/>
      <c r="Z45" s="508"/>
      <c r="AA45" s="508"/>
      <c r="AB45" s="508"/>
      <c r="AC45" s="524"/>
      <c r="AD45" s="517"/>
      <c r="AE45" s="517"/>
      <c r="AF45" s="517"/>
      <c r="AG45" s="517"/>
      <c r="AH45" s="517"/>
    </row>
    <row r="46" spans="1:34" s="518" customFormat="1" ht="12" hidden="1" customHeight="1">
      <c r="A46" s="550"/>
      <c r="B46" s="551"/>
      <c r="C46" s="472" t="s">
        <v>252</v>
      </c>
      <c r="D46" s="812" t="s">
        <v>251</v>
      </c>
      <c r="E46" s="812"/>
      <c r="F46" s="727">
        <v>1</v>
      </c>
      <c r="G46" s="473">
        <v>0</v>
      </c>
      <c r="H46" s="474">
        <v>90</v>
      </c>
      <c r="I46" s="474">
        <v>20</v>
      </c>
      <c r="J46" s="474">
        <v>0</v>
      </c>
      <c r="K46" s="475" t="s">
        <v>737</v>
      </c>
      <c r="L46" s="475">
        <v>1</v>
      </c>
      <c r="M46" s="476">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77">
        <f>ROUND(F46*G46*L46*M46,2)</f>
        <v>0</v>
      </c>
      <c r="O46" s="478"/>
      <c r="P46" s="479"/>
      <c r="Q46" s="525" t="str">
        <f t="shared" si="11"/>
        <v>verbergen</v>
      </c>
      <c r="R46" s="516"/>
      <c r="S46" s="516"/>
      <c r="T46" s="507"/>
      <c r="U46" s="507">
        <v>1</v>
      </c>
      <c r="V46" s="508"/>
      <c r="W46" s="508"/>
      <c r="X46" s="508"/>
      <c r="Y46" s="508"/>
      <c r="Z46" s="508"/>
      <c r="AA46" s="508"/>
      <c r="AB46" s="508"/>
      <c r="AC46" s="524"/>
      <c r="AD46" s="517"/>
      <c r="AE46" s="517"/>
      <c r="AF46" s="517"/>
      <c r="AG46" s="517"/>
      <c r="AH46" s="517"/>
    </row>
    <row r="47" spans="1:34" s="518" customFormat="1" ht="12" customHeight="1">
      <c r="A47" s="552"/>
      <c r="B47" s="553">
        <v>1</v>
      </c>
      <c r="C47" s="480">
        <f>B47</f>
        <v>1</v>
      </c>
      <c r="D47" s="481">
        <f>IF(O47&gt;P47,P47*10,O47*10)</f>
        <v>28.450000000000003</v>
      </c>
      <c r="E47" s="813" t="str">
        <f>IF(O47&lt;P47,(P47*10)-(O47*10),"(voldoet)")</f>
        <v>(voldoet)</v>
      </c>
      <c r="F47" s="813"/>
      <c r="G47" s="813"/>
      <c r="H47" s="482"/>
      <c r="I47" s="482"/>
      <c r="J47" s="483"/>
      <c r="K47" s="484"/>
      <c r="L47" s="485"/>
      <c r="M47" s="485"/>
      <c r="N47" s="485"/>
      <c r="O47" s="486">
        <f>SUM(N42:N47)</f>
        <v>4.3</v>
      </c>
      <c r="P47" s="486">
        <f>SUMPRODUCT(($AD$1:$AD$28232)*($AC$1:$AC$28232=B47))*verzamelblad!$Y$7/100</f>
        <v>2.8450000000000002</v>
      </c>
      <c r="Q47" s="554"/>
      <c r="R47" s="554"/>
      <c r="S47" s="554"/>
      <c r="T47" s="554"/>
      <c r="U47" s="507">
        <v>1</v>
      </c>
      <c r="V47" s="508"/>
      <c r="W47" s="508"/>
      <c r="X47" s="508"/>
      <c r="Y47" s="555">
        <f>IF(E47="(voldoet)",0,IF(E47="(voldoet niet)",D47,E47))</f>
        <v>0</v>
      </c>
      <c r="Z47" s="508"/>
      <c r="AA47" s="508"/>
      <c r="AB47" s="508"/>
      <c r="AC47" s="517"/>
      <c r="AD47" s="517"/>
      <c r="AE47" s="508"/>
      <c r="AF47" s="517"/>
      <c r="AG47" s="517"/>
      <c r="AH47" s="517"/>
    </row>
    <row r="48" spans="1:34" ht="12" customHeight="1">
      <c r="A48" s="492"/>
      <c r="B48" s="492"/>
      <c r="C48" s="487"/>
      <c r="D48" s="487"/>
      <c r="E48" s="487"/>
      <c r="F48" s="463"/>
      <c r="G48" s="463"/>
      <c r="H48" s="456"/>
      <c r="I48" s="456"/>
      <c r="J48" s="456"/>
      <c r="K48" s="456"/>
      <c r="L48" s="456"/>
      <c r="M48" s="456"/>
      <c r="N48" s="456"/>
      <c r="O48" s="488"/>
      <c r="P48" s="489"/>
      <c r="Q48" s="507"/>
      <c r="R48" s="507"/>
      <c r="S48" s="507"/>
      <c r="T48" s="507"/>
      <c r="U48" s="507">
        <v>1</v>
      </c>
      <c r="V48" s="508"/>
      <c r="W48" s="508"/>
      <c r="X48" s="508"/>
      <c r="Y48" s="508"/>
      <c r="Z48" s="508"/>
      <c r="AA48" s="508"/>
      <c r="AB48" s="508"/>
      <c r="AC48" s="524"/>
      <c r="AD48" s="508"/>
      <c r="AE48" s="508"/>
      <c r="AF48" s="508"/>
      <c r="AG48" s="508"/>
      <c r="AH48" s="508"/>
    </row>
    <row r="49" spans="1:34" s="541" customFormat="1" ht="12" customHeight="1">
      <c r="A49" s="543"/>
      <c r="B49" s="543"/>
      <c r="C49" s="464" t="str">
        <f>L29</f>
        <v>keuken</v>
      </c>
      <c r="D49" s="811" t="s">
        <v>1153</v>
      </c>
      <c r="E49" s="811"/>
      <c r="F49" s="657">
        <v>1</v>
      </c>
      <c r="G49" s="465">
        <v>4.95</v>
      </c>
      <c r="H49" s="466">
        <v>90</v>
      </c>
      <c r="I49" s="466">
        <v>20</v>
      </c>
      <c r="J49" s="466">
        <v>66</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0.39</v>
      </c>
      <c r="N49" s="469">
        <f>ROUND(F49*G49*L49*M49,2)</f>
        <v>1.93</v>
      </c>
      <c r="O49" s="470"/>
      <c r="P49" s="404"/>
      <c r="Q49" s="729" t="str">
        <f>IF(G49=0,"verbergen","")</f>
        <v/>
      </c>
      <c r="R49" s="404"/>
      <c r="S49" s="404"/>
      <c r="T49" s="392"/>
      <c r="U49" s="547">
        <f>U48+1</f>
        <v>2</v>
      </c>
      <c r="V49" s="547"/>
      <c r="W49" s="547"/>
      <c r="X49" s="547"/>
      <c r="Y49" s="547"/>
      <c r="Z49" s="547"/>
      <c r="AA49" s="404"/>
      <c r="AB49" s="507"/>
      <c r="AC49" s="516"/>
      <c r="AD49" s="516"/>
      <c r="AE49" s="516"/>
      <c r="AF49" s="507"/>
      <c r="AG49" s="516"/>
      <c r="AH49" s="516"/>
    </row>
    <row r="50" spans="1:34" s="541" customFormat="1" ht="12" customHeight="1">
      <c r="A50" s="543"/>
      <c r="B50" s="543"/>
      <c r="C50" s="464" t="str">
        <f>L29</f>
        <v>keuken</v>
      </c>
      <c r="D50" s="811" t="s">
        <v>1154</v>
      </c>
      <c r="E50" s="811"/>
      <c r="F50" s="657">
        <v>1</v>
      </c>
      <c r="G50" s="465">
        <v>1.01</v>
      </c>
      <c r="H50" s="466">
        <v>90</v>
      </c>
      <c r="I50" s="466">
        <v>20</v>
      </c>
      <c r="J50" s="466">
        <v>39</v>
      </c>
      <c r="K50" s="467" t="s">
        <v>737</v>
      </c>
      <c r="L50" s="467">
        <v>1</v>
      </c>
      <c r="M50" s="468">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0.71</v>
      </c>
      <c r="N50" s="469">
        <f>ROUND(F50*G50*L50*M50,2)</f>
        <v>0.72</v>
      </c>
      <c r="O50" s="470"/>
      <c r="P50" s="471"/>
      <c r="Q50" s="729" t="str">
        <f>IF(G50=0,"verbergen","")</f>
        <v/>
      </c>
      <c r="R50" s="404"/>
      <c r="S50" s="404"/>
      <c r="T50" s="392"/>
      <c r="U50" s="547">
        <f t="shared" ref="U50:U55" si="12">U49</f>
        <v>2</v>
      </c>
      <c r="V50" s="547"/>
      <c r="W50" s="547"/>
      <c r="X50" s="547"/>
      <c r="Y50" s="547"/>
      <c r="Z50" s="547"/>
      <c r="AA50" s="404"/>
      <c r="AB50" s="507"/>
      <c r="AC50" s="516"/>
      <c r="AD50" s="516"/>
      <c r="AE50" s="516"/>
      <c r="AF50" s="507"/>
      <c r="AG50" s="516"/>
      <c r="AH50" s="516"/>
    </row>
    <row r="51" spans="1:34" s="541" customFormat="1" ht="12" customHeight="1">
      <c r="A51" s="543"/>
      <c r="B51" s="543"/>
      <c r="C51" s="464" t="str">
        <f>L30</f>
        <v>bijkeuken</v>
      </c>
      <c r="D51" s="811" t="s">
        <v>1152</v>
      </c>
      <c r="E51" s="811"/>
      <c r="F51" s="657">
        <v>2</v>
      </c>
      <c r="G51" s="465">
        <v>0.89</v>
      </c>
      <c r="H51" s="466">
        <v>90</v>
      </c>
      <c r="I51" s="466">
        <v>31</v>
      </c>
      <c r="J51" s="466">
        <v>30</v>
      </c>
      <c r="K51" s="467" t="s">
        <v>737</v>
      </c>
      <c r="L51" s="467">
        <v>1</v>
      </c>
      <c r="M51" s="468">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0.67</v>
      </c>
      <c r="N51" s="469">
        <f>ROUND(F51*G51*L51*M51,2)</f>
        <v>1.19</v>
      </c>
      <c r="O51" s="470"/>
      <c r="P51" s="471"/>
      <c r="Q51" s="729" t="str">
        <f>IF(G51=0,"verbergen","")</f>
        <v/>
      </c>
      <c r="R51" s="404"/>
      <c r="S51" s="404"/>
      <c r="T51" s="392"/>
      <c r="U51" s="547">
        <f t="shared" si="12"/>
        <v>2</v>
      </c>
      <c r="V51" s="547"/>
      <c r="W51" s="547"/>
      <c r="X51" s="547"/>
      <c r="Y51" s="547"/>
      <c r="Z51" s="547"/>
      <c r="AA51" s="404"/>
      <c r="AB51" s="507"/>
      <c r="AC51" s="516"/>
      <c r="AD51" s="516"/>
      <c r="AE51" s="516"/>
      <c r="AF51" s="507"/>
      <c r="AG51" s="516"/>
      <c r="AH51" s="516"/>
    </row>
    <row r="52" spans="1:34" s="541" customFormat="1" ht="12" hidden="1" customHeight="1">
      <c r="A52" s="543"/>
      <c r="B52" s="543"/>
      <c r="C52" s="464" t="s">
        <v>252</v>
      </c>
      <c r="D52" s="811" t="s">
        <v>251</v>
      </c>
      <c r="E52" s="811"/>
      <c r="F52" s="657">
        <v>1</v>
      </c>
      <c r="G52" s="465">
        <v>0</v>
      </c>
      <c r="H52" s="466">
        <v>90</v>
      </c>
      <c r="I52" s="466">
        <v>20</v>
      </c>
      <c r="J52" s="466">
        <v>0</v>
      </c>
      <c r="K52" s="467" t="s">
        <v>737</v>
      </c>
      <c r="L52" s="467">
        <v>1</v>
      </c>
      <c r="M52" s="468">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69">
        <f>ROUND(F52*G52*L52*M52,2)</f>
        <v>0</v>
      </c>
      <c r="O52" s="470"/>
      <c r="P52" s="471"/>
      <c r="Q52" s="729" t="str">
        <f>IF(G52=0,"verbergen","")</f>
        <v>verbergen</v>
      </c>
      <c r="R52" s="404"/>
      <c r="S52" s="404"/>
      <c r="T52" s="392"/>
      <c r="U52" s="547">
        <f t="shared" si="12"/>
        <v>2</v>
      </c>
      <c r="V52" s="547"/>
      <c r="W52" s="547"/>
      <c r="X52" s="547"/>
      <c r="Y52" s="547"/>
      <c r="Z52" s="547"/>
      <c r="AA52" s="404"/>
      <c r="AB52" s="507"/>
      <c r="AC52" s="516"/>
      <c r="AD52" s="516"/>
      <c r="AE52" s="516"/>
      <c r="AF52" s="507"/>
      <c r="AG52" s="516"/>
      <c r="AH52" s="516"/>
    </row>
    <row r="53" spans="1:34" s="541" customFormat="1" ht="12" hidden="1" customHeight="1">
      <c r="A53" s="543"/>
      <c r="B53" s="543"/>
      <c r="C53" s="464" t="s">
        <v>252</v>
      </c>
      <c r="D53" s="812" t="s">
        <v>251</v>
      </c>
      <c r="E53" s="812"/>
      <c r="F53" s="727">
        <v>1</v>
      </c>
      <c r="G53" s="473">
        <v>0</v>
      </c>
      <c r="H53" s="474">
        <v>90</v>
      </c>
      <c r="I53" s="474">
        <v>20</v>
      </c>
      <c r="J53" s="474">
        <v>0</v>
      </c>
      <c r="K53" s="475" t="s">
        <v>737</v>
      </c>
      <c r="L53" s="475">
        <v>1</v>
      </c>
      <c r="M53" s="476">
        <f>IF(H53&gt;80,(IF(J53&gt;75,0,IF(I53&gt;80,0,INDEX(verzamelblad!$A$81:$BK$158, MATCH((CEILING(IF(J53&gt;=75,75,J53),1)),verzamelblad!$A$81:$A$158,), MATCH((CEILING(IF(I53&lt;=20,20,IF(I53&gt;=80,80,I53)),1)),verzamelblad!$A$81:$BK$81,))))),IF(I53&gt;75,0,INDEX(verzamelblad!$A$164:$BM$245, MATCH((CEILING(IF(H53&gt;=80,80,H53),1)),verzamelblad!$A$164:$A$245,), MATCH((CEILING(IF(I53&lt;=1,1,IF(I53&gt;=75,75,I53)),1)),verzamelblad!$A$164:$BM$164,))))</f>
        <v>0.8</v>
      </c>
      <c r="N53" s="477">
        <f>ROUND(F53*G53*L53*M53,2)</f>
        <v>0</v>
      </c>
      <c r="O53" s="478"/>
      <c r="P53" s="479"/>
      <c r="Q53" s="729" t="str">
        <f>IF(G53=0,"verbergen","")</f>
        <v>verbergen</v>
      </c>
      <c r="R53" s="404"/>
      <c r="S53" s="404"/>
      <c r="T53" s="392"/>
      <c r="U53" s="547">
        <f t="shared" si="12"/>
        <v>2</v>
      </c>
      <c r="V53" s="547"/>
      <c r="W53" s="547"/>
      <c r="X53" s="547"/>
      <c r="Y53" s="547"/>
      <c r="Z53" s="547"/>
      <c r="AA53" s="404"/>
      <c r="AB53" s="507"/>
      <c r="AC53" s="516"/>
      <c r="AD53" s="516"/>
      <c r="AE53" s="516"/>
      <c r="AF53" s="507"/>
      <c r="AG53" s="516"/>
      <c r="AH53" s="516"/>
    </row>
    <row r="54" spans="1:34" s="404" customFormat="1" ht="12" customHeight="1">
      <c r="A54" s="542"/>
      <c r="B54" s="556">
        <f>B47+1</f>
        <v>2</v>
      </c>
      <c r="C54" s="480">
        <f>B54</f>
        <v>2</v>
      </c>
      <c r="D54" s="481">
        <f>IF(O54&gt;P54,P54*10,O54*10)</f>
        <v>21.39</v>
      </c>
      <c r="E54" s="813" t="str">
        <f>IF(O54&lt;P54,(P54*10)-(O54*10),"(voldoet)")</f>
        <v>(voldoet)</v>
      </c>
      <c r="F54" s="813"/>
      <c r="G54" s="813"/>
      <c r="H54" s="482"/>
      <c r="I54" s="482"/>
      <c r="J54" s="483"/>
      <c r="K54" s="484"/>
      <c r="L54" s="485"/>
      <c r="M54" s="485"/>
      <c r="N54" s="485"/>
      <c r="O54" s="486">
        <f>SUM(N49:N54)</f>
        <v>3.84</v>
      </c>
      <c r="P54" s="486">
        <f>SUMPRODUCT(($AD$1:$AD$28222)*($AC$1:$AC$28222=B54))*verzamelblad!$Y$7/100</f>
        <v>2.1390000000000002</v>
      </c>
      <c r="Q54" s="557"/>
      <c r="R54" s="557"/>
      <c r="S54" s="557"/>
      <c r="T54" s="558"/>
      <c r="U54" s="547">
        <f t="shared" si="12"/>
        <v>2</v>
      </c>
      <c r="V54" s="547"/>
      <c r="W54" s="547"/>
      <c r="X54" s="547"/>
      <c r="Y54" s="559">
        <f>IF(E54="(voldoet)",0,IF(E54="(voldoet niet)",D54,E54))</f>
        <v>0</v>
      </c>
      <c r="Z54" s="547"/>
      <c r="AB54" s="547"/>
      <c r="AC54" s="392"/>
      <c r="AD54" s="392"/>
      <c r="AE54" s="392"/>
      <c r="AF54" s="547"/>
      <c r="AG54" s="392"/>
      <c r="AH54" s="392"/>
    </row>
    <row r="55" spans="1:34" s="493" customFormat="1" ht="12" customHeight="1">
      <c r="A55" s="560"/>
      <c r="B55" s="560"/>
      <c r="C55" s="487"/>
      <c r="D55" s="487"/>
      <c r="E55" s="487"/>
      <c r="F55" s="463"/>
      <c r="G55" s="463"/>
      <c r="H55" s="456"/>
      <c r="I55" s="456"/>
      <c r="J55" s="456"/>
      <c r="K55" s="456"/>
      <c r="L55" s="456"/>
      <c r="M55" s="456"/>
      <c r="N55" s="456"/>
      <c r="O55" s="488"/>
      <c r="P55" s="489"/>
      <c r="Q55" s="451"/>
      <c r="R55" s="451"/>
      <c r="S55" s="451"/>
      <c r="T55" s="561"/>
      <c r="U55" s="547">
        <f t="shared" si="12"/>
        <v>2</v>
      </c>
      <c r="V55" s="547"/>
      <c r="W55" s="547"/>
      <c r="X55" s="547"/>
      <c r="Y55" s="547"/>
      <c r="Z55" s="547"/>
      <c r="AA55" s="451"/>
      <c r="AB55" s="507"/>
      <c r="AC55" s="507"/>
      <c r="AD55" s="507"/>
      <c r="AE55" s="507"/>
      <c r="AF55" s="507"/>
      <c r="AG55" s="507"/>
      <c r="AH55" s="507"/>
    </row>
    <row r="56" spans="1:34" s="541" customFormat="1" ht="12" customHeight="1">
      <c r="A56" s="543"/>
      <c r="B56" s="543"/>
      <c r="C56" s="464" t="str">
        <f>L31</f>
        <v>slaapkamer 1</v>
      </c>
      <c r="D56" s="811" t="s">
        <v>1155</v>
      </c>
      <c r="E56" s="811"/>
      <c r="F56" s="657">
        <v>1</v>
      </c>
      <c r="G56" s="465">
        <v>1.39</v>
      </c>
      <c r="H56" s="466">
        <v>90</v>
      </c>
      <c r="I56" s="466">
        <v>20</v>
      </c>
      <c r="J56" s="466">
        <v>33</v>
      </c>
      <c r="K56" s="467" t="s">
        <v>737</v>
      </c>
      <c r="L56" s="467">
        <v>1</v>
      </c>
      <c r="M56" s="468">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0.74</v>
      </c>
      <c r="N56" s="469">
        <f>ROUND(F56*G56*L56*M56,2)</f>
        <v>1.03</v>
      </c>
      <c r="O56" s="470"/>
      <c r="P56" s="404"/>
      <c r="Q56" s="729" t="str">
        <f>IF(G56=0,"verbergen","")</f>
        <v/>
      </c>
      <c r="R56" s="404"/>
      <c r="S56" s="404"/>
      <c r="T56" s="392"/>
      <c r="U56" s="547">
        <f>U55+1</f>
        <v>3</v>
      </c>
      <c r="V56" s="547"/>
      <c r="W56" s="547"/>
      <c r="X56" s="547"/>
      <c r="Y56" s="547"/>
      <c r="Z56" s="547"/>
      <c r="AA56" s="404"/>
      <c r="AB56" s="507"/>
      <c r="AC56" s="516"/>
      <c r="AD56" s="516"/>
      <c r="AE56" s="516"/>
      <c r="AF56" s="507"/>
      <c r="AG56" s="516"/>
      <c r="AH56" s="516"/>
    </row>
    <row r="57" spans="1:34" s="541" customFormat="1" ht="12" customHeight="1">
      <c r="A57" s="543"/>
      <c r="B57" s="543"/>
      <c r="C57" s="464" t="str">
        <f>L32</f>
        <v>slaapkamer 2</v>
      </c>
      <c r="D57" s="811" t="s">
        <v>1156</v>
      </c>
      <c r="E57" s="811"/>
      <c r="F57" s="657">
        <v>1</v>
      </c>
      <c r="G57" s="465">
        <v>1.36</v>
      </c>
      <c r="H57" s="466">
        <v>90</v>
      </c>
      <c r="I57" s="466">
        <v>20</v>
      </c>
      <c r="J57" s="466">
        <v>33</v>
      </c>
      <c r="K57" s="467" t="s">
        <v>737</v>
      </c>
      <c r="L57" s="467">
        <v>1</v>
      </c>
      <c r="M57" s="468">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0.74</v>
      </c>
      <c r="N57" s="469">
        <f>ROUND(F57*G57*L57*M57,2)</f>
        <v>1.01</v>
      </c>
      <c r="O57" s="470"/>
      <c r="P57" s="471"/>
      <c r="Q57" s="729" t="str">
        <f>IF(G57=0,"verbergen","")</f>
        <v/>
      </c>
      <c r="R57" s="404"/>
      <c r="S57" s="404"/>
      <c r="T57" s="392"/>
      <c r="U57" s="547">
        <f t="shared" ref="U57:U62" si="13">U56</f>
        <v>3</v>
      </c>
      <c r="V57" s="547"/>
      <c r="W57" s="547"/>
      <c r="X57" s="547"/>
      <c r="Y57" s="547"/>
      <c r="Z57" s="547"/>
      <c r="AA57" s="404"/>
      <c r="AB57" s="507"/>
      <c r="AC57" s="516"/>
      <c r="AD57" s="516"/>
      <c r="AE57" s="516"/>
      <c r="AF57" s="507"/>
      <c r="AG57" s="516"/>
      <c r="AH57" s="516"/>
    </row>
    <row r="58" spans="1:34" s="541" customFormat="1" ht="12" customHeight="1">
      <c r="A58" s="543"/>
      <c r="B58" s="543"/>
      <c r="C58" s="464" t="str">
        <f>L33</f>
        <v>studeerkamer</v>
      </c>
      <c r="D58" s="811" t="s">
        <v>1157</v>
      </c>
      <c r="E58" s="811"/>
      <c r="F58" s="657">
        <v>1</v>
      </c>
      <c r="G58" s="465">
        <v>1.59</v>
      </c>
      <c r="H58" s="466">
        <v>90</v>
      </c>
      <c r="I58" s="466">
        <v>20</v>
      </c>
      <c r="J58" s="466">
        <v>39</v>
      </c>
      <c r="K58" s="467" t="s">
        <v>737</v>
      </c>
      <c r="L58" s="467">
        <v>1</v>
      </c>
      <c r="M58" s="468">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0.71</v>
      </c>
      <c r="N58" s="469">
        <f>ROUND(F58*G58*L58*M58,2)</f>
        <v>1.1299999999999999</v>
      </c>
      <c r="O58" s="470"/>
      <c r="P58" s="471"/>
      <c r="Q58" s="729" t="str">
        <f>IF(G58=0,"verbergen","")</f>
        <v/>
      </c>
      <c r="R58" s="404"/>
      <c r="S58" s="404"/>
      <c r="T58" s="392"/>
      <c r="U58" s="547">
        <f t="shared" si="13"/>
        <v>3</v>
      </c>
      <c r="V58" s="547"/>
      <c r="W58" s="547"/>
      <c r="X58" s="547"/>
      <c r="Y58" s="547"/>
      <c r="Z58" s="547"/>
      <c r="AA58" s="404"/>
      <c r="AB58" s="507"/>
      <c r="AC58" s="516"/>
      <c r="AD58" s="516"/>
      <c r="AE58" s="516"/>
      <c r="AF58" s="507"/>
      <c r="AG58" s="516"/>
      <c r="AH58" s="516"/>
    </row>
    <row r="59" spans="1:34" s="541" customFormat="1" ht="12" hidden="1" customHeight="1">
      <c r="A59" s="543"/>
      <c r="B59" s="543"/>
      <c r="C59" s="464" t="s">
        <v>252</v>
      </c>
      <c r="D59" s="811" t="s">
        <v>251</v>
      </c>
      <c r="E59" s="811"/>
      <c r="F59" s="657">
        <v>1</v>
      </c>
      <c r="G59" s="465">
        <v>0</v>
      </c>
      <c r="H59" s="466">
        <v>90</v>
      </c>
      <c r="I59" s="466">
        <v>20</v>
      </c>
      <c r="J59" s="466">
        <v>0</v>
      </c>
      <c r="K59" s="467" t="s">
        <v>737</v>
      </c>
      <c r="L59" s="467">
        <v>1</v>
      </c>
      <c r="M59" s="468">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0.8</v>
      </c>
      <c r="N59" s="469">
        <f>ROUND(F59*G59*L59*M59,2)</f>
        <v>0</v>
      </c>
      <c r="O59" s="470"/>
      <c r="P59" s="471"/>
      <c r="Q59" s="729" t="str">
        <f>IF(G59=0,"verbergen","")</f>
        <v>verbergen</v>
      </c>
      <c r="R59" s="404"/>
      <c r="S59" s="404"/>
      <c r="T59" s="392"/>
      <c r="U59" s="547">
        <f t="shared" si="13"/>
        <v>3</v>
      </c>
      <c r="V59" s="547"/>
      <c r="W59" s="547"/>
      <c r="X59" s="547"/>
      <c r="Y59" s="547"/>
      <c r="Z59" s="547"/>
      <c r="AA59" s="404"/>
      <c r="AB59" s="507"/>
      <c r="AC59" s="516"/>
      <c r="AD59" s="516"/>
      <c r="AE59" s="516"/>
      <c r="AF59" s="507"/>
      <c r="AG59" s="516"/>
      <c r="AH59" s="516"/>
    </row>
    <row r="60" spans="1:34" s="541" customFormat="1" ht="12" hidden="1" customHeight="1">
      <c r="A60" s="543"/>
      <c r="B60" s="543"/>
      <c r="C60" s="472" t="s">
        <v>252</v>
      </c>
      <c r="D60" s="812" t="s">
        <v>251</v>
      </c>
      <c r="E60" s="812"/>
      <c r="F60" s="727">
        <v>1</v>
      </c>
      <c r="G60" s="473">
        <v>0</v>
      </c>
      <c r="H60" s="474">
        <v>90</v>
      </c>
      <c r="I60" s="474">
        <v>20</v>
      </c>
      <c r="J60" s="474">
        <v>0</v>
      </c>
      <c r="K60" s="475" t="s">
        <v>737</v>
      </c>
      <c r="L60" s="475">
        <v>1</v>
      </c>
      <c r="M60" s="476">
        <f>IF(H60&gt;80,(IF(J60&gt;75,0,IF(I60&gt;80,0,INDEX(verzamelblad!$A$81:$BK$158, MATCH((CEILING(IF(J60&gt;=75,75,J60),1)),verzamelblad!$A$81:$A$158,), MATCH((CEILING(IF(I60&lt;=20,20,IF(I60&gt;=80,80,I60)),1)),verzamelblad!$A$81:$BK$81,))))),IF(I60&gt;75,0,INDEX(verzamelblad!$A$164:$BM$245, MATCH((CEILING(IF(H60&gt;=80,80,H60),1)),verzamelblad!$A$164:$A$245,), MATCH((CEILING(IF(I60&lt;=1,1,IF(I60&gt;=75,75,I60)),1)),verzamelblad!$A$164:$BM$164,))))</f>
        <v>0.8</v>
      </c>
      <c r="N60" s="477">
        <f>ROUND(F60*G60*L60*M60,2)</f>
        <v>0</v>
      </c>
      <c r="O60" s="478"/>
      <c r="P60" s="479"/>
      <c r="Q60" s="729" t="str">
        <f>IF(G60=0,"verbergen","")</f>
        <v>verbergen</v>
      </c>
      <c r="R60" s="404"/>
      <c r="S60" s="404"/>
      <c r="T60" s="392"/>
      <c r="U60" s="547">
        <f t="shared" si="13"/>
        <v>3</v>
      </c>
      <c r="V60" s="547"/>
      <c r="W60" s="547"/>
      <c r="X60" s="547"/>
      <c r="Y60" s="547"/>
      <c r="Z60" s="547"/>
      <c r="AA60" s="404"/>
      <c r="AB60" s="507"/>
      <c r="AC60" s="516"/>
      <c r="AD60" s="516"/>
      <c r="AE60" s="516"/>
      <c r="AF60" s="507"/>
      <c r="AG60" s="516"/>
      <c r="AH60" s="516"/>
    </row>
    <row r="61" spans="1:34" s="404" customFormat="1" ht="12" customHeight="1">
      <c r="A61" s="542"/>
      <c r="B61" s="556">
        <f>B54+1</f>
        <v>3</v>
      </c>
      <c r="C61" s="480">
        <f>B61</f>
        <v>3</v>
      </c>
      <c r="D61" s="481">
        <f>IF(O61&gt;P61,P61*10,O61*10)</f>
        <v>31.7</v>
      </c>
      <c r="E61" s="813">
        <f>IF(O61&lt;P61,(P61*10)-(O61*10),"(voldoet)")</f>
        <v>0.30000000000000071</v>
      </c>
      <c r="F61" s="813"/>
      <c r="G61" s="813"/>
      <c r="H61" s="482"/>
      <c r="I61" s="482"/>
      <c r="J61" s="483"/>
      <c r="K61" s="484"/>
      <c r="L61" s="485"/>
      <c r="M61" s="485"/>
      <c r="N61" s="485"/>
      <c r="O61" s="486">
        <f>SUM(N56:N61)</f>
        <v>3.17</v>
      </c>
      <c r="P61" s="486">
        <f>SUMPRODUCT(($AD$1:$AD$28206)*($AC$1:$AC$28206=B61))*verzamelblad!$Y$7/100</f>
        <v>3.2</v>
      </c>
      <c r="Q61" s="557"/>
      <c r="R61" s="557"/>
      <c r="S61" s="557"/>
      <c r="T61" s="558"/>
      <c r="U61" s="547">
        <f t="shared" si="13"/>
        <v>3</v>
      </c>
      <c r="V61" s="547"/>
      <c r="W61" s="547"/>
      <c r="X61" s="547"/>
      <c r="Y61" s="559">
        <f>IF(E61="(voldoet)",0,IF(E61="(voldoet niet)",D61,E61))</f>
        <v>0.30000000000000071</v>
      </c>
      <c r="Z61" s="547"/>
      <c r="AB61" s="547"/>
      <c r="AC61" s="392"/>
      <c r="AD61" s="392"/>
      <c r="AE61" s="392"/>
      <c r="AF61" s="547"/>
      <c r="AG61" s="392"/>
      <c r="AH61" s="392"/>
    </row>
    <row r="62" spans="1:34" s="493" customFormat="1" ht="12" customHeight="1">
      <c r="A62" s="560"/>
      <c r="B62" s="560"/>
      <c r="C62" s="487"/>
      <c r="D62" s="487"/>
      <c r="E62" s="487"/>
      <c r="F62" s="463"/>
      <c r="G62" s="463"/>
      <c r="H62" s="456"/>
      <c r="I62" s="456"/>
      <c r="J62" s="456"/>
      <c r="K62" s="456"/>
      <c r="L62" s="456"/>
      <c r="M62" s="456"/>
      <c r="N62" s="456"/>
      <c r="O62" s="488"/>
      <c r="P62" s="489"/>
      <c r="Q62" s="451"/>
      <c r="R62" s="451"/>
      <c r="S62" s="451"/>
      <c r="T62" s="561"/>
      <c r="U62" s="547">
        <f t="shared" si="13"/>
        <v>3</v>
      </c>
      <c r="V62" s="547"/>
      <c r="W62" s="547"/>
      <c r="X62" s="547"/>
      <c r="Y62" s="547"/>
      <c r="Z62" s="547"/>
      <c r="AA62" s="451"/>
      <c r="AB62" s="507"/>
      <c r="AC62" s="507"/>
      <c r="AD62" s="507"/>
      <c r="AE62" s="507"/>
      <c r="AF62" s="507"/>
      <c r="AG62" s="507"/>
      <c r="AH62" s="507"/>
    </row>
    <row r="63" spans="1:34" s="541" customFormat="1" ht="12" customHeight="1">
      <c r="A63" s="543"/>
      <c r="B63" s="543"/>
      <c r="C63" s="464" t="str">
        <f>L34</f>
        <v>slaapkamer 3</v>
      </c>
      <c r="D63" s="811" t="s">
        <v>1155</v>
      </c>
      <c r="E63" s="811"/>
      <c r="F63" s="657">
        <v>1</v>
      </c>
      <c r="G63" s="465">
        <v>1.39</v>
      </c>
      <c r="H63" s="466">
        <v>90</v>
      </c>
      <c r="I63" s="466">
        <v>20</v>
      </c>
      <c r="J63" s="466">
        <v>33</v>
      </c>
      <c r="K63" s="467" t="s">
        <v>737</v>
      </c>
      <c r="L63" s="467">
        <v>1</v>
      </c>
      <c r="M63" s="468">
        <f>IF(H63&gt;80,(IF(J63&gt;75,0,IF(I63&gt;80,0,INDEX(verzamelblad!$A$81:$BK$158, MATCH((CEILING(IF(J63&gt;=75,75,J63),1)),verzamelblad!$A$81:$A$158,), MATCH((CEILING(IF(I63&lt;=20,20,IF(I63&gt;=80,80,I63)),1)),verzamelblad!$A$81:$BK$81,))))),IF(I63&gt;75,0,INDEX(verzamelblad!$A$164:$BM$245, MATCH((CEILING(IF(H63&gt;=80,80,H63),1)),verzamelblad!$A$164:$A$245,), MATCH((CEILING(IF(I63&lt;=1,1,IF(I63&gt;=75,75,I63)),1)),verzamelblad!$A$164:$BM$164,))))</f>
        <v>0.74</v>
      </c>
      <c r="N63" s="469">
        <f>ROUND(F63*G63*L63*M63,2)</f>
        <v>1.03</v>
      </c>
      <c r="O63" s="470"/>
      <c r="P63" s="404"/>
      <c r="Q63" s="729" t="str">
        <f>IF(G63=0,"verbergen","")</f>
        <v/>
      </c>
      <c r="R63" s="404"/>
      <c r="S63" s="404"/>
      <c r="T63" s="392"/>
      <c r="U63" s="547">
        <f>U62+1</f>
        <v>4</v>
      </c>
      <c r="V63" s="547"/>
      <c r="W63" s="547"/>
      <c r="X63" s="547"/>
      <c r="Y63" s="547"/>
      <c r="Z63" s="547"/>
      <c r="AA63" s="404"/>
      <c r="AB63" s="507"/>
      <c r="AC63" s="516"/>
      <c r="AD63" s="516"/>
      <c r="AE63" s="516"/>
      <c r="AF63" s="507"/>
      <c r="AG63" s="516"/>
      <c r="AH63" s="516"/>
    </row>
    <row r="64" spans="1:34" s="541" customFormat="1" ht="12" hidden="1" customHeight="1">
      <c r="A64" s="543"/>
      <c r="B64" s="543"/>
      <c r="C64" s="464" t="s">
        <v>252</v>
      </c>
      <c r="D64" s="811" t="s">
        <v>251</v>
      </c>
      <c r="E64" s="811"/>
      <c r="F64" s="657">
        <v>1</v>
      </c>
      <c r="G64" s="465">
        <v>0</v>
      </c>
      <c r="H64" s="466">
        <v>90</v>
      </c>
      <c r="I64" s="466">
        <v>20</v>
      </c>
      <c r="J64" s="466">
        <v>0</v>
      </c>
      <c r="K64" s="467" t="s">
        <v>737</v>
      </c>
      <c r="L64" s="467">
        <v>1</v>
      </c>
      <c r="M64" s="468">
        <f>IF(H64&gt;80,(IF(J64&gt;75,0,IF(I64&gt;80,0,INDEX(verzamelblad!$A$81:$BK$158, MATCH((CEILING(IF(J64&gt;=75,75,J64),1)),verzamelblad!$A$81:$A$158,), MATCH((CEILING(IF(I64&lt;=20,20,IF(I64&gt;=80,80,I64)),1)),verzamelblad!$A$81:$BK$81,))))),IF(I64&gt;75,0,INDEX(verzamelblad!$A$164:$BM$245, MATCH((CEILING(IF(H64&gt;=80,80,H64),1)),verzamelblad!$A$164:$A$245,), MATCH((CEILING(IF(I64&lt;=1,1,IF(I64&gt;=75,75,I64)),1)),verzamelblad!$A$164:$BM$164,))))</f>
        <v>0.8</v>
      </c>
      <c r="N64" s="469">
        <f>ROUND(F64*G64*L64*M64,2)</f>
        <v>0</v>
      </c>
      <c r="O64" s="470"/>
      <c r="P64" s="471"/>
      <c r="Q64" s="729" t="str">
        <f>IF(G64=0,"verbergen","")</f>
        <v>verbergen</v>
      </c>
      <c r="R64" s="404"/>
      <c r="S64" s="404"/>
      <c r="T64" s="392"/>
      <c r="U64" s="547">
        <f t="shared" ref="U64:U69" si="14">U63</f>
        <v>4</v>
      </c>
      <c r="V64" s="547"/>
      <c r="W64" s="547"/>
      <c r="X64" s="547"/>
      <c r="Y64" s="547"/>
      <c r="Z64" s="547"/>
      <c r="AA64" s="404"/>
      <c r="AB64" s="507"/>
      <c r="AC64" s="516"/>
      <c r="AD64" s="516"/>
      <c r="AE64" s="516"/>
      <c r="AF64" s="507"/>
      <c r="AG64" s="516"/>
      <c r="AH64" s="516"/>
    </row>
    <row r="65" spans="1:43" s="541" customFormat="1" ht="12" hidden="1" customHeight="1">
      <c r="A65" s="543"/>
      <c r="B65" s="543"/>
      <c r="C65" s="464" t="s">
        <v>252</v>
      </c>
      <c r="D65" s="811" t="s">
        <v>251</v>
      </c>
      <c r="E65" s="811"/>
      <c r="F65" s="657">
        <v>1</v>
      </c>
      <c r="G65" s="465">
        <v>0</v>
      </c>
      <c r="H65" s="466">
        <v>90</v>
      </c>
      <c r="I65" s="466">
        <v>20</v>
      </c>
      <c r="J65" s="466">
        <v>0</v>
      </c>
      <c r="K65" s="467" t="s">
        <v>737</v>
      </c>
      <c r="L65" s="467">
        <v>1</v>
      </c>
      <c r="M65" s="468">
        <f>IF(H65&gt;80,(IF(J65&gt;75,0,IF(I65&gt;80,0,INDEX(verzamelblad!$A$81:$BK$158, MATCH((CEILING(IF(J65&gt;=75,75,J65),1)),verzamelblad!$A$81:$A$158,), MATCH((CEILING(IF(I65&lt;=20,20,IF(I65&gt;=80,80,I65)),1)),verzamelblad!$A$81:$BK$81,))))),IF(I65&gt;75,0,INDEX(verzamelblad!$A$164:$BM$245, MATCH((CEILING(IF(H65&gt;=80,80,H65),1)),verzamelblad!$A$164:$A$245,), MATCH((CEILING(IF(I65&lt;=1,1,IF(I65&gt;=75,75,I65)),1)),verzamelblad!$A$164:$BM$164,))))</f>
        <v>0.8</v>
      </c>
      <c r="N65" s="469">
        <f>ROUND(F65*G65*L65*M65,2)</f>
        <v>0</v>
      </c>
      <c r="O65" s="470"/>
      <c r="P65" s="471"/>
      <c r="Q65" s="729" t="str">
        <f>IF(G65=0,"verbergen","")</f>
        <v>verbergen</v>
      </c>
      <c r="R65" s="404"/>
      <c r="S65" s="404"/>
      <c r="T65" s="392"/>
      <c r="U65" s="547">
        <f t="shared" si="14"/>
        <v>4</v>
      </c>
      <c r="V65" s="547"/>
      <c r="W65" s="547"/>
      <c r="X65" s="547"/>
      <c r="Y65" s="547"/>
      <c r="Z65" s="547"/>
      <c r="AA65" s="404"/>
      <c r="AB65" s="507"/>
      <c r="AC65" s="516"/>
      <c r="AD65" s="516"/>
      <c r="AE65" s="516"/>
      <c r="AF65" s="507"/>
      <c r="AG65" s="516"/>
      <c r="AH65" s="516"/>
    </row>
    <row r="66" spans="1:43" s="541" customFormat="1" ht="12" hidden="1" customHeight="1">
      <c r="A66" s="543"/>
      <c r="B66" s="543"/>
      <c r="C66" s="464" t="s">
        <v>252</v>
      </c>
      <c r="D66" s="811" t="s">
        <v>251</v>
      </c>
      <c r="E66" s="811"/>
      <c r="F66" s="657">
        <v>1</v>
      </c>
      <c r="G66" s="465">
        <v>0</v>
      </c>
      <c r="H66" s="466">
        <v>90</v>
      </c>
      <c r="I66" s="466">
        <v>20</v>
      </c>
      <c r="J66" s="466">
        <v>0</v>
      </c>
      <c r="K66" s="467" t="s">
        <v>737</v>
      </c>
      <c r="L66" s="467">
        <v>1</v>
      </c>
      <c r="M66" s="468">
        <f>IF(H66&gt;80,(IF(J66&gt;75,0,IF(I66&gt;80,0,INDEX(verzamelblad!$A$81:$BK$158, MATCH((CEILING(IF(J66&gt;=75,75,J66),1)),verzamelblad!$A$81:$A$158,), MATCH((CEILING(IF(I66&lt;=20,20,IF(I66&gt;=80,80,I66)),1)),verzamelblad!$A$81:$BK$81,))))),IF(I66&gt;75,0,INDEX(verzamelblad!$A$164:$BM$245, MATCH((CEILING(IF(H66&gt;=80,80,H66),1)),verzamelblad!$A$164:$A$245,), MATCH((CEILING(IF(I66&lt;=1,1,IF(I66&gt;=75,75,I66)),1)),verzamelblad!$A$164:$BM$164,))))</f>
        <v>0.8</v>
      </c>
      <c r="N66" s="469">
        <f>ROUND(F66*G66*L66*M66,2)</f>
        <v>0</v>
      </c>
      <c r="O66" s="470"/>
      <c r="P66" s="471"/>
      <c r="Q66" s="729" t="str">
        <f>IF(G66=0,"verbergen","")</f>
        <v>verbergen</v>
      </c>
      <c r="R66" s="404"/>
      <c r="S66" s="404"/>
      <c r="T66" s="392"/>
      <c r="U66" s="547">
        <f t="shared" si="14"/>
        <v>4</v>
      </c>
      <c r="V66" s="547"/>
      <c r="W66" s="547"/>
      <c r="X66" s="547"/>
      <c r="Y66" s="547"/>
      <c r="Z66" s="547"/>
      <c r="AA66" s="404"/>
      <c r="AB66" s="507"/>
      <c r="AC66" s="516"/>
      <c r="AD66" s="516"/>
      <c r="AE66" s="516"/>
      <c r="AF66" s="507"/>
      <c r="AG66" s="516"/>
      <c r="AH66" s="516"/>
    </row>
    <row r="67" spans="1:43" s="541" customFormat="1" ht="12" hidden="1" customHeight="1">
      <c r="A67" s="543"/>
      <c r="B67" s="543"/>
      <c r="C67" s="472" t="s">
        <v>252</v>
      </c>
      <c r="D67" s="812" t="s">
        <v>251</v>
      </c>
      <c r="E67" s="812"/>
      <c r="F67" s="727">
        <v>1</v>
      </c>
      <c r="G67" s="473">
        <v>0</v>
      </c>
      <c r="H67" s="474">
        <v>90</v>
      </c>
      <c r="I67" s="474">
        <v>20</v>
      </c>
      <c r="J67" s="474">
        <v>0</v>
      </c>
      <c r="K67" s="475" t="s">
        <v>737</v>
      </c>
      <c r="L67" s="475">
        <v>1</v>
      </c>
      <c r="M67" s="476">
        <f>IF(H67&gt;80,(IF(J67&gt;75,0,IF(I67&gt;80,0,INDEX(verzamelblad!$A$81:$BK$158, MATCH((CEILING(IF(J67&gt;=75,75,J67),1)),verzamelblad!$A$81:$A$158,), MATCH((CEILING(IF(I67&lt;=20,20,IF(I67&gt;=80,80,I67)),1)),verzamelblad!$A$81:$BK$81,))))),IF(I67&gt;75,0,INDEX(verzamelblad!$A$164:$BM$245, MATCH((CEILING(IF(H67&gt;=80,80,H67),1)),verzamelblad!$A$164:$A$245,), MATCH((CEILING(IF(I67&lt;=1,1,IF(I67&gt;=75,75,I67)),1)),verzamelblad!$A$164:$BM$164,))))</f>
        <v>0.8</v>
      </c>
      <c r="N67" s="477">
        <f>ROUND(F67*G67*L67*M67,2)</f>
        <v>0</v>
      </c>
      <c r="O67" s="478"/>
      <c r="P67" s="479"/>
      <c r="Q67" s="729" t="str">
        <f>IF(G67=0,"verbergen","")</f>
        <v>verbergen</v>
      </c>
      <c r="R67" s="404"/>
      <c r="S67" s="404"/>
      <c r="T67" s="392"/>
      <c r="U67" s="547">
        <f t="shared" si="14"/>
        <v>4</v>
      </c>
      <c r="V67" s="547"/>
      <c r="W67" s="547"/>
      <c r="X67" s="547"/>
      <c r="Y67" s="547"/>
      <c r="Z67" s="547"/>
      <c r="AA67" s="404"/>
      <c r="AB67" s="507"/>
      <c r="AC67" s="516"/>
      <c r="AD67" s="516"/>
      <c r="AE67" s="516"/>
      <c r="AF67" s="507"/>
      <c r="AG67" s="516"/>
      <c r="AH67" s="516"/>
    </row>
    <row r="68" spans="1:43" s="404" customFormat="1" ht="12" customHeight="1">
      <c r="A68" s="542"/>
      <c r="B68" s="556">
        <f>B61+1</f>
        <v>4</v>
      </c>
      <c r="C68" s="480">
        <f>B68</f>
        <v>4</v>
      </c>
      <c r="D68" s="481">
        <f>IF(O68&gt;P68,P68*10,O68*10)</f>
        <v>9.32</v>
      </c>
      <c r="E68" s="813" t="str">
        <f>IF(O68&lt;P68,(P68*10)-(O68*10),"(voldoet)")</f>
        <v>(voldoet)</v>
      </c>
      <c r="F68" s="813"/>
      <c r="G68" s="813"/>
      <c r="H68" s="482"/>
      <c r="I68" s="482"/>
      <c r="J68" s="483"/>
      <c r="K68" s="484"/>
      <c r="L68" s="485"/>
      <c r="M68" s="485"/>
      <c r="N68" s="485"/>
      <c r="O68" s="486">
        <f>SUM(N63:N68)</f>
        <v>1.03</v>
      </c>
      <c r="P68" s="486">
        <f>SUMPRODUCT(($AD$1:$AD$28178)*($AC$1:$AC$28178=B68))*verzamelblad!$Y$7/100</f>
        <v>0.93200000000000005</v>
      </c>
      <c r="Q68" s="557"/>
      <c r="R68" s="557"/>
      <c r="S68" s="557"/>
      <c r="T68" s="558"/>
      <c r="U68" s="547">
        <f t="shared" si="14"/>
        <v>4</v>
      </c>
      <c r="V68" s="547"/>
      <c r="W68" s="547"/>
      <c r="X68" s="547"/>
      <c r="Y68" s="559">
        <f>IF(E68="(voldoet)",0,IF(E68="(voldoet niet)",D68,E68))</f>
        <v>0</v>
      </c>
      <c r="Z68" s="547"/>
      <c r="AB68" s="547"/>
      <c r="AC68" s="392"/>
      <c r="AD68" s="392"/>
      <c r="AE68" s="392"/>
      <c r="AF68" s="547"/>
      <c r="AG68" s="392"/>
      <c r="AH68" s="392"/>
    </row>
    <row r="69" spans="1:43" s="493" customFormat="1" ht="12" customHeight="1">
      <c r="A69" s="560"/>
      <c r="B69" s="560"/>
      <c r="C69" s="487"/>
      <c r="D69" s="487"/>
      <c r="E69" s="487"/>
      <c r="F69" s="463"/>
      <c r="G69" s="463"/>
      <c r="H69" s="456"/>
      <c r="I69" s="456"/>
      <c r="J69" s="456"/>
      <c r="K69" s="456"/>
      <c r="L69" s="456"/>
      <c r="M69" s="456"/>
      <c r="N69" s="456"/>
      <c r="O69" s="488"/>
      <c r="P69" s="489"/>
      <c r="Q69" s="451"/>
      <c r="R69" s="451"/>
      <c r="S69" s="451"/>
      <c r="T69" s="561"/>
      <c r="U69" s="547">
        <f t="shared" si="14"/>
        <v>4</v>
      </c>
      <c r="V69" s="547"/>
      <c r="W69" s="547"/>
      <c r="X69" s="547"/>
      <c r="Y69" s="547"/>
      <c r="Z69" s="547"/>
      <c r="AA69" s="451"/>
      <c r="AB69" s="507"/>
      <c r="AC69" s="507"/>
      <c r="AD69" s="507"/>
      <c r="AE69" s="507"/>
      <c r="AF69" s="507"/>
      <c r="AG69" s="507"/>
      <c r="AH69" s="507"/>
    </row>
    <row r="70" spans="1:43" ht="12" customHeight="1">
      <c r="A70" s="492"/>
      <c r="B70" s="492"/>
      <c r="C70" s="463"/>
      <c r="D70" s="463"/>
      <c r="E70" s="451"/>
      <c r="F70" s="463"/>
      <c r="G70" s="463"/>
      <c r="H70" s="456"/>
      <c r="I70" s="456"/>
      <c r="J70" s="456"/>
      <c r="K70" s="490"/>
      <c r="L70" s="491"/>
      <c r="M70" s="456"/>
      <c r="N70" s="456"/>
      <c r="O70" s="488"/>
      <c r="P70" s="489"/>
      <c r="Q70" s="507"/>
      <c r="R70" s="507"/>
      <c r="S70" s="507"/>
      <c r="T70" s="507"/>
      <c r="U70" s="507"/>
      <c r="V70" s="508"/>
      <c r="W70" s="508"/>
      <c r="X70" s="508"/>
      <c r="Y70" s="508"/>
      <c r="Z70" s="508"/>
      <c r="AA70" s="508"/>
      <c r="AB70" s="508"/>
      <c r="AC70" s="524"/>
      <c r="AD70" s="508"/>
      <c r="AE70" s="508"/>
      <c r="AF70" s="508"/>
      <c r="AG70" s="508"/>
      <c r="AH70" s="508"/>
    </row>
    <row r="71" spans="1:43" s="518" customFormat="1" ht="15" customHeight="1">
      <c r="A71" s="515"/>
      <c r="B71" s="515"/>
      <c r="C71" s="457" t="s">
        <v>1084</v>
      </c>
      <c r="D71" s="457"/>
      <c r="E71" s="457"/>
      <c r="F71" s="457"/>
      <c r="G71" s="457"/>
      <c r="H71" s="457"/>
      <c r="I71" s="457"/>
      <c r="J71" s="457"/>
      <c r="K71" s="457"/>
      <c r="L71" s="457"/>
      <c r="M71" s="457"/>
      <c r="N71" s="457"/>
      <c r="O71" s="457"/>
      <c r="P71" s="457"/>
      <c r="Q71" s="522"/>
      <c r="R71" s="562"/>
      <c r="S71" s="516"/>
      <c r="T71" s="521"/>
      <c r="U71" s="516"/>
      <c r="V71" s="548"/>
      <c r="W71" s="548"/>
      <c r="X71" s="548"/>
      <c r="Y71" s="548"/>
      <c r="Z71" s="517"/>
      <c r="AA71" s="517"/>
      <c r="AB71" s="517"/>
      <c r="AC71" s="524"/>
      <c r="AD71" s="517"/>
      <c r="AE71" s="517"/>
      <c r="AF71" s="517"/>
      <c r="AG71" s="517"/>
      <c r="AH71" s="517"/>
    </row>
    <row r="72" spans="1:43" s="518" customFormat="1" ht="12" customHeight="1">
      <c r="A72" s="543"/>
      <c r="B72" s="543"/>
      <c r="C72" s="563" t="s">
        <v>1019</v>
      </c>
      <c r="D72" s="814" t="s">
        <v>743</v>
      </c>
      <c r="E72" s="814"/>
      <c r="F72" s="814"/>
      <c r="G72" s="814"/>
      <c r="H72" s="566"/>
      <c r="I72" s="566"/>
      <c r="J72" s="566"/>
      <c r="K72" s="566"/>
      <c r="L72" s="566"/>
      <c r="M72" s="566"/>
      <c r="N72" s="566"/>
      <c r="O72" s="566"/>
      <c r="P72" s="566"/>
      <c r="Q72" s="459"/>
      <c r="Y72" s="517"/>
      <c r="Z72" s="517"/>
      <c r="AA72" s="517"/>
      <c r="AB72" s="517"/>
      <c r="AC72" s="517"/>
      <c r="AD72" s="517"/>
      <c r="AE72" s="517"/>
      <c r="AF72" s="517"/>
      <c r="AG72" s="517"/>
      <c r="AH72" s="517"/>
    </row>
    <row r="73" spans="1:43" s="518" customFormat="1" ht="12" customHeight="1">
      <c r="A73" s="543"/>
      <c r="B73" s="543"/>
      <c r="C73" s="563"/>
      <c r="D73" s="464"/>
      <c r="E73" s="464"/>
      <c r="F73" s="464"/>
      <c r="G73" s="464"/>
      <c r="H73" s="566"/>
      <c r="I73" s="566"/>
      <c r="J73" s="566"/>
      <c r="K73" s="566"/>
      <c r="L73" s="566"/>
      <c r="M73" s="566"/>
      <c r="N73" s="566"/>
      <c r="O73" s="566"/>
      <c r="P73" s="566"/>
      <c r="Q73" s="459"/>
      <c r="Y73" s="517"/>
      <c r="Z73" s="517"/>
      <c r="AA73" s="517"/>
      <c r="AB73" s="517"/>
      <c r="AC73" s="517"/>
      <c r="AD73" s="517"/>
      <c r="AE73" s="517"/>
      <c r="AF73" s="517"/>
      <c r="AG73" s="517"/>
      <c r="AH73" s="517"/>
    </row>
    <row r="74" spans="1:43" s="518" customFormat="1" ht="12" customHeight="1">
      <c r="A74" s="543"/>
      <c r="B74" s="546"/>
      <c r="C74" s="563" t="s">
        <v>726</v>
      </c>
      <c r="D74" s="814" t="s">
        <v>724</v>
      </c>
      <c r="E74" s="814"/>
      <c r="F74" s="814"/>
      <c r="G74" s="814"/>
      <c r="H74" s="566"/>
      <c r="I74" s="566"/>
      <c r="J74" s="566"/>
      <c r="K74" s="566"/>
      <c r="L74" s="566"/>
      <c r="M74" s="566"/>
      <c r="N74" s="566"/>
      <c r="O74" s="566"/>
      <c r="P74" s="566"/>
      <c r="Q74" s="459"/>
      <c r="Y74" s="517"/>
      <c r="Z74" s="517"/>
      <c r="AA74" s="517"/>
      <c r="AB74" s="517"/>
      <c r="AC74" s="517"/>
      <c r="AD74" s="517"/>
      <c r="AE74" s="517"/>
      <c r="AF74" s="517"/>
      <c r="AG74" s="517"/>
      <c r="AH74" s="517"/>
    </row>
    <row r="75" spans="1:43" s="518" customFormat="1" ht="12" hidden="1" customHeight="1">
      <c r="A75" s="543"/>
      <c r="B75" s="546"/>
      <c r="C75" s="563" t="s">
        <v>718</v>
      </c>
      <c r="D75" s="814" t="s">
        <v>720</v>
      </c>
      <c r="E75" s="814"/>
      <c r="F75" s="814"/>
      <c r="G75" s="814"/>
      <c r="H75" s="566"/>
      <c r="I75" s="566"/>
      <c r="J75" s="566"/>
      <c r="K75" s="566"/>
      <c r="L75" s="566"/>
      <c r="M75" s="566"/>
      <c r="N75" s="566"/>
      <c r="O75" s="566"/>
      <c r="P75" s="566"/>
      <c r="Q75" s="459" t="str">
        <f>IF(D74="systeem D - mechanische toevoer &amp; afvoer","verbergen","")</f>
        <v>verbergen</v>
      </c>
      <c r="Y75" s="517"/>
      <c r="Z75" s="517"/>
      <c r="AA75" s="517"/>
      <c r="AB75" s="517"/>
      <c r="AC75" s="517"/>
      <c r="AD75" s="517"/>
      <c r="AE75" s="517"/>
      <c r="AF75" s="517"/>
      <c r="AG75" s="517"/>
      <c r="AH75" s="517"/>
      <c r="AQ75" s="517"/>
    </row>
    <row r="76" spans="1:43" s="518" customFormat="1" ht="12" customHeight="1">
      <c r="A76" s="543"/>
      <c r="B76" s="546"/>
      <c r="C76" s="563"/>
      <c r="D76" s="730"/>
      <c r="E76" s="730"/>
      <c r="F76" s="730"/>
      <c r="G76" s="730"/>
      <c r="H76" s="566"/>
      <c r="I76" s="566"/>
      <c r="J76" s="566"/>
      <c r="K76" s="566"/>
      <c r="L76" s="566"/>
      <c r="M76" s="566"/>
      <c r="N76" s="566"/>
      <c r="O76" s="567"/>
      <c r="P76" s="564"/>
      <c r="Q76" s="459"/>
      <c r="Y76" s="517"/>
      <c r="Z76" s="517"/>
      <c r="AA76" s="517"/>
      <c r="AB76" s="517"/>
      <c r="AC76" s="517"/>
      <c r="AD76" s="517"/>
      <c r="AE76" s="517"/>
      <c r="AF76" s="517"/>
      <c r="AG76" s="517"/>
      <c r="AH76" s="517"/>
      <c r="AQ76" s="517"/>
    </row>
    <row r="77" spans="1:43" s="518" customFormat="1" ht="12" customHeight="1">
      <c r="A77" s="543"/>
      <c r="B77" s="546"/>
      <c r="C77" s="563" t="s">
        <v>746</v>
      </c>
      <c r="D77" s="730" t="s">
        <v>737</v>
      </c>
      <c r="E77" s="730"/>
      <c r="F77" s="730"/>
      <c r="G77" s="730"/>
      <c r="H77" s="568" t="str">
        <f>IF(D77="n.v.t.","","minimale luchtverversing, privaatrechterlijke eisen in 'hoogstand':")</f>
        <v/>
      </c>
      <c r="I77" s="546"/>
      <c r="J77" s="773"/>
      <c r="K77" s="569"/>
      <c r="L77" s="570"/>
      <c r="M77" s="404"/>
      <c r="N77" s="566" t="str">
        <f>IF(D77="n.v.t.","",N74+G139)</f>
        <v/>
      </c>
      <c r="O77" s="567" t="str">
        <f>IF(D77="n.v.t.","",N77*3.6)</f>
        <v/>
      </c>
      <c r="P77" s="564"/>
      <c r="Q77" s="459"/>
      <c r="Y77" s="517"/>
      <c r="Z77" s="517"/>
      <c r="AA77" s="517"/>
      <c r="AB77" s="517"/>
      <c r="AC77" s="517"/>
      <c r="AD77" s="517"/>
      <c r="AE77" s="517"/>
      <c r="AF77" s="517"/>
      <c r="AG77" s="517"/>
      <c r="AH77" s="517"/>
      <c r="AQ77" s="517"/>
    </row>
    <row r="78" spans="1:43" s="518" customFormat="1" ht="12" customHeight="1">
      <c r="A78" s="543"/>
      <c r="B78" s="546"/>
      <c r="C78" s="563"/>
      <c r="D78" s="730"/>
      <c r="E78" s="730"/>
      <c r="F78" s="730"/>
      <c r="G78" s="730"/>
      <c r="H78" s="766" t="s">
        <v>1133</v>
      </c>
      <c r="I78" s="774"/>
      <c r="J78" s="767"/>
      <c r="K78" s="767"/>
      <c r="L78" s="768"/>
      <c r="M78" s="769"/>
      <c r="N78" s="770"/>
      <c r="O78" s="771"/>
      <c r="P78" s="772"/>
      <c r="Q78" s="459"/>
      <c r="Y78" s="517"/>
      <c r="Z78" s="517"/>
      <c r="AA78" s="517"/>
      <c r="AB78" s="517"/>
      <c r="AC78" s="517"/>
      <c r="AD78" s="517"/>
      <c r="AE78" s="517"/>
      <c r="AF78" s="517"/>
      <c r="AG78" s="517"/>
      <c r="AH78" s="517"/>
      <c r="AQ78" s="517"/>
    </row>
    <row r="79" spans="1:43" s="518" customFormat="1" ht="12" customHeight="1">
      <c r="A79" s="543"/>
      <c r="B79" s="546"/>
      <c r="C79" s="563"/>
      <c r="D79" s="730"/>
      <c r="E79" s="730"/>
      <c r="F79" s="730"/>
      <c r="G79" s="730"/>
      <c r="H79" s="766" t="s">
        <v>1134</v>
      </c>
      <c r="I79" s="774"/>
      <c r="J79" s="775"/>
      <c r="K79" s="775"/>
      <c r="L79" s="768"/>
      <c r="M79" s="769"/>
      <c r="N79" s="770"/>
      <c r="O79" s="771"/>
      <c r="P79" s="772"/>
      <c r="Q79" s="459"/>
      <c r="Y79" s="517"/>
      <c r="Z79" s="517"/>
      <c r="AA79" s="517"/>
      <c r="AB79" s="517"/>
      <c r="AC79" s="517"/>
      <c r="AD79" s="517"/>
      <c r="AE79" s="517"/>
      <c r="AF79" s="517"/>
      <c r="AG79" s="517"/>
      <c r="AH79" s="517"/>
      <c r="AQ79" s="517"/>
    </row>
    <row r="80" spans="1:43" s="518" customFormat="1" ht="12" customHeight="1">
      <c r="A80" s="543"/>
      <c r="B80" s="543"/>
      <c r="C80" s="571" t="str">
        <f>IF(A42:A80=TRUE,"* vanwege het niet direct grenzen van ramen aan grens VG is op basis van gelijkwaardigheid een groter fictief oppervlak aan VG toegekend (zie ook toelichting rapport)","")</f>
        <v/>
      </c>
      <c r="D80" s="572"/>
      <c r="E80" s="572"/>
      <c r="F80" s="572"/>
      <c r="G80" s="572"/>
      <c r="H80" s="572"/>
      <c r="I80" s="572"/>
      <c r="J80" s="468"/>
      <c r="K80" s="490"/>
      <c r="L80" s="422"/>
      <c r="M80" s="471"/>
      <c r="N80" s="470"/>
      <c r="O80" s="573"/>
      <c r="P80" s="574"/>
      <c r="Q80" s="525"/>
      <c r="Y80" s="508"/>
      <c r="Z80" s="508"/>
      <c r="AA80" s="508"/>
      <c r="AB80" s="508"/>
      <c r="AC80" s="517"/>
      <c r="AD80" s="517"/>
      <c r="AE80" s="517"/>
      <c r="AF80" s="517"/>
      <c r="AG80" s="517"/>
      <c r="AH80" s="517"/>
    </row>
    <row r="81" spans="1:38" s="518" customFormat="1" ht="15" customHeight="1">
      <c r="A81" s="515"/>
      <c r="B81" s="515"/>
      <c r="C81" s="457" t="s">
        <v>1085</v>
      </c>
      <c r="D81" s="575"/>
      <c r="E81" s="575"/>
      <c r="F81" s="817"/>
      <c r="G81" s="817"/>
      <c r="H81" s="817"/>
      <c r="I81" s="575"/>
      <c r="J81" s="575"/>
      <c r="K81" s="575"/>
      <c r="L81" s="575"/>
      <c r="M81" s="575"/>
      <c r="N81" s="575"/>
      <c r="O81" s="575"/>
      <c r="P81" s="575"/>
      <c r="Q81" s="522"/>
      <c r="R81" s="516"/>
      <c r="S81" s="516"/>
      <c r="T81" s="521"/>
      <c r="U81" s="516"/>
      <c r="V81" s="548"/>
      <c r="W81" s="548"/>
      <c r="X81" s="548"/>
      <c r="Y81" s="548"/>
      <c r="Z81" s="517"/>
      <c r="AA81" s="517"/>
      <c r="AB81" s="517"/>
      <c r="AC81" s="524"/>
      <c r="AD81" s="517"/>
      <c r="AE81" s="517"/>
      <c r="AF81" s="517"/>
      <c r="AG81" s="517"/>
      <c r="AH81" s="517"/>
    </row>
    <row r="82" spans="1:38" s="518" customFormat="1" ht="12.75" hidden="1" customHeight="1">
      <c r="A82" s="515"/>
      <c r="B82" s="515"/>
      <c r="C82" s="576"/>
      <c r="D82" s="576"/>
      <c r="E82" s="576"/>
      <c r="F82" s="576"/>
      <c r="G82" s="576"/>
      <c r="H82" s="577"/>
      <c r="I82" s="577"/>
      <c r="J82" s="577"/>
      <c r="K82" s="577"/>
      <c r="L82" s="577"/>
      <c r="M82" s="577"/>
      <c r="N82" s="577"/>
      <c r="O82" s="577"/>
      <c r="P82" s="577"/>
      <c r="Q82" s="522"/>
      <c r="R82" s="516"/>
      <c r="S82" s="516"/>
      <c r="T82" s="521"/>
      <c r="U82" s="516"/>
      <c r="V82" s="548"/>
      <c r="W82" s="548"/>
      <c r="X82" s="548"/>
      <c r="Y82" s="548"/>
      <c r="Z82" s="517"/>
      <c r="AA82" s="517"/>
      <c r="AB82" s="517"/>
      <c r="AC82" s="524"/>
      <c r="AD82" s="517"/>
      <c r="AE82" s="517"/>
      <c r="AF82" s="517"/>
    </row>
    <row r="83" spans="1:38" ht="35.25" customHeight="1">
      <c r="A83" s="492"/>
      <c r="B83" s="492"/>
      <c r="C83" s="736" t="s">
        <v>133</v>
      </c>
      <c r="D83" s="460" t="s">
        <v>1106</v>
      </c>
      <c r="E83" s="578" t="s">
        <v>1066</v>
      </c>
      <c r="F83" s="809" t="str">
        <f>IF(S16=3,"","advies toevoercapaciteit")</f>
        <v>advies toevoercapaciteit</v>
      </c>
      <c r="G83" s="809"/>
      <c r="H83" s="809"/>
      <c r="I83" s="809" t="str">
        <f>IF(S16=1,"kozijnmerk","")</f>
        <v/>
      </c>
      <c r="J83" s="809"/>
      <c r="K83" s="579" t="str">
        <f>IF(S16=1,"roostermaat","")</f>
        <v/>
      </c>
      <c r="L83" s="818" t="str">
        <f>IF(AND(S16=1,S17=1),"benodigde capaciteit","")</f>
        <v/>
      </c>
      <c r="M83" s="818"/>
      <c r="N83" s="579" t="str">
        <f>IF(AND(S16=1,S17=2),"type","")</f>
        <v/>
      </c>
      <c r="O83" s="580"/>
      <c r="P83" s="581" t="str">
        <f>IF(AND(S16=1,S17=2),"maximale roostercapaciteit","")</f>
        <v/>
      </c>
      <c r="Q83" s="582"/>
      <c r="R83" s="582"/>
      <c r="S83" s="583"/>
      <c r="T83" s="532"/>
      <c r="U83" s="507"/>
      <c r="V83" s="508"/>
      <c r="W83" s="508"/>
      <c r="X83" s="508"/>
      <c r="Y83" s="508"/>
      <c r="Z83" s="508"/>
      <c r="AA83" s="508"/>
      <c r="AB83" s="508"/>
      <c r="AC83" s="534"/>
      <c r="AD83" s="508"/>
      <c r="AE83" s="508"/>
      <c r="AF83" s="508"/>
    </row>
    <row r="84" spans="1:38" s="541" customFormat="1" ht="12" customHeight="1">
      <c r="B84" s="515"/>
      <c r="C84" s="464" t="str">
        <f>L28</f>
        <v>woonkamer / eetkamer</v>
      </c>
      <c r="D84" s="733">
        <f>IF(F84="intern","",SUMPRODUCT(($AE$1:$AE$28098)*($L$1:$L$28098=C84)))</f>
        <v>28.45</v>
      </c>
      <c r="E84" s="566">
        <f>IF(F84="intern","",IF(D84=0,0,(IF(verzamelblad!$K$7*D84&gt;verzamelblad!$P$7,CEILING(verzamelblad!$K$7*D84,0.1),verzamelblad!$P$7))))</f>
        <v>20</v>
      </c>
      <c r="F84" s="584" t="str">
        <f>IF($S$16=1,"NT","MT")</f>
        <v>MT</v>
      </c>
      <c r="G84" s="731" t="s">
        <v>140</v>
      </c>
      <c r="H84" s="565">
        <v>21</v>
      </c>
      <c r="I84" s="811" t="s">
        <v>251</v>
      </c>
      <c r="J84" s="811"/>
      <c r="K84" s="585">
        <v>0</v>
      </c>
      <c r="L84" s="819" t="str">
        <f>IF(AND(S$16=1,S$17=2),"",IF(S$16=2,"",IF(K84=0,"",H84/(K84/1000))))</f>
        <v/>
      </c>
      <c r="M84" s="819"/>
      <c r="N84" s="816" t="s">
        <v>268</v>
      </c>
      <c r="O84" s="816"/>
      <c r="P84" s="586" t="str">
        <f>IF(K84=0,"-",INDEX('data roosters'!F:J,MATCH(N84,'data roosters'!F:F,0),2)*(K84/1000))</f>
        <v>-</v>
      </c>
      <c r="Q84" s="525" t="str">
        <f>IF(AND($S$16=1,$S$17=2),IF(OR(E84&lt;&gt;0,H84&lt;&gt;0,P84&lt;&gt;"-"),"","verbergen"),IF(OR(E84&lt;&gt;0,H84&lt;&gt;0),"","verbergen"))</f>
        <v/>
      </c>
      <c r="R84" s="587"/>
      <c r="S84" s="529"/>
      <c r="T84" s="516"/>
      <c r="U84" s="516"/>
      <c r="V84" s="507">
        <v>1</v>
      </c>
      <c r="W84" s="516"/>
      <c r="X84" s="516"/>
      <c r="Y84" s="516"/>
      <c r="Z84" s="516"/>
      <c r="AB84" s="516"/>
      <c r="AC84" s="516"/>
      <c r="AD84" s="516"/>
      <c r="AE84" s="516"/>
      <c r="AF84" s="515" t="str">
        <f>IF(E84&gt;0,"x","")</f>
        <v>x</v>
      </c>
      <c r="AG84" s="516"/>
      <c r="AH84" s="516"/>
    </row>
    <row r="85" spans="1:38" s="541" customFormat="1" ht="12" customHeight="1">
      <c r="B85" s="515"/>
      <c r="C85" s="464" t="str">
        <f>L28</f>
        <v>woonkamer / eetkamer</v>
      </c>
      <c r="D85" s="733" t="str">
        <f>IF(F85="intern","",SUMPRODUCT(($AE$1:$AE$28098)*($L$1:$L$28098=C85)))</f>
        <v/>
      </c>
      <c r="E85" s="566" t="str">
        <f>IF(F85="intern","",IF(D85=0,0,(IF(verzamelblad!$K$7*D85&gt;verzamelblad!$P$7,CEILING(verzamelblad!$K$7*D85,0.1),verzamelblad!$P$7))))</f>
        <v/>
      </c>
      <c r="F85" s="584" t="s">
        <v>725</v>
      </c>
      <c r="G85" s="731" t="s">
        <v>1158</v>
      </c>
      <c r="H85" s="565">
        <v>7</v>
      </c>
      <c r="I85" s="811" t="s">
        <v>251</v>
      </c>
      <c r="J85" s="811"/>
      <c r="K85" s="585">
        <v>0</v>
      </c>
      <c r="M85" s="564"/>
      <c r="N85" s="816" t="s">
        <v>268</v>
      </c>
      <c r="O85" s="816"/>
      <c r="P85" s="586" t="str">
        <f>IF(K85=0,"-",INDEX('data roosters'!F:J,MATCH(N85,'data roosters'!F:F,0),2)*(K85/1000))</f>
        <v>-</v>
      </c>
      <c r="Q85" s="525" t="str">
        <f t="shared" ref="Q85:Q88" si="15">IF(AND($S$16=1,$S$17=2),IF(OR(E85&lt;&gt;0,H85&lt;&gt;0,P85&lt;&gt;"-"),"","verbergen"),IF(OR(E85&lt;&gt;0,H85&lt;&gt;0),"","verbergen"))</f>
        <v/>
      </c>
      <c r="R85" s="588"/>
      <c r="S85" s="529"/>
      <c r="T85" s="516"/>
      <c r="U85" s="516"/>
      <c r="V85" s="507">
        <v>1</v>
      </c>
      <c r="W85" s="516"/>
      <c r="X85" s="516"/>
      <c r="Y85" s="516"/>
      <c r="Z85" s="516"/>
      <c r="AB85" s="516"/>
      <c r="AC85" s="516"/>
      <c r="AD85" s="516"/>
      <c r="AE85" s="516"/>
      <c r="AF85" s="515" t="str">
        <f>IF(E85&gt;0,"x","")</f>
        <v>x</v>
      </c>
      <c r="AG85" s="516"/>
      <c r="AH85" s="516"/>
      <c r="AJ85" s="815"/>
      <c r="AK85" s="815"/>
      <c r="AL85" s="815"/>
    </row>
    <row r="86" spans="1:38" s="541" customFormat="1" ht="12" hidden="1" customHeight="1">
      <c r="B86" s="515"/>
      <c r="C86" s="464" t="s">
        <v>252</v>
      </c>
      <c r="D86" s="733">
        <f>IF(F86="intern","",SUMPRODUCT(($AE$1:$AE$28098)*($L$1:$L$28098=C86)))</f>
        <v>0</v>
      </c>
      <c r="E86" s="566">
        <f>IF(F86="intern","",IF(D86=0,0,(IF(verzamelblad!$K$7*D86&gt;verzamelblad!$P$7,CEILING(verzamelblad!$K$7*D86,0.1),verzamelblad!$P$7))))</f>
        <v>0</v>
      </c>
      <c r="F86" s="584" t="str">
        <f>IF($S$16=1,"NT","MT")</f>
        <v>MT</v>
      </c>
      <c r="G86" s="731" t="s">
        <v>140</v>
      </c>
      <c r="H86" s="565">
        <v>0</v>
      </c>
      <c r="I86" s="811" t="s">
        <v>251</v>
      </c>
      <c r="J86" s="811"/>
      <c r="K86" s="585">
        <v>0</v>
      </c>
      <c r="L86" s="564" t="str">
        <f>IF(AND(S$16=1,S$17=2),"",IF(S$16=2,"",IF(K86=0,"",H86/(K86/1000))))</f>
        <v/>
      </c>
      <c r="M86" s="564"/>
      <c r="N86" s="816" t="s">
        <v>268</v>
      </c>
      <c r="O86" s="816"/>
      <c r="P86" s="586" t="str">
        <f>IF(K86=0,"-",INDEX('data roosters'!F:J,MATCH(N86,'data roosters'!F:F,0),2)*(K86/1000))</f>
        <v>-</v>
      </c>
      <c r="Q86" s="525" t="str">
        <f t="shared" si="15"/>
        <v>verbergen</v>
      </c>
      <c r="R86" s="589"/>
      <c r="S86" s="529"/>
      <c r="T86" s="516"/>
      <c r="U86" s="516"/>
      <c r="V86" s="507">
        <v>1</v>
      </c>
      <c r="W86" s="516"/>
      <c r="X86" s="516"/>
      <c r="Y86" s="516"/>
      <c r="Z86" s="516"/>
      <c r="AB86" s="516"/>
      <c r="AC86" s="516"/>
      <c r="AD86" s="516"/>
      <c r="AE86" s="516"/>
      <c r="AF86" s="515" t="str">
        <f>IF(E86&gt;0,"x","")</f>
        <v/>
      </c>
      <c r="AG86" s="516"/>
      <c r="AH86" s="516"/>
      <c r="AJ86" s="815"/>
      <c r="AK86" s="815"/>
      <c r="AL86" s="815"/>
    </row>
    <row r="87" spans="1:38" s="541" customFormat="1" ht="12" hidden="1" customHeight="1">
      <c r="B87" s="515"/>
      <c r="C87" s="464" t="s">
        <v>252</v>
      </c>
      <c r="D87" s="733">
        <f>IF(F87="intern","",SUMPRODUCT(($AE$1:$AE$28098)*($L$1:$L$28098=C87)))</f>
        <v>0</v>
      </c>
      <c r="E87" s="566">
        <f>IF(F87="intern","",IF(D87=0,0,(IF(verzamelblad!$K$7*D87&gt;verzamelblad!$P$7,CEILING(verzamelblad!$K$7*D87,0.1),verzamelblad!$P$7))))</f>
        <v>0</v>
      </c>
      <c r="F87" s="584" t="str">
        <f>IF($S$16=1,"NT","MT")</f>
        <v>MT</v>
      </c>
      <c r="G87" s="731" t="s">
        <v>140</v>
      </c>
      <c r="H87" s="565">
        <v>0</v>
      </c>
      <c r="I87" s="811" t="s">
        <v>251</v>
      </c>
      <c r="J87" s="811"/>
      <c r="K87" s="585">
        <v>0</v>
      </c>
      <c r="L87" s="564" t="str">
        <f>IF(AND(S$16=1,S$17=2),"",IF(S$16=2,"",IF(K87=0,"",H87/(K87/1000))))</f>
        <v/>
      </c>
      <c r="M87" s="564"/>
      <c r="N87" s="816" t="s">
        <v>268</v>
      </c>
      <c r="O87" s="816"/>
      <c r="P87" s="586" t="str">
        <f>IF(K87=0,"-",INDEX('data roosters'!F:J,MATCH(N87,'data roosters'!F:F,0),2)*(K87/1000))</f>
        <v>-</v>
      </c>
      <c r="Q87" s="525" t="str">
        <f t="shared" si="15"/>
        <v>verbergen</v>
      </c>
      <c r="R87" s="589"/>
      <c r="S87" s="529"/>
      <c r="T87" s="516"/>
      <c r="U87" s="516"/>
      <c r="V87" s="507">
        <v>1</v>
      </c>
      <c r="W87" s="516"/>
      <c r="X87" s="516"/>
      <c r="Y87" s="516"/>
      <c r="Z87" s="516"/>
      <c r="AB87" s="516"/>
      <c r="AC87" s="516"/>
      <c r="AD87" s="516"/>
      <c r="AE87" s="516"/>
      <c r="AF87" s="515" t="str">
        <f>IF(E87&gt;0,"x","")</f>
        <v/>
      </c>
      <c r="AG87" s="516"/>
      <c r="AH87" s="516"/>
      <c r="AJ87" s="815"/>
      <c r="AK87" s="815"/>
      <c r="AL87" s="815"/>
    </row>
    <row r="88" spans="1:38" s="541" customFormat="1" ht="12" hidden="1" customHeight="1">
      <c r="B88" s="515"/>
      <c r="C88" s="464" t="s">
        <v>252</v>
      </c>
      <c r="D88" s="733">
        <f>IF(F88="intern","",SUMPRODUCT(($AE$1:$AE$28098)*($L$1:$L$28098=C88)))</f>
        <v>0</v>
      </c>
      <c r="E88" s="566">
        <f>IF(F88="intern","",IF(D88=0,0,(IF(verzamelblad!$K$7*D88&gt;verzamelblad!$P$7,CEILING(verzamelblad!$K$7*D88,0.1),verzamelblad!$P$7))))</f>
        <v>0</v>
      </c>
      <c r="F88" s="584" t="str">
        <f>IF($S$16=1,"NT","MT")</f>
        <v>MT</v>
      </c>
      <c r="G88" s="731" t="s">
        <v>140</v>
      </c>
      <c r="H88" s="565">
        <v>0</v>
      </c>
      <c r="I88" s="811" t="s">
        <v>251</v>
      </c>
      <c r="J88" s="811"/>
      <c r="K88" s="585">
        <v>0</v>
      </c>
      <c r="L88" s="564"/>
      <c r="M88" s="564"/>
      <c r="N88" s="816" t="s">
        <v>268</v>
      </c>
      <c r="O88" s="816"/>
      <c r="P88" s="586" t="str">
        <f>IF(K88=0,"-",INDEX('data roosters'!F:J,MATCH(N88,'data roosters'!F:F,0),2)*(K88/1000))</f>
        <v>-</v>
      </c>
      <c r="Q88" s="525" t="str">
        <f t="shared" si="15"/>
        <v>verbergen</v>
      </c>
      <c r="R88" s="589"/>
      <c r="S88" s="529"/>
      <c r="T88" s="516"/>
      <c r="U88" s="516"/>
      <c r="V88" s="507">
        <v>1</v>
      </c>
      <c r="W88" s="516"/>
      <c r="X88" s="516"/>
      <c r="Y88" s="516"/>
      <c r="Z88" s="516"/>
      <c r="AB88" s="516"/>
      <c r="AC88" s="516"/>
      <c r="AD88" s="516"/>
      <c r="AE88" s="516"/>
      <c r="AF88" s="515" t="str">
        <f>IF(E88&gt;0,"x","")</f>
        <v/>
      </c>
      <c r="AG88" s="516"/>
      <c r="AH88" s="516"/>
      <c r="AJ88" s="815"/>
      <c r="AK88" s="815"/>
      <c r="AL88" s="815"/>
    </row>
    <row r="89" spans="1:38" s="541" customFormat="1" ht="12" customHeight="1">
      <c r="B89" s="590">
        <v>1</v>
      </c>
      <c r="C89" s="480">
        <f>B89</f>
        <v>1</v>
      </c>
      <c r="D89" s="481">
        <f>SUMPRODUCT(($AD$1:$AD$50054)*($AC$1:$AC$50054=B89))</f>
        <v>28.45</v>
      </c>
      <c r="E89" s="591">
        <f>IF(D89=0,0,(IF(verzamelblad!$E$7*D89&gt;verzamelblad!$J$7,CEILING(verzamelblad!$E$7*D89,0.1),verzamelblad!$J$7)))</f>
        <v>25.700000000000003</v>
      </c>
      <c r="F89" s="820" t="str">
        <f>IF(SUM(H84:H88)&lt;E89,"voldoet niet op VG-niveau","totaal: "&amp;SUM(H84:H88) &amp; " dm³/s ")</f>
        <v xml:space="preserve">totaal: 28 dm³/s </v>
      </c>
      <c r="G89" s="820"/>
      <c r="H89" s="820"/>
      <c r="I89" s="592"/>
      <c r="J89" s="593"/>
      <c r="K89" s="594"/>
      <c r="L89" s="595"/>
      <c r="M89" s="821"/>
      <c r="N89" s="821"/>
      <c r="O89" s="596"/>
      <c r="P89" s="597"/>
      <c r="Q89" s="459"/>
      <c r="R89" s="589"/>
      <c r="S89" s="529"/>
      <c r="T89" s="516"/>
      <c r="U89" s="516"/>
      <c r="V89" s="547">
        <v>1</v>
      </c>
      <c r="W89" s="516"/>
      <c r="X89" s="516"/>
      <c r="Y89" s="516"/>
      <c r="Z89" s="516"/>
      <c r="AB89" s="516"/>
      <c r="AC89" s="516"/>
      <c r="AD89" s="516"/>
      <c r="AE89" s="516"/>
      <c r="AF89" s="515" t="str">
        <f>IF(B89&gt;0,"ja")</f>
        <v>ja</v>
      </c>
      <c r="AG89" s="516"/>
      <c r="AH89" s="516"/>
    </row>
    <row r="90" spans="1:38" s="541" customFormat="1" ht="12" customHeight="1">
      <c r="B90" s="515"/>
      <c r="C90" s="598"/>
      <c r="D90" s="422"/>
      <c r="E90" s="422"/>
      <c r="F90" s="422"/>
      <c r="G90" s="422"/>
      <c r="H90" s="599"/>
      <c r="I90" s="599"/>
      <c r="J90" s="530"/>
      <c r="K90" s="600"/>
      <c r="L90" s="600"/>
      <c r="M90" s="600"/>
      <c r="N90" s="600"/>
      <c r="O90" s="600"/>
      <c r="P90" s="600"/>
      <c r="Q90" s="459"/>
      <c r="R90" s="589"/>
      <c r="S90" s="529"/>
      <c r="T90" s="516"/>
      <c r="U90" s="516"/>
      <c r="V90" s="507">
        <v>1</v>
      </c>
      <c r="W90" s="516"/>
      <c r="X90" s="516"/>
      <c r="Y90" s="516"/>
      <c r="Z90" s="516"/>
      <c r="AB90" s="516"/>
      <c r="AC90" s="516"/>
      <c r="AD90" s="516"/>
      <c r="AE90" s="516"/>
      <c r="AF90" s="515"/>
      <c r="AG90" s="516"/>
      <c r="AH90" s="516"/>
    </row>
    <row r="91" spans="1:38" s="541" customFormat="1" ht="12" customHeight="1">
      <c r="A91" s="404"/>
      <c r="B91" s="543"/>
      <c r="C91" s="464" t="str">
        <f>L29</f>
        <v>keuken</v>
      </c>
      <c r="D91" s="733">
        <f>IF(F91="intern","",SUMPRODUCT(($AE$1:$AE$28098)*($L$1:$L$28098=C91)))</f>
        <v>15.1</v>
      </c>
      <c r="E91" s="566">
        <f>IF(F91="intern","",IF(D91=0,0,(IF(verzamelblad!$K$7*D91&gt;verzamelblad!$P$7,CEILING(verzamelblad!$K$7*D91,0.1),verzamelblad!$P$7))))</f>
        <v>10.600000000000001</v>
      </c>
      <c r="F91" s="584" t="str">
        <f>IF($S$16=1,"NT","MT")</f>
        <v>MT</v>
      </c>
      <c r="G91" s="731" t="s">
        <v>140</v>
      </c>
      <c r="H91" s="565">
        <v>7</v>
      </c>
      <c r="I91" s="811" t="s">
        <v>251</v>
      </c>
      <c r="J91" s="811"/>
      <c r="K91" s="585">
        <v>0</v>
      </c>
      <c r="L91" s="819" t="str">
        <f>IF(AND(S$16=1,S$17=2),"",IF(S$16=2,"",IF(K91=0,"",H91/(K91/1000))))</f>
        <v/>
      </c>
      <c r="M91" s="819"/>
      <c r="N91" s="816" t="s">
        <v>268</v>
      </c>
      <c r="O91" s="816"/>
      <c r="P91" s="586" t="str">
        <f>IF(K91=0,"-",INDEX('data roosters'!F:J,MATCH(N91,'data roosters'!F:F,0),2)*(K91/1000))</f>
        <v>-</v>
      </c>
      <c r="Q91" s="729" t="str">
        <f>IF(AND($S$16=1,$S$17=2),IF(OR(E91&lt;&gt;0,H91&lt;&gt;0,P91&lt;&gt;"-"),"","verbergen"),IF(OR(E91&lt;&gt;0,H91&lt;&gt;0),"","verbergen"))</f>
        <v/>
      </c>
      <c r="R91" s="601"/>
      <c r="S91" s="602"/>
      <c r="T91" s="392"/>
      <c r="U91" s="392"/>
      <c r="V91" s="547">
        <f>V90+1</f>
        <v>2</v>
      </c>
      <c r="W91" s="392"/>
      <c r="X91" s="392"/>
      <c r="Y91" s="392"/>
      <c r="Z91" s="392"/>
      <c r="AA91" s="404"/>
      <c r="AB91" s="516"/>
      <c r="AC91" s="516"/>
      <c r="AD91" s="516"/>
      <c r="AE91" s="516"/>
      <c r="AF91" s="515" t="str">
        <f>IF(E91&gt;0,"x","")</f>
        <v>x</v>
      </c>
      <c r="AG91" s="516"/>
      <c r="AH91" s="516"/>
    </row>
    <row r="92" spans="1:38" s="541" customFormat="1" ht="12" customHeight="1">
      <c r="A92" s="404"/>
      <c r="B92" s="543"/>
      <c r="C92" s="464" t="str">
        <f>L29</f>
        <v>keuken</v>
      </c>
      <c r="D92" s="733" t="str">
        <f>IF(F92="intern","",SUMPRODUCT(($AE$1:$AE$28066)*($L$1:$L$28066=C92)))</f>
        <v/>
      </c>
      <c r="E92" s="566" t="str">
        <f>IF(F92="intern","",IF(D92=0,0,(IF(verzamelblad!$K$7*D92&gt;verzamelblad!$P$7,CEILING(verzamelblad!$K$7*D92,0.1),verzamelblad!$P$7))))</f>
        <v/>
      </c>
      <c r="F92" s="584" t="s">
        <v>725</v>
      </c>
      <c r="G92" s="731" t="s">
        <v>1158</v>
      </c>
      <c r="H92" s="565">
        <v>7</v>
      </c>
      <c r="I92" s="811" t="s">
        <v>251</v>
      </c>
      <c r="J92" s="811"/>
      <c r="K92" s="585">
        <v>0</v>
      </c>
      <c r="L92" s="819" t="str">
        <f>IF(AND(S$16=1,S$17=2),"",IF(S$16=2,"",IF(K92=0,"",H92/(K92/1000))))</f>
        <v/>
      </c>
      <c r="M92" s="819"/>
      <c r="N92" s="816" t="s">
        <v>268</v>
      </c>
      <c r="O92" s="816"/>
      <c r="P92" s="586" t="str">
        <f>IF(K92=0,"-",INDEX('data roosters'!F:J,MATCH(N92,'data roosters'!F:F,0),2)*(K92/1000))</f>
        <v>-</v>
      </c>
      <c r="Q92" s="729" t="str">
        <f t="shared" ref="Q92:Q95" si="16">IF(AND($S$16=1,$S$17=2),IF(OR(E92&lt;&gt;0,H92&lt;&gt;0,P92&lt;&gt;"-"),"","verbergen"),IF(OR(E92&lt;&gt;0,H92&lt;&gt;0),"","verbergen"))</f>
        <v/>
      </c>
      <c r="R92" s="418"/>
      <c r="S92" s="602"/>
      <c r="T92" s="392"/>
      <c r="U92" s="392"/>
      <c r="V92" s="547">
        <f t="shared" ref="V92:V97" si="17">V91</f>
        <v>2</v>
      </c>
      <c r="W92" s="392"/>
      <c r="X92" s="392"/>
      <c r="Y92" s="392"/>
      <c r="Z92" s="392"/>
      <c r="AA92" s="404"/>
      <c r="AB92" s="516"/>
      <c r="AC92" s="516"/>
      <c r="AD92" s="516"/>
      <c r="AE92" s="516"/>
      <c r="AF92" s="515" t="str">
        <f>IF(E92&gt;0,"x","")</f>
        <v>x</v>
      </c>
      <c r="AG92" s="516"/>
      <c r="AH92" s="516"/>
    </row>
    <row r="93" spans="1:38" s="541" customFormat="1" ht="12" customHeight="1">
      <c r="A93" s="404"/>
      <c r="B93" s="543"/>
      <c r="C93" s="464" t="str">
        <f>L30</f>
        <v>bijkeuken</v>
      </c>
      <c r="D93" s="733">
        <f>IF(F93="intern","",SUMPRODUCT(($AE$1:$AE$28098)*($L$1:$L$28098=C93)))</f>
        <v>5.96</v>
      </c>
      <c r="E93" s="566">
        <f>IF(F93="intern","",IF(D93=0,0,(IF(verzamelblad!$K$7*D93&gt;verzamelblad!$P$7,CEILING(verzamelblad!$K$7*D93,0.1),verzamelblad!$P$7))))</f>
        <v>7</v>
      </c>
      <c r="F93" s="584" t="str">
        <f>IF($S$16=1,"NT","MT")</f>
        <v>MT</v>
      </c>
      <c r="G93" s="731" t="s">
        <v>140</v>
      </c>
      <c r="H93" s="565">
        <v>7</v>
      </c>
      <c r="I93" s="811" t="s">
        <v>251</v>
      </c>
      <c r="J93" s="811"/>
      <c r="K93" s="585">
        <v>0</v>
      </c>
      <c r="L93" s="819" t="str">
        <f>IF(AND(S$16=1,S$17=2),"",IF(S$16=2,"",IF(K93=0,"",H93/(K93/1000))))</f>
        <v/>
      </c>
      <c r="M93" s="819"/>
      <c r="N93" s="816" t="s">
        <v>268</v>
      </c>
      <c r="O93" s="816"/>
      <c r="P93" s="586" t="str">
        <f>IF(K93=0,"-",INDEX('data roosters'!F:J,MATCH(N93,'data roosters'!F:F,0),2)*(K93/1000))</f>
        <v>-</v>
      </c>
      <c r="Q93" s="729" t="str">
        <f t="shared" si="16"/>
        <v/>
      </c>
      <c r="R93" s="603"/>
      <c r="S93" s="602"/>
      <c r="T93" s="392"/>
      <c r="U93" s="392"/>
      <c r="V93" s="547">
        <f t="shared" si="17"/>
        <v>2</v>
      </c>
      <c r="W93" s="392"/>
      <c r="X93" s="392"/>
      <c r="Y93" s="392"/>
      <c r="Z93" s="392"/>
      <c r="AA93" s="404"/>
      <c r="AB93" s="516"/>
      <c r="AC93" s="516"/>
      <c r="AD93" s="516"/>
      <c r="AE93" s="516"/>
      <c r="AF93" s="515" t="str">
        <f>IF(E93&gt;0,"x","")</f>
        <v>x</v>
      </c>
      <c r="AG93" s="516"/>
      <c r="AH93" s="516"/>
    </row>
    <row r="94" spans="1:38" s="541" customFormat="1" ht="12" hidden="1" customHeight="1">
      <c r="A94" s="404"/>
      <c r="B94" s="543"/>
      <c r="C94" s="464" t="s">
        <v>252</v>
      </c>
      <c r="D94" s="733">
        <f>IF(F94="intern","",SUMPRODUCT(($AE$1:$AE$28066)*($L$1:$L$28066=C94)))</f>
        <v>0</v>
      </c>
      <c r="E94" s="566">
        <f>IF(F94="intern","",IF(D94=0,0,(IF(verzamelblad!$K$7*D94&gt;verzamelblad!$P$7,CEILING(verzamelblad!$K$7*D94,0.1),verzamelblad!$P$7))))</f>
        <v>0</v>
      </c>
      <c r="F94" s="584" t="str">
        <f>IF($S$16=1,"NT","MT")</f>
        <v>MT</v>
      </c>
      <c r="G94" s="731" t="s">
        <v>140</v>
      </c>
      <c r="H94" s="565">
        <v>0</v>
      </c>
      <c r="I94" s="811" t="s">
        <v>251</v>
      </c>
      <c r="J94" s="811"/>
      <c r="K94" s="585">
        <v>0</v>
      </c>
      <c r="L94" s="819" t="str">
        <f>IF(AND(S$16=1,S$17=2),"",IF(S$16=2,"",IF(K94=0,"",H94/(K94/1000))))</f>
        <v/>
      </c>
      <c r="M94" s="819"/>
      <c r="N94" s="816" t="s">
        <v>268</v>
      </c>
      <c r="O94" s="816"/>
      <c r="P94" s="586" t="str">
        <f>IF(K94=0,"-",INDEX('data roosters'!F:J,MATCH(N94,'data roosters'!F:F,0),2)*(K94/1000))</f>
        <v>-</v>
      </c>
      <c r="Q94" s="729" t="str">
        <f t="shared" si="16"/>
        <v>verbergen</v>
      </c>
      <c r="R94" s="603"/>
      <c r="S94" s="602"/>
      <c r="T94" s="392"/>
      <c r="U94" s="392"/>
      <c r="V94" s="547">
        <f t="shared" si="17"/>
        <v>2</v>
      </c>
      <c r="W94" s="392"/>
      <c r="X94" s="392"/>
      <c r="Y94" s="392"/>
      <c r="Z94" s="392"/>
      <c r="AA94" s="404"/>
      <c r="AB94" s="516"/>
      <c r="AC94" s="516"/>
      <c r="AD94" s="516"/>
      <c r="AE94" s="516"/>
      <c r="AF94" s="515" t="str">
        <f>IF(E94&gt;0,"x","")</f>
        <v/>
      </c>
      <c r="AG94" s="516"/>
      <c r="AH94" s="516"/>
    </row>
    <row r="95" spans="1:38" s="541" customFormat="1" ht="12" hidden="1" customHeight="1">
      <c r="A95" s="404"/>
      <c r="B95" s="543"/>
      <c r="C95" s="464" t="s">
        <v>252</v>
      </c>
      <c r="D95" s="737">
        <f>IF(F95="intern","",SUMPRODUCT(($AE$1:$AE$28066)*($L$1:$L$28066=C95)))</f>
        <v>0</v>
      </c>
      <c r="E95" s="604">
        <f>IF(F95="intern","",IF(D95=0,0,(IF(verzamelblad!$K$7*D95&gt;verzamelblad!$P$7,CEILING(verzamelblad!$K$7*D95,0.1),verzamelblad!$P$7))))</f>
        <v>0</v>
      </c>
      <c r="F95" s="605" t="str">
        <f>IF($S$16=1,"NT","MT")</f>
        <v>MT</v>
      </c>
      <c r="G95" s="606" t="s">
        <v>140</v>
      </c>
      <c r="H95" s="607">
        <v>0</v>
      </c>
      <c r="I95" s="812" t="s">
        <v>251</v>
      </c>
      <c r="J95" s="812"/>
      <c r="K95" s="608">
        <v>0</v>
      </c>
      <c r="L95" s="822" t="str">
        <f>IF(AND(S$16=1,S$17=2),"",IF(S$16=2,"",IF(K95=0,"",H95/(K95/1000))))</f>
        <v/>
      </c>
      <c r="M95" s="822"/>
      <c r="N95" s="823" t="s">
        <v>268</v>
      </c>
      <c r="O95" s="823"/>
      <c r="P95" s="609" t="str">
        <f>IF(K95=0,"-",INDEX('data roosters'!F:J,MATCH(N95,'data roosters'!F:F,0),2)*(K95/1000))</f>
        <v>-</v>
      </c>
      <c r="Q95" s="729" t="str">
        <f t="shared" si="16"/>
        <v>verbergen</v>
      </c>
      <c r="R95" s="603"/>
      <c r="S95" s="602"/>
      <c r="T95" s="392"/>
      <c r="U95" s="392"/>
      <c r="V95" s="547">
        <f t="shared" si="17"/>
        <v>2</v>
      </c>
      <c r="W95" s="392"/>
      <c r="X95" s="392"/>
      <c r="Y95" s="392"/>
      <c r="Z95" s="392"/>
      <c r="AA95" s="404"/>
      <c r="AB95" s="516"/>
      <c r="AC95" s="516"/>
      <c r="AD95" s="516"/>
      <c r="AE95" s="516"/>
      <c r="AF95" s="515" t="str">
        <f>IF(E95&gt;0,"x","")</f>
        <v/>
      </c>
      <c r="AG95" s="516"/>
      <c r="AH95" s="516"/>
    </row>
    <row r="96" spans="1:38" s="541" customFormat="1" ht="12" customHeight="1">
      <c r="A96" s="404"/>
      <c r="B96" s="556">
        <f>B89+1</f>
        <v>2</v>
      </c>
      <c r="C96" s="480">
        <f>B96</f>
        <v>2</v>
      </c>
      <c r="D96" s="481">
        <f>SUMPRODUCT(($AD$1:$AD$50108)*($AC$1:$AC$50108=B96))</f>
        <v>21.39</v>
      </c>
      <c r="E96" s="591">
        <f>IF(D96=0,0,(IF(verzamelblad!$E$7*D96&gt;verzamelblad!$J$7,CEILING(verzamelblad!$E$7*D96,0.1),verzamelblad!$J$7)))</f>
        <v>19.3</v>
      </c>
      <c r="F96" s="824" t="str">
        <f>IF(SUM(H91:H95)&lt;E96,"voldoet niet op VG-niveau","totaal: "&amp;SUM(H91:H95) &amp; " dm³/s ")</f>
        <v xml:space="preserve">totaal: 21 dm³/s </v>
      </c>
      <c r="G96" s="824"/>
      <c r="H96" s="824"/>
      <c r="I96" s="592"/>
      <c r="J96" s="593"/>
      <c r="K96" s="594"/>
      <c r="L96" s="595"/>
      <c r="M96" s="821"/>
      <c r="N96" s="821"/>
      <c r="O96" s="596"/>
      <c r="P96" s="597"/>
      <c r="Q96" s="403"/>
      <c r="R96" s="603"/>
      <c r="S96" s="602"/>
      <c r="T96" s="392"/>
      <c r="U96" s="392"/>
      <c r="V96" s="547">
        <f t="shared" si="17"/>
        <v>2</v>
      </c>
      <c r="W96" s="392"/>
      <c r="X96" s="392"/>
      <c r="Y96" s="392"/>
      <c r="Z96" s="392"/>
      <c r="AA96" s="404"/>
      <c r="AB96" s="516"/>
      <c r="AC96" s="516"/>
      <c r="AD96" s="516"/>
      <c r="AE96" s="516"/>
      <c r="AF96" s="515" t="str">
        <f>IF(B96&gt;0,"ja")</f>
        <v>ja</v>
      </c>
      <c r="AG96" s="516"/>
      <c r="AH96" s="516"/>
    </row>
    <row r="97" spans="1:34" s="541" customFormat="1" ht="12" customHeight="1">
      <c r="A97" s="543"/>
      <c r="B97" s="543"/>
      <c r="C97" s="598"/>
      <c r="D97" s="422"/>
      <c r="E97" s="422"/>
      <c r="F97" s="422"/>
      <c r="G97" s="422"/>
      <c r="H97" s="599"/>
      <c r="I97" s="599"/>
      <c r="J97" s="530"/>
      <c r="K97" s="600"/>
      <c r="L97" s="600"/>
      <c r="M97" s="600"/>
      <c r="N97" s="600"/>
      <c r="O97" s="600"/>
      <c r="P97" s="600"/>
      <c r="Q97" s="403"/>
      <c r="R97" s="603"/>
      <c r="S97" s="602"/>
      <c r="T97" s="392"/>
      <c r="U97" s="392"/>
      <c r="V97" s="547">
        <f t="shared" si="17"/>
        <v>2</v>
      </c>
      <c r="W97" s="392"/>
      <c r="X97" s="392"/>
      <c r="Y97" s="392"/>
      <c r="Z97" s="392"/>
      <c r="AA97" s="404"/>
      <c r="AB97" s="516"/>
      <c r="AC97" s="516"/>
      <c r="AD97" s="516"/>
      <c r="AE97" s="516"/>
      <c r="AF97" s="516"/>
      <c r="AG97" s="516"/>
      <c r="AH97" s="516"/>
    </row>
    <row r="98" spans="1:34" s="541" customFormat="1" ht="12" customHeight="1">
      <c r="A98" s="404"/>
      <c r="B98" s="543"/>
      <c r="C98" s="464" t="str">
        <f>L31</f>
        <v>slaapkamer 1</v>
      </c>
      <c r="D98" s="733">
        <f>IF(F98="intern","",SUMPRODUCT(($AE$1:$AE$28050)*($L$1:$L$28050=C98)))</f>
        <v>10.88</v>
      </c>
      <c r="E98" s="566">
        <f>IF(F98="intern","",IF(D98=0,0,(IF(verzamelblad!$K$7*D98&gt;verzamelblad!$P$7,CEILING(verzamelblad!$K$7*D98,0.1),verzamelblad!$P$7))))</f>
        <v>7.7</v>
      </c>
      <c r="F98" s="584" t="str">
        <f>IF($S$16=1,"NT","MT")</f>
        <v>MT</v>
      </c>
      <c r="G98" s="731" t="s">
        <v>140</v>
      </c>
      <c r="H98" s="565">
        <v>14</v>
      </c>
      <c r="I98" s="811" t="s">
        <v>251</v>
      </c>
      <c r="J98" s="811"/>
      <c r="K98" s="585">
        <v>0</v>
      </c>
      <c r="L98" s="819" t="str">
        <f>IF(AND(S$16=1,S$17=2),"",IF(S$16=2,"",IF(K98=0,"",H98/(K98/1000))))</f>
        <v/>
      </c>
      <c r="M98" s="819"/>
      <c r="N98" s="816" t="s">
        <v>268</v>
      </c>
      <c r="O98" s="816"/>
      <c r="P98" s="586" t="str">
        <f>IF(K98=0,"-",INDEX('data roosters'!F:J,MATCH(N98,'data roosters'!F:F,0),2)*(K98/1000))</f>
        <v>-</v>
      </c>
      <c r="Q98" s="729" t="str">
        <f>IF(AND($S$16=1,$S$17=2),IF(OR(E98&lt;&gt;0,H98&lt;&gt;0,P98&lt;&gt;"-"),"","verbergen"),IF(OR(E98&lt;&gt;0,H98&lt;&gt;0),"","verbergen"))</f>
        <v/>
      </c>
      <c r="R98" s="601"/>
      <c r="S98" s="602"/>
      <c r="T98" s="392"/>
      <c r="U98" s="392"/>
      <c r="V98" s="547">
        <f>V97+1</f>
        <v>3</v>
      </c>
      <c r="W98" s="392"/>
      <c r="X98" s="392"/>
      <c r="Y98" s="392"/>
      <c r="Z98" s="392"/>
      <c r="AA98" s="404"/>
      <c r="AB98" s="516"/>
      <c r="AC98" s="516"/>
      <c r="AD98" s="516"/>
      <c r="AE98" s="516"/>
      <c r="AF98" s="515" t="str">
        <f>IF(E98&gt;0,"x","")</f>
        <v>x</v>
      </c>
      <c r="AG98" s="516"/>
      <c r="AH98" s="516"/>
    </row>
    <row r="99" spans="1:34" s="541" customFormat="1" ht="12" customHeight="1">
      <c r="A99" s="404"/>
      <c r="B99" s="543"/>
      <c r="C99" s="464" t="str">
        <f t="shared" ref="C99:C100" si="18">L32</f>
        <v>slaapkamer 2</v>
      </c>
      <c r="D99" s="733">
        <f>IF(F99="intern","",SUMPRODUCT(($AE$1:$AE$28050)*($L$1:$L$28050=C99)))</f>
        <v>10.78</v>
      </c>
      <c r="E99" s="566">
        <f>IF(F99="intern","",IF(D99=0,0,(IF(verzamelblad!$K$7*D99&gt;verzamelblad!$P$7,CEILING(verzamelblad!$K$7*D99,0.1),verzamelblad!$P$7))))</f>
        <v>7.6000000000000005</v>
      </c>
      <c r="F99" s="584" t="str">
        <f>IF($S$16=1,"NT","MT")</f>
        <v>MT</v>
      </c>
      <c r="G99" s="731" t="s">
        <v>140</v>
      </c>
      <c r="H99" s="565">
        <v>14</v>
      </c>
      <c r="I99" s="811" t="s">
        <v>251</v>
      </c>
      <c r="J99" s="811"/>
      <c r="K99" s="585">
        <v>0</v>
      </c>
      <c r="L99" s="819" t="str">
        <f>IF(AND(S$16=1,S$17=2),"",IF(S$16=2,"",IF(K99=0,"",H99/(K99/1000))))</f>
        <v/>
      </c>
      <c r="M99" s="819"/>
      <c r="N99" s="816" t="s">
        <v>268</v>
      </c>
      <c r="O99" s="816"/>
      <c r="P99" s="586" t="str">
        <f>IF(K99=0,"-",INDEX('data roosters'!F:J,MATCH(N99,'data roosters'!F:F,0),2)*(K99/1000))</f>
        <v>-</v>
      </c>
      <c r="Q99" s="729" t="str">
        <f t="shared" ref="Q99:Q102" si="19">IF(AND($S$16=1,$S$17=2),IF(OR(E99&lt;&gt;0,H99&lt;&gt;0,P99&lt;&gt;"-"),"","verbergen"),IF(OR(E99&lt;&gt;0,H99&lt;&gt;0),"","verbergen"))</f>
        <v/>
      </c>
      <c r="R99" s="418"/>
      <c r="S99" s="602"/>
      <c r="T99" s="392"/>
      <c r="U99" s="392"/>
      <c r="V99" s="547">
        <f t="shared" ref="V99:V104" si="20">V98</f>
        <v>3</v>
      </c>
      <c r="W99" s="392"/>
      <c r="X99" s="392"/>
      <c r="Y99" s="392"/>
      <c r="Z99" s="392"/>
      <c r="AA99" s="404"/>
      <c r="AB99" s="516"/>
      <c r="AC99" s="516"/>
      <c r="AD99" s="516"/>
      <c r="AE99" s="516"/>
      <c r="AF99" s="515" t="str">
        <f>IF(E99&gt;0,"x","")</f>
        <v>x</v>
      </c>
      <c r="AG99" s="516"/>
      <c r="AH99" s="516"/>
    </row>
    <row r="100" spans="1:34" s="541" customFormat="1" ht="12" customHeight="1">
      <c r="A100" s="404"/>
      <c r="B100" s="543"/>
      <c r="C100" s="464" t="str">
        <f t="shared" si="18"/>
        <v>studeerkamer</v>
      </c>
      <c r="D100" s="733">
        <f>IF(F100="intern","",SUMPRODUCT(($AE$1:$AE$28050)*($L$1:$L$28050=C100)))</f>
        <v>9.8000000000000007</v>
      </c>
      <c r="E100" s="566">
        <f>IF(F100="intern","",IF(D100=0,0,(IF(verzamelblad!$K$7*D100&gt;verzamelblad!$P$7,CEILING(verzamelblad!$K$7*D100,0.1),verzamelblad!$P$7))))</f>
        <v>7</v>
      </c>
      <c r="F100" s="584" t="str">
        <f>IF($S$16=1,"NT","MT")</f>
        <v>MT</v>
      </c>
      <c r="G100" s="731" t="s">
        <v>140</v>
      </c>
      <c r="H100" s="565">
        <v>14</v>
      </c>
      <c r="I100" s="811" t="s">
        <v>251</v>
      </c>
      <c r="J100" s="811"/>
      <c r="K100" s="585">
        <v>0</v>
      </c>
      <c r="L100" s="819" t="str">
        <f>IF(AND(S$16=1,S$17=2),"",IF(S$16=2,"",IF(K100=0,"",H100/(K100/1000))))</f>
        <v/>
      </c>
      <c r="M100" s="819"/>
      <c r="N100" s="816" t="s">
        <v>268</v>
      </c>
      <c r="O100" s="816"/>
      <c r="P100" s="586" t="str">
        <f>IF(K100=0,"-",INDEX('data roosters'!F:J,MATCH(N100,'data roosters'!F:F,0),2)*(K100/1000))</f>
        <v>-</v>
      </c>
      <c r="Q100" s="729" t="str">
        <f t="shared" si="19"/>
        <v/>
      </c>
      <c r="R100" s="603"/>
      <c r="S100" s="602"/>
      <c r="T100" s="392"/>
      <c r="U100" s="392"/>
      <c r="V100" s="547">
        <f t="shared" si="20"/>
        <v>3</v>
      </c>
      <c r="W100" s="392"/>
      <c r="X100" s="392"/>
      <c r="Y100" s="392"/>
      <c r="Z100" s="392"/>
      <c r="AA100" s="404"/>
      <c r="AB100" s="516"/>
      <c r="AC100" s="516"/>
      <c r="AD100" s="516"/>
      <c r="AE100" s="516"/>
      <c r="AF100" s="515" t="str">
        <f>IF(E100&gt;0,"x","")</f>
        <v>x</v>
      </c>
      <c r="AG100" s="516"/>
      <c r="AH100" s="516"/>
    </row>
    <row r="101" spans="1:34" s="541" customFormat="1" ht="12" hidden="1" customHeight="1">
      <c r="A101" s="404"/>
      <c r="B101" s="543"/>
      <c r="C101" s="464" t="s">
        <v>252</v>
      </c>
      <c r="D101" s="733">
        <f>IF(F101="intern","",SUMPRODUCT(($AE$1:$AE$28050)*($L$1:$L$28050=C101)))</f>
        <v>0</v>
      </c>
      <c r="E101" s="566">
        <f>IF(F101="intern","",IF(D101=0,0,(IF(verzamelblad!$K$7*D101&gt;verzamelblad!$P$7,CEILING(verzamelblad!$K$7*D101,0.1),verzamelblad!$P$7))))</f>
        <v>0</v>
      </c>
      <c r="F101" s="584" t="str">
        <f>IF($S$16=1,"NT","MT")</f>
        <v>MT</v>
      </c>
      <c r="G101" s="731" t="s">
        <v>140</v>
      </c>
      <c r="H101" s="565">
        <v>0</v>
      </c>
      <c r="I101" s="811" t="s">
        <v>251</v>
      </c>
      <c r="J101" s="811"/>
      <c r="K101" s="585">
        <v>0</v>
      </c>
      <c r="L101" s="819" t="str">
        <f>IF(AND(S$16=1,S$17=2),"",IF(S$16=2,"",IF(K101=0,"",H101/(K101/1000))))</f>
        <v/>
      </c>
      <c r="M101" s="819"/>
      <c r="N101" s="816" t="s">
        <v>268</v>
      </c>
      <c r="O101" s="816"/>
      <c r="P101" s="586" t="str">
        <f>IF(K101=0,"-",INDEX('data roosters'!F:J,MATCH(N101,'data roosters'!F:F,0),2)*(K101/1000))</f>
        <v>-</v>
      </c>
      <c r="Q101" s="729" t="str">
        <f t="shared" si="19"/>
        <v>verbergen</v>
      </c>
      <c r="R101" s="603"/>
      <c r="S101" s="602"/>
      <c r="T101" s="392"/>
      <c r="U101" s="392"/>
      <c r="V101" s="547">
        <f t="shared" si="20"/>
        <v>3</v>
      </c>
      <c r="W101" s="392"/>
      <c r="X101" s="392"/>
      <c r="Y101" s="392"/>
      <c r="Z101" s="392"/>
      <c r="AA101" s="404"/>
      <c r="AB101" s="516"/>
      <c r="AC101" s="516"/>
      <c r="AD101" s="516"/>
      <c r="AE101" s="516"/>
      <c r="AF101" s="515" t="str">
        <f>IF(E101&gt;0,"x","")</f>
        <v/>
      </c>
      <c r="AG101" s="516"/>
      <c r="AH101" s="516"/>
    </row>
    <row r="102" spans="1:34" s="541" customFormat="1" ht="12" hidden="1" customHeight="1">
      <c r="A102" s="404"/>
      <c r="B102" s="543"/>
      <c r="C102" s="472" t="s">
        <v>252</v>
      </c>
      <c r="D102" s="737">
        <f>IF(F102="intern","",SUMPRODUCT(($AE$1:$AE$28050)*($L$1:$L$28050=C102)))</f>
        <v>0</v>
      </c>
      <c r="E102" s="604">
        <f>IF(F102="intern","",IF(D102=0,0,(IF(verzamelblad!$K$7*D102&gt;verzamelblad!$P$7,CEILING(verzamelblad!$K$7*D102,0.1),verzamelblad!$P$7))))</f>
        <v>0</v>
      </c>
      <c r="F102" s="605" t="str">
        <f>IF($S$16=1,"NT","MT")</f>
        <v>MT</v>
      </c>
      <c r="G102" s="606" t="s">
        <v>140</v>
      </c>
      <c r="H102" s="607">
        <v>0</v>
      </c>
      <c r="I102" s="812" t="s">
        <v>251</v>
      </c>
      <c r="J102" s="812"/>
      <c r="K102" s="608">
        <v>0</v>
      </c>
      <c r="L102" s="822" t="str">
        <f>IF(AND(S$16=1,S$17=2),"",IF(S$16=2,"",IF(K102=0,"",H102/(K102/1000))))</f>
        <v/>
      </c>
      <c r="M102" s="822"/>
      <c r="N102" s="823" t="s">
        <v>268</v>
      </c>
      <c r="O102" s="823"/>
      <c r="P102" s="609" t="str">
        <f>IF(K102=0,"-",INDEX('data roosters'!F:J,MATCH(N102,'data roosters'!F:F,0),2)*(K102/1000))</f>
        <v>-</v>
      </c>
      <c r="Q102" s="729" t="str">
        <f t="shared" si="19"/>
        <v>verbergen</v>
      </c>
      <c r="R102" s="603"/>
      <c r="S102" s="602"/>
      <c r="T102" s="392"/>
      <c r="U102" s="392"/>
      <c r="V102" s="547">
        <f t="shared" si="20"/>
        <v>3</v>
      </c>
      <c r="W102" s="392"/>
      <c r="X102" s="392"/>
      <c r="Y102" s="392"/>
      <c r="Z102" s="392"/>
      <c r="AA102" s="404"/>
      <c r="AB102" s="516"/>
      <c r="AC102" s="516"/>
      <c r="AD102" s="516"/>
      <c r="AE102" s="516"/>
      <c r="AF102" s="515" t="str">
        <f>IF(E102&gt;0,"x","")</f>
        <v/>
      </c>
      <c r="AG102" s="516"/>
      <c r="AH102" s="516"/>
    </row>
    <row r="103" spans="1:34" s="541" customFormat="1" ht="12" customHeight="1">
      <c r="A103" s="404"/>
      <c r="B103" s="556">
        <f>B96+1</f>
        <v>3</v>
      </c>
      <c r="C103" s="480">
        <f>B103</f>
        <v>3</v>
      </c>
      <c r="D103" s="481">
        <f>SUMPRODUCT(($AD$1:$AD$50092)*($AC$1:$AC$50092=B103))</f>
        <v>32</v>
      </c>
      <c r="E103" s="591">
        <f>IF(D103=0,0,(IF(verzamelblad!$E$7*D103&gt;verzamelblad!$J$7,CEILING(verzamelblad!$E$7*D103,0.1),verzamelblad!$J$7)))</f>
        <v>28.8</v>
      </c>
      <c r="F103" s="824" t="str">
        <f>IF(SUM(H98:H102)&lt;E103,"voldoet niet op VG-niveau","totaal: "&amp;SUM(H98:H102) &amp; " dm³/s ")</f>
        <v xml:space="preserve">totaal: 42 dm³/s </v>
      </c>
      <c r="G103" s="824"/>
      <c r="H103" s="824"/>
      <c r="I103" s="592"/>
      <c r="J103" s="593"/>
      <c r="K103" s="594"/>
      <c r="L103" s="595"/>
      <c r="M103" s="821"/>
      <c r="N103" s="821"/>
      <c r="O103" s="596"/>
      <c r="P103" s="597"/>
      <c r="Q103" s="403"/>
      <c r="R103" s="603"/>
      <c r="S103" s="602"/>
      <c r="T103" s="392"/>
      <c r="U103" s="392"/>
      <c r="V103" s="547">
        <f t="shared" si="20"/>
        <v>3</v>
      </c>
      <c r="W103" s="392"/>
      <c r="X103" s="392"/>
      <c r="Y103" s="392"/>
      <c r="Z103" s="392"/>
      <c r="AA103" s="404"/>
      <c r="AB103" s="516"/>
      <c r="AC103" s="516"/>
      <c r="AD103" s="516"/>
      <c r="AE103" s="516"/>
      <c r="AF103" s="515" t="str">
        <f>IF(B103&gt;0,"ja")</f>
        <v>ja</v>
      </c>
      <c r="AG103" s="516"/>
      <c r="AH103" s="516"/>
    </row>
    <row r="104" spans="1:34" s="541" customFormat="1" ht="12" customHeight="1">
      <c r="A104" s="543"/>
      <c r="B104" s="543"/>
      <c r="C104" s="598"/>
      <c r="D104" s="422"/>
      <c r="E104" s="422"/>
      <c r="F104" s="422"/>
      <c r="G104" s="422"/>
      <c r="H104" s="599"/>
      <c r="I104" s="599"/>
      <c r="J104" s="530"/>
      <c r="K104" s="600"/>
      <c r="L104" s="600"/>
      <c r="M104" s="600"/>
      <c r="N104" s="600"/>
      <c r="O104" s="600"/>
      <c r="P104" s="600"/>
      <c r="Q104" s="403"/>
      <c r="R104" s="603"/>
      <c r="S104" s="602"/>
      <c r="T104" s="392"/>
      <c r="U104" s="392"/>
      <c r="V104" s="547">
        <f t="shared" si="20"/>
        <v>3</v>
      </c>
      <c r="W104" s="392"/>
      <c r="X104" s="392"/>
      <c r="Y104" s="392"/>
      <c r="Z104" s="392"/>
      <c r="AA104" s="404"/>
      <c r="AB104" s="516"/>
      <c r="AC104" s="516"/>
      <c r="AD104" s="516"/>
      <c r="AE104" s="516"/>
      <c r="AF104" s="516"/>
      <c r="AG104" s="516"/>
      <c r="AH104" s="516"/>
    </row>
    <row r="105" spans="1:34" s="541" customFormat="1" ht="12" customHeight="1">
      <c r="A105" s="404"/>
      <c r="B105" s="543"/>
      <c r="C105" s="464" t="str">
        <f>L34</f>
        <v>slaapkamer 3</v>
      </c>
      <c r="D105" s="733">
        <f>IF(F105="intern","",SUMPRODUCT(($AE$1:$AE$28022)*($L$1:$L$28022=C105)))</f>
        <v>9.32</v>
      </c>
      <c r="E105" s="566">
        <f>IF(F105="intern","",IF(D105=0,0,(IF(verzamelblad!$K$7*D105&gt;verzamelblad!$P$7,CEILING(verzamelblad!$K$7*D105,0.1),verzamelblad!$P$7))))</f>
        <v>7</v>
      </c>
      <c r="F105" s="584" t="str">
        <f>IF($S$16=1,"NT","MT")</f>
        <v>MT</v>
      </c>
      <c r="G105" s="731" t="s">
        <v>140</v>
      </c>
      <c r="H105" s="565">
        <v>14</v>
      </c>
      <c r="I105" s="811" t="s">
        <v>251</v>
      </c>
      <c r="J105" s="811"/>
      <c r="K105" s="585">
        <v>0</v>
      </c>
      <c r="L105" s="819" t="str">
        <f>IF(AND(S$16=1,S$17=2),"",IF(S$16=2,"",IF(K105=0,"",H105/(K105/1000))))</f>
        <v/>
      </c>
      <c r="M105" s="819"/>
      <c r="N105" s="816" t="s">
        <v>268</v>
      </c>
      <c r="O105" s="816"/>
      <c r="P105" s="586" t="str">
        <f>IF(K105=0,"-",INDEX('data roosters'!F:J,MATCH(N105,'data roosters'!F:F,0),2)*(K105/1000))</f>
        <v>-</v>
      </c>
      <c r="Q105" s="729" t="str">
        <f>IF(AND($S$16=1,$S$17=2),IF(OR(E105&lt;&gt;0,H105&lt;&gt;0,P105&lt;&gt;"-"),"","verbergen"),IF(OR(E105&lt;&gt;0,H105&lt;&gt;0),"","verbergen"))</f>
        <v/>
      </c>
      <c r="R105" s="601"/>
      <c r="S105" s="602"/>
      <c r="T105" s="392"/>
      <c r="U105" s="392"/>
      <c r="V105" s="547">
        <f>V104+1</f>
        <v>4</v>
      </c>
      <c r="W105" s="392"/>
      <c r="X105" s="392"/>
      <c r="Y105" s="392"/>
      <c r="Z105" s="392"/>
      <c r="AA105" s="404"/>
      <c r="AB105" s="516"/>
      <c r="AC105" s="516"/>
      <c r="AD105" s="516"/>
      <c r="AE105" s="516"/>
      <c r="AF105" s="515" t="str">
        <f>IF(E105&gt;0,"x","")</f>
        <v>x</v>
      </c>
      <c r="AG105" s="516"/>
      <c r="AH105" s="516"/>
    </row>
    <row r="106" spans="1:34" s="541" customFormat="1" ht="12" hidden="1" customHeight="1">
      <c r="A106" s="404"/>
      <c r="B106" s="543"/>
      <c r="C106" s="464" t="s">
        <v>252</v>
      </c>
      <c r="D106" s="733">
        <f>IF(F106="intern","",SUMPRODUCT(($AE$1:$AE$28022)*($L$1:$L$28022=C106)))</f>
        <v>0</v>
      </c>
      <c r="E106" s="566">
        <f>IF(F106="intern","",IF(D106=0,0,(IF(verzamelblad!$K$7*D106&gt;verzamelblad!$P$7,CEILING(verzamelblad!$K$7*D106,0.1),verzamelblad!$P$7))))</f>
        <v>0</v>
      </c>
      <c r="F106" s="584" t="str">
        <f>IF($S$16=1,"NT","MT")</f>
        <v>MT</v>
      </c>
      <c r="G106" s="731" t="s">
        <v>140</v>
      </c>
      <c r="H106" s="565">
        <v>0</v>
      </c>
      <c r="I106" s="811" t="s">
        <v>251</v>
      </c>
      <c r="J106" s="811"/>
      <c r="K106" s="585">
        <v>0</v>
      </c>
      <c r="L106" s="819" t="str">
        <f>IF(AND(S$16=1,S$17=2),"",IF(S$16=2,"",IF(K106=0,"",H106/(K106/1000))))</f>
        <v/>
      </c>
      <c r="M106" s="819"/>
      <c r="N106" s="816" t="s">
        <v>268</v>
      </c>
      <c r="O106" s="816"/>
      <c r="P106" s="586" t="str">
        <f>IF(K106=0,"-",INDEX('data roosters'!F:J,MATCH(N106,'data roosters'!F:F,0),2)*(K106/1000))</f>
        <v>-</v>
      </c>
      <c r="Q106" s="729" t="str">
        <f t="shared" ref="Q106:Q109" si="21">IF(AND($S$16=1,$S$17=2),IF(OR(E106&lt;&gt;0,H106&lt;&gt;0,P106&lt;&gt;"-"),"","verbergen"),IF(OR(E106&lt;&gt;0,H106&lt;&gt;0),"","verbergen"))</f>
        <v>verbergen</v>
      </c>
      <c r="R106" s="418"/>
      <c r="S106" s="602"/>
      <c r="T106" s="392"/>
      <c r="U106" s="392"/>
      <c r="V106" s="547">
        <f t="shared" ref="V106:V111" si="22">V105</f>
        <v>4</v>
      </c>
      <c r="W106" s="392"/>
      <c r="X106" s="392"/>
      <c r="Y106" s="392"/>
      <c r="Z106" s="392"/>
      <c r="AA106" s="404"/>
      <c r="AB106" s="516"/>
      <c r="AC106" s="516"/>
      <c r="AD106" s="516"/>
      <c r="AE106" s="516"/>
      <c r="AF106" s="515" t="str">
        <f>IF(E106&gt;0,"x","")</f>
        <v/>
      </c>
      <c r="AG106" s="516"/>
      <c r="AH106" s="516"/>
    </row>
    <row r="107" spans="1:34" s="541" customFormat="1" ht="12" hidden="1" customHeight="1">
      <c r="A107" s="404"/>
      <c r="B107" s="543"/>
      <c r="C107" s="464" t="s">
        <v>252</v>
      </c>
      <c r="D107" s="733">
        <f>IF(F107="intern","",SUMPRODUCT(($AE$1:$AE$28022)*($L$1:$L$28022=C107)))</f>
        <v>0</v>
      </c>
      <c r="E107" s="566">
        <f>IF(F107="intern","",IF(D107=0,0,(IF(verzamelblad!$K$7*D107&gt;verzamelblad!$P$7,CEILING(verzamelblad!$K$7*D107,0.1),verzamelblad!$P$7))))</f>
        <v>0</v>
      </c>
      <c r="F107" s="584" t="str">
        <f>IF($S$16=1,"NT","MT")</f>
        <v>MT</v>
      </c>
      <c r="G107" s="731" t="s">
        <v>140</v>
      </c>
      <c r="H107" s="565">
        <v>0</v>
      </c>
      <c r="I107" s="811" t="s">
        <v>251</v>
      </c>
      <c r="J107" s="811"/>
      <c r="K107" s="585">
        <v>0</v>
      </c>
      <c r="L107" s="819" t="str">
        <f>IF(AND(S$16=1,S$17=2),"",IF(S$16=2,"",IF(K107=0,"",H107/(K107/1000))))</f>
        <v/>
      </c>
      <c r="M107" s="819"/>
      <c r="N107" s="816" t="s">
        <v>268</v>
      </c>
      <c r="O107" s="816"/>
      <c r="P107" s="586" t="str">
        <f>IF(K107=0,"-",INDEX('data roosters'!F:J,MATCH(N107,'data roosters'!F:F,0),2)*(K107/1000))</f>
        <v>-</v>
      </c>
      <c r="Q107" s="729" t="str">
        <f t="shared" si="21"/>
        <v>verbergen</v>
      </c>
      <c r="R107" s="603"/>
      <c r="S107" s="602"/>
      <c r="T107" s="392"/>
      <c r="U107" s="392"/>
      <c r="V107" s="547">
        <f t="shared" si="22"/>
        <v>4</v>
      </c>
      <c r="W107" s="392"/>
      <c r="X107" s="392"/>
      <c r="Y107" s="392"/>
      <c r="Z107" s="392"/>
      <c r="AA107" s="404"/>
      <c r="AB107" s="516"/>
      <c r="AC107" s="516"/>
      <c r="AD107" s="516"/>
      <c r="AE107" s="516"/>
      <c r="AF107" s="515" t="str">
        <f>IF(E107&gt;0,"x","")</f>
        <v/>
      </c>
      <c r="AG107" s="516"/>
      <c r="AH107" s="516"/>
    </row>
    <row r="108" spans="1:34" s="541" customFormat="1" ht="12" hidden="1" customHeight="1">
      <c r="A108" s="404"/>
      <c r="B108" s="543"/>
      <c r="C108" s="464" t="s">
        <v>252</v>
      </c>
      <c r="D108" s="733">
        <f>IF(F108="intern","",SUMPRODUCT(($AE$1:$AE$28022)*($L$1:$L$28022=C108)))</f>
        <v>0</v>
      </c>
      <c r="E108" s="566">
        <f>IF(F108="intern","",IF(D108=0,0,(IF(verzamelblad!$K$7*D108&gt;verzamelblad!$P$7,CEILING(verzamelblad!$K$7*D108,0.1),verzamelblad!$P$7))))</f>
        <v>0</v>
      </c>
      <c r="F108" s="584" t="str">
        <f>IF($S$16=1,"NT","MT")</f>
        <v>MT</v>
      </c>
      <c r="G108" s="731" t="s">
        <v>140</v>
      </c>
      <c r="H108" s="565">
        <v>0</v>
      </c>
      <c r="I108" s="811" t="s">
        <v>251</v>
      </c>
      <c r="J108" s="811"/>
      <c r="K108" s="585">
        <v>0</v>
      </c>
      <c r="L108" s="819" t="str">
        <f>IF(AND(S$16=1,S$17=2),"",IF(S$16=2,"",IF(K108=0,"",H108/(K108/1000))))</f>
        <v/>
      </c>
      <c r="M108" s="819"/>
      <c r="N108" s="816" t="s">
        <v>268</v>
      </c>
      <c r="O108" s="816"/>
      <c r="P108" s="586" t="str">
        <f>IF(K108=0,"-",INDEX('data roosters'!F:J,MATCH(N108,'data roosters'!F:F,0),2)*(K108/1000))</f>
        <v>-</v>
      </c>
      <c r="Q108" s="729" t="str">
        <f t="shared" si="21"/>
        <v>verbergen</v>
      </c>
      <c r="R108" s="603"/>
      <c r="S108" s="602"/>
      <c r="T108" s="392"/>
      <c r="U108" s="392"/>
      <c r="V108" s="547">
        <f t="shared" si="22"/>
        <v>4</v>
      </c>
      <c r="W108" s="392"/>
      <c r="X108" s="392"/>
      <c r="Y108" s="392"/>
      <c r="Z108" s="392"/>
      <c r="AA108" s="404"/>
      <c r="AB108" s="516"/>
      <c r="AC108" s="516"/>
      <c r="AD108" s="516"/>
      <c r="AE108" s="516"/>
      <c r="AF108" s="515" t="str">
        <f>IF(E108&gt;0,"x","")</f>
        <v/>
      </c>
      <c r="AG108" s="516"/>
      <c r="AH108" s="516"/>
    </row>
    <row r="109" spans="1:34" s="541" customFormat="1" ht="12" hidden="1" customHeight="1">
      <c r="A109" s="404"/>
      <c r="B109" s="543"/>
      <c r="C109" s="472" t="s">
        <v>252</v>
      </c>
      <c r="D109" s="737">
        <f>IF(F109="intern","",SUMPRODUCT(($AE$1:$AE$28022)*($L$1:$L$28022=C109)))</f>
        <v>0</v>
      </c>
      <c r="E109" s="604">
        <f>IF(F109="intern","",IF(D109=0,0,(IF(verzamelblad!$K$7*D109&gt;verzamelblad!$P$7,CEILING(verzamelblad!$K$7*D109,0.1),verzamelblad!$P$7))))</f>
        <v>0</v>
      </c>
      <c r="F109" s="605" t="str">
        <f>IF($S$16=1,"NT","MT")</f>
        <v>MT</v>
      </c>
      <c r="G109" s="606" t="s">
        <v>140</v>
      </c>
      <c r="H109" s="607">
        <v>0</v>
      </c>
      <c r="I109" s="812" t="s">
        <v>251</v>
      </c>
      <c r="J109" s="812"/>
      <c r="K109" s="608">
        <v>0</v>
      </c>
      <c r="L109" s="822" t="str">
        <f>IF(AND(S$16=1,S$17=2),"",IF(S$16=2,"",IF(K109=0,"",H109/(K109/1000))))</f>
        <v/>
      </c>
      <c r="M109" s="822"/>
      <c r="N109" s="823" t="s">
        <v>268</v>
      </c>
      <c r="O109" s="823"/>
      <c r="P109" s="609" t="str">
        <f>IF(K109=0,"-",INDEX('data roosters'!F:J,MATCH(N109,'data roosters'!F:F,0),2)*(K109/1000))</f>
        <v>-</v>
      </c>
      <c r="Q109" s="729" t="str">
        <f t="shared" si="21"/>
        <v>verbergen</v>
      </c>
      <c r="R109" s="603"/>
      <c r="S109" s="602"/>
      <c r="T109" s="392"/>
      <c r="U109" s="392"/>
      <c r="V109" s="547">
        <f t="shared" si="22"/>
        <v>4</v>
      </c>
      <c r="W109" s="392"/>
      <c r="X109" s="392"/>
      <c r="Y109" s="392"/>
      <c r="Z109" s="392"/>
      <c r="AA109" s="404"/>
      <c r="AB109" s="516"/>
      <c r="AC109" s="516"/>
      <c r="AD109" s="516"/>
      <c r="AE109" s="516"/>
      <c r="AF109" s="515" t="str">
        <f>IF(E109&gt;0,"x","")</f>
        <v/>
      </c>
      <c r="AG109" s="516"/>
      <c r="AH109" s="516"/>
    </row>
    <row r="110" spans="1:34" s="541" customFormat="1" ht="12" customHeight="1">
      <c r="A110" s="404"/>
      <c r="B110" s="556">
        <f>B103+1</f>
        <v>4</v>
      </c>
      <c r="C110" s="480">
        <f>B110</f>
        <v>4</v>
      </c>
      <c r="D110" s="481">
        <f>SUMPRODUCT(($AD$1:$AD$50064)*($AC$1:$AC$50064=B110))</f>
        <v>9.32</v>
      </c>
      <c r="E110" s="591">
        <f>IF(D110=0,0,(IF(verzamelblad!$E$7*D110&gt;verzamelblad!$J$7,CEILING(verzamelblad!$E$7*D110,0.1),verzamelblad!$J$7)))</f>
        <v>8.4</v>
      </c>
      <c r="F110" s="824" t="str">
        <f>IF(SUM(H105:H109)&lt;E110,"voldoet niet op VG-niveau","totaal: "&amp;SUM(H105:H109) &amp; " dm³/s ")</f>
        <v xml:space="preserve">totaal: 14 dm³/s </v>
      </c>
      <c r="G110" s="824"/>
      <c r="H110" s="824"/>
      <c r="I110" s="592"/>
      <c r="J110" s="593"/>
      <c r="K110" s="594"/>
      <c r="L110" s="595"/>
      <c r="M110" s="821"/>
      <c r="N110" s="821"/>
      <c r="O110" s="596"/>
      <c r="P110" s="597"/>
      <c r="Q110" s="403"/>
      <c r="R110" s="603"/>
      <c r="S110" s="602"/>
      <c r="T110" s="392"/>
      <c r="U110" s="392"/>
      <c r="V110" s="547">
        <f t="shared" si="22"/>
        <v>4</v>
      </c>
      <c r="W110" s="392"/>
      <c r="X110" s="392"/>
      <c r="Y110" s="392"/>
      <c r="Z110" s="392"/>
      <c r="AA110" s="404"/>
      <c r="AB110" s="516"/>
      <c r="AC110" s="516"/>
      <c r="AD110" s="516"/>
      <c r="AE110" s="516"/>
      <c r="AF110" s="515" t="str">
        <f>IF(B110&gt;0,"ja")</f>
        <v>ja</v>
      </c>
      <c r="AG110" s="516"/>
      <c r="AH110" s="516"/>
    </row>
    <row r="111" spans="1:34" s="541" customFormat="1" ht="12" customHeight="1">
      <c r="A111" s="543"/>
      <c r="B111" s="543"/>
      <c r="C111" s="598"/>
      <c r="D111" s="422"/>
      <c r="E111" s="422"/>
      <c r="F111" s="422"/>
      <c r="G111" s="422"/>
      <c r="H111" s="599"/>
      <c r="I111" s="599"/>
      <c r="J111" s="530"/>
      <c r="K111" s="600"/>
      <c r="L111" s="600"/>
      <c r="M111" s="600"/>
      <c r="N111" s="600"/>
      <c r="O111" s="600"/>
      <c r="P111" s="600"/>
      <c r="Q111" s="403"/>
      <c r="R111" s="603"/>
      <c r="S111" s="602"/>
      <c r="T111" s="392"/>
      <c r="U111" s="392"/>
      <c r="V111" s="547">
        <f t="shared" si="22"/>
        <v>4</v>
      </c>
      <c r="W111" s="392"/>
      <c r="X111" s="392"/>
      <c r="Y111" s="392"/>
      <c r="Z111" s="392"/>
      <c r="AA111" s="404"/>
      <c r="AB111" s="516"/>
      <c r="AC111" s="516"/>
      <c r="AD111" s="516"/>
      <c r="AE111" s="516"/>
      <c r="AF111" s="516"/>
      <c r="AG111" s="516"/>
      <c r="AH111" s="516"/>
    </row>
    <row r="112" spans="1:34" s="541" customFormat="1" ht="12" customHeight="1">
      <c r="A112" s="515"/>
      <c r="B112" s="515"/>
      <c r="C112" s="610" t="s">
        <v>745</v>
      </c>
      <c r="D112" s="422"/>
      <c r="E112" s="611" t="str">
        <f>IF(SUM(H112:H116)=0,"n.v.t.","")</f>
        <v>n.v.t.</v>
      </c>
      <c r="F112" s="422"/>
      <c r="G112" s="422"/>
      <c r="H112" s="599"/>
      <c r="I112" s="599"/>
      <c r="J112" s="530"/>
      <c r="K112" s="600"/>
      <c r="L112" s="600"/>
      <c r="M112" s="600"/>
      <c r="N112" s="600"/>
      <c r="O112" s="600"/>
      <c r="P112" s="600"/>
      <c r="Q112" s="459"/>
      <c r="R112" s="589"/>
      <c r="S112" s="529"/>
      <c r="T112" s="516"/>
      <c r="U112" s="516"/>
      <c r="V112" s="507"/>
      <c r="W112" s="516"/>
      <c r="X112" s="516"/>
      <c r="Y112" s="516"/>
      <c r="Z112" s="516"/>
      <c r="AB112" s="516"/>
      <c r="AC112" s="516"/>
      <c r="AD112" s="516"/>
      <c r="AE112" s="516"/>
      <c r="AF112" s="516"/>
      <c r="AG112" s="516"/>
      <c r="AH112" s="516"/>
    </row>
    <row r="113" spans="1:34" s="541" customFormat="1" ht="12" hidden="1" customHeight="1">
      <c r="B113" s="515"/>
      <c r="C113" s="464" t="s">
        <v>140</v>
      </c>
      <c r="D113" s="733"/>
      <c r="E113" s="566"/>
      <c r="F113" s="584" t="str">
        <f>IF($S$16=1,"NT","MT")</f>
        <v>MT</v>
      </c>
      <c r="G113" s="731" t="s">
        <v>140</v>
      </c>
      <c r="H113" s="565">
        <v>0</v>
      </c>
      <c r="I113" s="811" t="s">
        <v>251</v>
      </c>
      <c r="J113" s="811"/>
      <c r="K113" s="585">
        <v>0</v>
      </c>
      <c r="L113" s="819" t="str">
        <f>IF(AND(S$16=1,S$17=2),"",IF(S$16=2,"",IF(K113=0,"",H113/(K113/1000))))</f>
        <v/>
      </c>
      <c r="M113" s="819"/>
      <c r="N113" s="816" t="s">
        <v>268</v>
      </c>
      <c r="O113" s="816"/>
      <c r="P113" s="586" t="str">
        <f>IF(K113=0,"-",INDEX('data roosters'!F:J,MATCH(N113,'data roosters'!F:F,0),2)*(K113/1000))</f>
        <v>-</v>
      </c>
      <c r="Q113" s="525" t="str">
        <f>IF(AND($S$16=1,$S$17=2),IF(OR(H113&lt;&gt;0,P113&lt;&gt;"-"),"","verbergen"),IF(H113&lt;&gt;0,"","verbergen"))</f>
        <v>verbergen</v>
      </c>
      <c r="R113" s="612"/>
      <c r="S113" s="529"/>
      <c r="T113" s="516"/>
      <c r="U113" s="516"/>
      <c r="V113" s="507"/>
      <c r="W113" s="516"/>
      <c r="X113" s="516"/>
      <c r="Y113" s="516"/>
      <c r="Z113" s="516"/>
      <c r="AB113" s="516"/>
      <c r="AC113" s="516"/>
      <c r="AD113" s="516"/>
      <c r="AE113" s="516"/>
      <c r="AF113" s="515"/>
      <c r="AG113" s="516"/>
      <c r="AH113" s="516"/>
    </row>
    <row r="114" spans="1:34" s="541" customFormat="1" ht="12" hidden="1" customHeight="1">
      <c r="B114" s="515"/>
      <c r="C114" s="464" t="s">
        <v>140</v>
      </c>
      <c r="D114" s="733"/>
      <c r="E114" s="566"/>
      <c r="F114" s="584" t="str">
        <f>IF($S$16=1,"NT","MT")</f>
        <v>MT</v>
      </c>
      <c r="G114" s="731" t="s">
        <v>140</v>
      </c>
      <c r="H114" s="565">
        <v>0</v>
      </c>
      <c r="I114" s="811" t="s">
        <v>251</v>
      </c>
      <c r="J114" s="811"/>
      <c r="K114" s="585">
        <v>0</v>
      </c>
      <c r="L114" s="819" t="str">
        <f>IF(AND(S$16=1,S$17=2),"",IF(S$16=2,"",IF(K114=0,"",H114/(K114/1000))))</f>
        <v/>
      </c>
      <c r="M114" s="819"/>
      <c r="N114" s="816" t="s">
        <v>268</v>
      </c>
      <c r="O114" s="816"/>
      <c r="P114" s="586" t="str">
        <f>IF(K114=0,"-",INDEX('data roosters'!F:J,MATCH(N114,'data roosters'!F:F,0),2)*(K114/1000))</f>
        <v>-</v>
      </c>
      <c r="Q114" s="525" t="str">
        <f t="shared" ref="Q114:Q116" si="23">IF(AND($S$16=1,$S$17=2),IF(OR(H114&lt;&gt;0,P114&lt;&gt;"-"),"","verbergen"),IF(H114&lt;&gt;0,"","verbergen"))</f>
        <v>verbergen</v>
      </c>
      <c r="R114" s="589"/>
      <c r="S114" s="529"/>
      <c r="T114" s="516"/>
      <c r="U114" s="516"/>
      <c r="V114" s="507"/>
      <c r="W114" s="516"/>
      <c r="X114" s="516"/>
      <c r="Y114" s="516"/>
      <c r="Z114" s="516"/>
      <c r="AB114" s="516"/>
      <c r="AC114" s="516"/>
      <c r="AD114" s="516"/>
      <c r="AE114" s="516"/>
      <c r="AF114" s="515"/>
      <c r="AG114" s="516"/>
      <c r="AH114" s="516"/>
    </row>
    <row r="115" spans="1:34" s="541" customFormat="1" ht="12" hidden="1" customHeight="1">
      <c r="B115" s="515"/>
      <c r="C115" s="464" t="s">
        <v>140</v>
      </c>
      <c r="D115" s="733"/>
      <c r="E115" s="566"/>
      <c r="F115" s="584" t="str">
        <f>IF($S$16=1,"NT","MT")</f>
        <v>MT</v>
      </c>
      <c r="G115" s="731" t="s">
        <v>140</v>
      </c>
      <c r="H115" s="565">
        <v>0</v>
      </c>
      <c r="I115" s="811" t="s">
        <v>251</v>
      </c>
      <c r="J115" s="811"/>
      <c r="K115" s="585">
        <v>0</v>
      </c>
      <c r="L115" s="819" t="str">
        <f>IF(AND(S$16=1,S$17=2),"",IF(S$16=2,"",IF(K115=0,"",H115/(K115/1000))))</f>
        <v/>
      </c>
      <c r="M115" s="819"/>
      <c r="N115" s="816" t="s">
        <v>268</v>
      </c>
      <c r="O115" s="816"/>
      <c r="P115" s="586" t="str">
        <f>IF(K115=0,"-",INDEX('data roosters'!F:J,MATCH(N115,'data roosters'!F:F,0),2)*(K115/1000))</f>
        <v>-</v>
      </c>
      <c r="Q115" s="525" t="str">
        <f t="shared" si="23"/>
        <v>verbergen</v>
      </c>
      <c r="R115" s="589"/>
      <c r="S115" s="529"/>
      <c r="T115" s="516"/>
      <c r="U115" s="516"/>
      <c r="V115" s="507"/>
      <c r="W115" s="516"/>
      <c r="X115" s="516"/>
      <c r="Y115" s="516"/>
      <c r="Z115" s="516"/>
      <c r="AB115" s="516"/>
      <c r="AC115" s="516"/>
      <c r="AD115" s="516"/>
      <c r="AE115" s="516"/>
      <c r="AF115" s="515"/>
      <c r="AG115" s="516"/>
      <c r="AH115" s="516"/>
    </row>
    <row r="116" spans="1:34" s="541" customFormat="1" ht="12" hidden="1" customHeight="1">
      <c r="B116" s="515"/>
      <c r="C116" s="464" t="s">
        <v>140</v>
      </c>
      <c r="D116" s="733"/>
      <c r="E116" s="566"/>
      <c r="F116" s="584" t="str">
        <f>IF($S$16=1,"NT","MT")</f>
        <v>MT</v>
      </c>
      <c r="G116" s="731" t="s">
        <v>140</v>
      </c>
      <c r="H116" s="565">
        <v>0</v>
      </c>
      <c r="I116" s="811" t="s">
        <v>251</v>
      </c>
      <c r="J116" s="811"/>
      <c r="K116" s="585">
        <v>0</v>
      </c>
      <c r="L116" s="819" t="str">
        <f>IF(AND(S$16=1,S$17=2),"",IF(S$16=2,"",IF(K116=0,"",H116/(K116/1000))))</f>
        <v/>
      </c>
      <c r="M116" s="819"/>
      <c r="N116" s="816" t="s">
        <v>268</v>
      </c>
      <c r="O116" s="816"/>
      <c r="P116" s="586" t="str">
        <f>IF(K116=0,"-",INDEX('data roosters'!F:J,MATCH(N116,'data roosters'!F:F,0),2)*(K116/1000))</f>
        <v>-</v>
      </c>
      <c r="Q116" s="525" t="str">
        <f t="shared" si="23"/>
        <v>verbergen</v>
      </c>
      <c r="R116" s="589"/>
      <c r="S116" s="529"/>
      <c r="T116" s="516"/>
      <c r="U116" s="516"/>
      <c r="V116" s="507"/>
      <c r="W116" s="516"/>
      <c r="X116" s="516"/>
      <c r="Y116" s="516"/>
      <c r="Z116" s="516"/>
      <c r="AB116" s="516"/>
      <c r="AC116" s="516"/>
      <c r="AD116" s="516"/>
      <c r="AE116" s="516"/>
      <c r="AF116" s="515"/>
      <c r="AG116" s="516"/>
      <c r="AH116" s="516"/>
    </row>
    <row r="117" spans="1:34" s="541" customFormat="1" ht="12" customHeight="1">
      <c r="B117" s="590"/>
      <c r="C117" s="610"/>
      <c r="D117" s="733"/>
      <c r="E117" s="566"/>
      <c r="F117" s="825"/>
      <c r="G117" s="825"/>
      <c r="H117" s="825"/>
      <c r="I117" s="404"/>
      <c r="J117" s="613"/>
      <c r="K117" s="422"/>
      <c r="L117" s="614"/>
      <c r="M117" s="826"/>
      <c r="N117" s="826"/>
      <c r="O117" s="565"/>
      <c r="P117" s="615"/>
      <c r="Q117" s="459"/>
      <c r="R117" s="589"/>
      <c r="S117" s="529"/>
      <c r="T117" s="516"/>
      <c r="U117" s="516"/>
      <c r="V117" s="547"/>
      <c r="W117" s="516"/>
      <c r="X117" s="516"/>
      <c r="Y117" s="516"/>
      <c r="Z117" s="516"/>
      <c r="AB117" s="516"/>
      <c r="AC117" s="516"/>
      <c r="AD117" s="516"/>
      <c r="AE117" s="516"/>
      <c r="AF117" s="515"/>
      <c r="AG117" s="516"/>
      <c r="AH117" s="516"/>
    </row>
    <row r="118" spans="1:34" s="518" customFormat="1" ht="15" customHeight="1">
      <c r="A118" s="515"/>
      <c r="B118" s="515"/>
      <c r="C118" s="457" t="s">
        <v>1086</v>
      </c>
      <c r="D118" s="575"/>
      <c r="E118" s="575"/>
      <c r="F118" s="575"/>
      <c r="G118" s="575"/>
      <c r="H118" s="575"/>
      <c r="I118" s="575"/>
      <c r="J118" s="575"/>
      <c r="K118" s="575"/>
      <c r="L118" s="575"/>
      <c r="M118" s="575"/>
      <c r="N118" s="575"/>
      <c r="O118" s="575"/>
      <c r="P118" s="575"/>
      <c r="Q118" s="516"/>
      <c r="R118" s="616"/>
      <c r="S118" s="516"/>
      <c r="T118" s="521"/>
      <c r="U118" s="516"/>
      <c r="V118" s="517"/>
      <c r="W118" s="517"/>
      <c r="X118" s="517"/>
      <c r="Y118" s="517"/>
      <c r="Z118" s="517"/>
      <c r="AA118" s="517"/>
      <c r="AB118" s="517"/>
      <c r="AC118" s="524"/>
      <c r="AD118" s="517"/>
      <c r="AE118" s="517"/>
      <c r="AF118" s="517"/>
    </row>
    <row r="119" spans="1:34" s="518" customFormat="1" ht="12.75" hidden="1" customHeight="1">
      <c r="A119" s="515"/>
      <c r="B119" s="515"/>
      <c r="C119" s="576"/>
      <c r="D119" s="576"/>
      <c r="E119" s="576"/>
      <c r="F119" s="576"/>
      <c r="G119" s="576"/>
      <c r="H119" s="577"/>
      <c r="I119" s="577"/>
      <c r="J119" s="577"/>
      <c r="K119" s="577"/>
      <c r="L119" s="577"/>
      <c r="M119" s="577"/>
      <c r="N119" s="577"/>
      <c r="O119" s="577"/>
      <c r="P119" s="577"/>
      <c r="Q119" s="522"/>
      <c r="R119" s="516"/>
      <c r="S119" s="516"/>
      <c r="T119" s="521"/>
      <c r="U119" s="516"/>
      <c r="V119" s="548"/>
      <c r="W119" s="548"/>
      <c r="X119" s="548"/>
      <c r="Y119" s="548"/>
      <c r="Z119" s="517"/>
      <c r="AA119" s="517"/>
      <c r="AB119" s="517"/>
      <c r="AC119" s="524"/>
      <c r="AD119" s="517"/>
      <c r="AE119" s="517"/>
      <c r="AF119" s="517"/>
    </row>
    <row r="120" spans="1:34" ht="15" customHeight="1">
      <c r="A120" s="492"/>
      <c r="B120" s="492"/>
      <c r="C120" s="579" t="s">
        <v>133</v>
      </c>
      <c r="D120" s="580"/>
      <c r="E120" s="580"/>
      <c r="F120" s="460" t="s">
        <v>653</v>
      </c>
      <c r="G120" s="736" t="s">
        <v>34</v>
      </c>
      <c r="H120" s="736" t="s">
        <v>1135</v>
      </c>
      <c r="I120" s="580"/>
      <c r="J120" s="580"/>
      <c r="K120" s="580"/>
      <c r="L120" s="580"/>
      <c r="M120" s="580"/>
      <c r="N120" s="580"/>
      <c r="O120" s="580"/>
      <c r="P120" s="580"/>
      <c r="Q120" s="507"/>
      <c r="R120" s="507"/>
      <c r="S120" s="507"/>
      <c r="T120" s="532"/>
      <c r="U120" s="507"/>
      <c r="V120" s="508"/>
      <c r="W120" s="508"/>
      <c r="X120" s="508"/>
      <c r="Y120" s="508"/>
      <c r="Z120" s="508"/>
      <c r="AA120" s="508"/>
      <c r="AB120" s="508"/>
      <c r="AC120" s="534"/>
      <c r="AD120" s="508"/>
      <c r="AE120" s="508"/>
      <c r="AF120" s="508"/>
    </row>
    <row r="121" spans="1:34" s="518" customFormat="1" ht="12" customHeight="1">
      <c r="A121" s="515"/>
      <c r="B121" s="515"/>
      <c r="C121" s="617" t="s">
        <v>728</v>
      </c>
      <c r="D121" s="404"/>
      <c r="E121" s="404"/>
      <c r="F121" s="618">
        <v>2</v>
      </c>
      <c r="G121" s="619">
        <f>F121*7</f>
        <v>14</v>
      </c>
      <c r="H121" s="620">
        <v>28</v>
      </c>
      <c r="I121" s="621"/>
      <c r="J121" s="622"/>
      <c r="K121" s="827"/>
      <c r="L121" s="827"/>
      <c r="M121" s="827"/>
      <c r="N121" s="827"/>
      <c r="O121" s="827"/>
      <c r="P121" s="827"/>
      <c r="Q121" s="525" t="str">
        <f t="shared" ref="Q121:Q126" si="24">IF(H121&gt;0,"","verbergen")</f>
        <v/>
      </c>
      <c r="R121" s="589"/>
      <c r="S121" s="529"/>
      <c r="T121" s="516"/>
      <c r="U121" s="516"/>
      <c r="V121" s="508"/>
      <c r="W121" s="517"/>
      <c r="X121" s="517"/>
      <c r="Y121" s="517"/>
      <c r="Z121" s="517"/>
      <c r="AA121" s="517"/>
      <c r="AB121" s="517"/>
      <c r="AC121" s="517"/>
      <c r="AD121" s="517"/>
      <c r="AE121" s="517"/>
      <c r="AF121" s="517"/>
      <c r="AG121" s="517"/>
      <c r="AH121" s="517"/>
    </row>
    <row r="122" spans="1:34" s="518" customFormat="1" ht="12" customHeight="1">
      <c r="A122" s="515"/>
      <c r="B122" s="590"/>
      <c r="C122" s="617" t="s">
        <v>729</v>
      </c>
      <c r="D122" s="404"/>
      <c r="E122" s="404"/>
      <c r="F122" s="618">
        <v>1</v>
      </c>
      <c r="G122" s="619">
        <f>F122*14</f>
        <v>14</v>
      </c>
      <c r="H122" s="620">
        <v>21</v>
      </c>
      <c r="I122" s="621"/>
      <c r="J122" s="622"/>
      <c r="K122" s="827"/>
      <c r="L122" s="827"/>
      <c r="M122" s="827"/>
      <c r="N122" s="827"/>
      <c r="O122" s="827"/>
      <c r="P122" s="827"/>
      <c r="Q122" s="525" t="str">
        <f t="shared" si="24"/>
        <v/>
      </c>
      <c r="R122" s="623"/>
      <c r="S122" s="624"/>
      <c r="T122" s="516"/>
      <c r="U122" s="516"/>
      <c r="V122" s="508"/>
      <c r="W122" s="517"/>
      <c r="X122" s="517"/>
      <c r="Y122" s="517"/>
      <c r="Z122" s="517"/>
      <c r="AA122" s="517"/>
      <c r="AB122" s="517"/>
      <c r="AC122" s="517"/>
      <c r="AD122" s="517"/>
      <c r="AE122" s="517"/>
      <c r="AF122" s="517"/>
    </row>
    <row r="123" spans="1:34" s="518" customFormat="1" ht="12" customHeight="1">
      <c r="A123" s="515"/>
      <c r="B123" s="515"/>
      <c r="C123" s="617" t="s">
        <v>727</v>
      </c>
      <c r="D123" s="404"/>
      <c r="E123" s="404"/>
      <c r="F123" s="618">
        <v>1</v>
      </c>
      <c r="G123" s="619">
        <f>F123*21</f>
        <v>21</v>
      </c>
      <c r="H123" s="620">
        <v>28</v>
      </c>
      <c r="I123" s="621"/>
      <c r="J123" s="622"/>
      <c r="K123" s="827"/>
      <c r="L123" s="827"/>
      <c r="M123" s="827"/>
      <c r="N123" s="827"/>
      <c r="O123" s="827"/>
      <c r="P123" s="827"/>
      <c r="Q123" s="525" t="str">
        <f t="shared" si="24"/>
        <v/>
      </c>
      <c r="R123" s="625"/>
      <c r="S123" s="624"/>
      <c r="T123" s="516"/>
      <c r="U123" s="516"/>
      <c r="V123" s="508"/>
      <c r="W123" s="517"/>
      <c r="X123" s="517"/>
      <c r="Y123" s="517"/>
      <c r="Z123" s="517"/>
      <c r="AA123" s="517"/>
      <c r="AB123" s="517"/>
      <c r="AC123" s="517"/>
      <c r="AD123" s="517"/>
      <c r="AE123" s="517"/>
      <c r="AF123" s="517"/>
    </row>
    <row r="124" spans="1:34" s="518" customFormat="1" ht="12" hidden="1" customHeight="1">
      <c r="A124" s="515"/>
      <c r="B124" s="515"/>
      <c r="C124" s="617" t="s">
        <v>140</v>
      </c>
      <c r="D124" s="404"/>
      <c r="E124" s="404"/>
      <c r="F124" s="626"/>
      <c r="G124" s="619" t="s">
        <v>268</v>
      </c>
      <c r="H124" s="620"/>
      <c r="I124" s="621"/>
      <c r="J124" s="622"/>
      <c r="K124" s="827"/>
      <c r="L124" s="827"/>
      <c r="M124" s="827"/>
      <c r="N124" s="827"/>
      <c r="O124" s="827"/>
      <c r="P124" s="827"/>
      <c r="Q124" s="525" t="str">
        <f t="shared" si="24"/>
        <v>verbergen</v>
      </c>
      <c r="R124" s="625"/>
      <c r="S124" s="624"/>
      <c r="T124" s="516"/>
      <c r="U124" s="516"/>
      <c r="V124" s="508"/>
      <c r="W124" s="517"/>
      <c r="X124" s="517"/>
      <c r="Y124" s="517"/>
      <c r="Z124" s="517"/>
      <c r="AA124" s="517"/>
      <c r="AB124" s="517"/>
      <c r="AC124" s="517"/>
      <c r="AD124" s="517"/>
      <c r="AE124" s="517"/>
      <c r="AF124" s="517"/>
    </row>
    <row r="125" spans="1:34" s="518" customFormat="1" ht="12" hidden="1" customHeight="1">
      <c r="A125" s="515"/>
      <c r="B125" s="515"/>
      <c r="C125" s="617" t="s">
        <v>140</v>
      </c>
      <c r="D125" s="404"/>
      <c r="E125" s="404"/>
      <c r="F125" s="626"/>
      <c r="G125" s="619" t="s">
        <v>268</v>
      </c>
      <c r="H125" s="620"/>
      <c r="I125" s="621"/>
      <c r="J125" s="622"/>
      <c r="K125" s="827"/>
      <c r="L125" s="827"/>
      <c r="M125" s="827"/>
      <c r="N125" s="827"/>
      <c r="O125" s="827"/>
      <c r="P125" s="827"/>
      <c r="Q125" s="525" t="str">
        <f t="shared" si="24"/>
        <v>verbergen</v>
      </c>
      <c r="R125" s="625"/>
      <c r="S125" s="624"/>
      <c r="T125" s="516"/>
      <c r="U125" s="516"/>
      <c r="V125" s="508"/>
      <c r="W125" s="517"/>
      <c r="X125" s="517"/>
      <c r="Y125" s="517"/>
      <c r="Z125" s="517"/>
      <c r="AA125" s="517"/>
      <c r="AB125" s="517"/>
      <c r="AC125" s="517"/>
      <c r="AD125" s="517"/>
      <c r="AE125" s="517"/>
      <c r="AF125" s="517"/>
    </row>
    <row r="126" spans="1:34" s="518" customFormat="1" ht="12" hidden="1" customHeight="1">
      <c r="A126" s="515"/>
      <c r="B126" s="515"/>
      <c r="C126" s="627" t="s">
        <v>140</v>
      </c>
      <c r="D126" s="628"/>
      <c r="E126" s="628"/>
      <c r="F126" s="629"/>
      <c r="G126" s="630" t="s">
        <v>268</v>
      </c>
      <c r="H126" s="631"/>
      <c r="I126" s="632"/>
      <c r="J126" s="633"/>
      <c r="K126" s="828"/>
      <c r="L126" s="828"/>
      <c r="M126" s="828"/>
      <c r="N126" s="828"/>
      <c r="O126" s="828"/>
      <c r="P126" s="828"/>
      <c r="Q126" s="525" t="str">
        <f t="shared" si="24"/>
        <v>verbergen</v>
      </c>
      <c r="R126" s="625"/>
      <c r="S126" s="624"/>
      <c r="T126" s="516"/>
      <c r="U126" s="516"/>
      <c r="V126" s="508"/>
      <c r="W126" s="517"/>
      <c r="X126" s="517"/>
      <c r="Y126" s="517"/>
      <c r="Z126" s="517"/>
      <c r="AA126" s="517"/>
      <c r="AB126" s="517"/>
      <c r="AC126" s="517"/>
      <c r="AD126" s="517"/>
      <c r="AE126" s="517"/>
      <c r="AF126" s="517"/>
    </row>
    <row r="127" spans="1:34" s="518" customFormat="1" ht="12" customHeight="1">
      <c r="A127" s="515"/>
      <c r="B127" s="515"/>
      <c r="C127" s="634" t="s">
        <v>16</v>
      </c>
      <c r="D127" s="592"/>
      <c r="E127" s="592"/>
      <c r="F127" s="635"/>
      <c r="G127" s="636">
        <f>SUM(G121:G126)</f>
        <v>49</v>
      </c>
      <c r="H127" s="636">
        <f>SUM(H121:H126)</f>
        <v>77</v>
      </c>
      <c r="I127" s="637"/>
      <c r="J127" s="732" t="str">
        <f>IF(M127="","","toe- en afvoer niet in balans")</f>
        <v/>
      </c>
      <c r="K127" s="638"/>
      <c r="L127" s="639"/>
      <c r="M127" s="829" t="str">
        <f>IF(SUMIF(F83:F117,R127,H83:H117)-H127-H139=0,"",SUMIF(F83:F117,R127,H83:H117)-H127-H139)</f>
        <v/>
      </c>
      <c r="N127" s="830"/>
      <c r="O127" s="830"/>
      <c r="P127" s="830"/>
      <c r="Q127" s="525"/>
      <c r="R127" s="625" t="str">
        <f>IF(OR(RIGHT(LEFT(D74,9),1)="A",RIGHT(LEFT(D74,9),1)="C"),"NT","MT")</f>
        <v>MT</v>
      </c>
      <c r="S127" s="624"/>
      <c r="T127" s="516"/>
      <c r="U127" s="516"/>
      <c r="V127" s="508"/>
      <c r="W127" s="517"/>
      <c r="X127" s="517"/>
      <c r="Y127" s="517"/>
      <c r="Z127" s="517"/>
      <c r="AA127" s="517"/>
      <c r="AB127" s="517"/>
      <c r="AC127" s="517"/>
      <c r="AD127" s="517"/>
      <c r="AE127" s="517"/>
      <c r="AF127" s="517"/>
    </row>
    <row r="128" spans="1:34" s="518" customFormat="1" ht="12" customHeight="1">
      <c r="A128" s="515"/>
      <c r="B128" s="515"/>
      <c r="C128" s="640"/>
      <c r="D128" s="831"/>
      <c r="E128" s="831"/>
      <c r="F128" s="641"/>
      <c r="G128" s="642">
        <f>G127*3.6</f>
        <v>176.4</v>
      </c>
      <c r="H128" s="642">
        <f>H127*3.6</f>
        <v>277.2</v>
      </c>
      <c r="I128" s="643"/>
      <c r="J128" s="404"/>
      <c r="K128" s="422"/>
      <c r="L128" s="614"/>
      <c r="M128" s="826"/>
      <c r="N128" s="826"/>
      <c r="O128" s="565"/>
      <c r="P128" s="615"/>
      <c r="Q128" s="525"/>
      <c r="R128" s="625"/>
      <c r="S128" s="624"/>
      <c r="T128" s="516"/>
      <c r="U128" s="516"/>
      <c r="V128" s="508"/>
      <c r="W128" s="517"/>
      <c r="X128" s="517"/>
      <c r="Y128" s="517"/>
      <c r="Z128" s="517"/>
      <c r="AA128" s="517"/>
      <c r="AB128" s="517"/>
      <c r="AC128" s="517"/>
      <c r="AD128" s="517"/>
      <c r="AE128" s="517"/>
      <c r="AF128" s="517"/>
    </row>
    <row r="129" spans="1:32" s="518" customFormat="1" ht="12" customHeight="1">
      <c r="A129" s="515"/>
      <c r="B129" s="515"/>
      <c r="C129" s="640"/>
      <c r="D129" s="733"/>
      <c r="E129" s="733"/>
      <c r="F129" s="641"/>
      <c r="G129" s="642"/>
      <c r="H129" s="731"/>
      <c r="I129" s="731"/>
      <c r="J129" s="404"/>
      <c r="K129" s="422"/>
      <c r="L129" s="614"/>
      <c r="M129" s="731"/>
      <c r="N129" s="731"/>
      <c r="O129" s="565"/>
      <c r="P129" s="615"/>
      <c r="Q129" s="525"/>
      <c r="R129" s="625"/>
      <c r="S129" s="624"/>
      <c r="T129" s="516"/>
      <c r="U129" s="516"/>
      <c r="V129" s="508"/>
      <c r="W129" s="517"/>
      <c r="X129" s="517"/>
      <c r="Y129" s="517"/>
      <c r="Z129" s="517"/>
      <c r="AA129" s="517"/>
      <c r="AB129" s="517"/>
      <c r="AC129" s="517"/>
      <c r="AD129" s="517"/>
      <c r="AE129" s="517"/>
      <c r="AF129" s="517"/>
    </row>
    <row r="130" spans="1:32" s="518" customFormat="1" ht="12" hidden="1" customHeight="1">
      <c r="A130" s="515"/>
      <c r="B130" s="515"/>
      <c r="C130" s="457" t="s">
        <v>1087</v>
      </c>
      <c r="D130" s="457"/>
      <c r="E130" s="457"/>
      <c r="F130" s="457"/>
      <c r="G130" s="457"/>
      <c r="H130" s="457"/>
      <c r="I130" s="457"/>
      <c r="J130" s="457"/>
      <c r="K130" s="457"/>
      <c r="L130" s="457"/>
      <c r="M130" s="457"/>
      <c r="N130" s="457"/>
      <c r="O130" s="457"/>
      <c r="P130" s="457"/>
      <c r="Q130" s="525" t="str">
        <f>IF(D77="n.v.t.","verbergen","")</f>
        <v>verbergen</v>
      </c>
      <c r="R130" s="625"/>
      <c r="S130" s="624"/>
      <c r="T130" s="516"/>
      <c r="U130" s="516"/>
      <c r="V130" s="508"/>
      <c r="W130" s="517"/>
      <c r="X130" s="517"/>
      <c r="Y130" s="517"/>
      <c r="Z130" s="517"/>
      <c r="AA130" s="517"/>
      <c r="AB130" s="517"/>
      <c r="AC130" s="517"/>
      <c r="AD130" s="517"/>
      <c r="AE130" s="517"/>
      <c r="AF130" s="517"/>
    </row>
    <row r="131" spans="1:32" s="518" customFormat="1" ht="12" hidden="1" customHeight="1">
      <c r="A131" s="515"/>
      <c r="B131" s="515"/>
      <c r="C131" s="458"/>
      <c r="D131" s="458"/>
      <c r="E131" s="458"/>
      <c r="F131" s="458"/>
      <c r="G131" s="458"/>
      <c r="H131" s="459"/>
      <c r="I131" s="459"/>
      <c r="J131" s="459"/>
      <c r="K131" s="459"/>
      <c r="L131" s="459"/>
      <c r="M131" s="459"/>
      <c r="N131" s="459"/>
      <c r="O131" s="459"/>
      <c r="P131" s="459"/>
      <c r="Q131" s="525"/>
      <c r="R131" s="625"/>
      <c r="S131" s="624"/>
      <c r="T131" s="516"/>
      <c r="U131" s="516"/>
      <c r="V131" s="508"/>
      <c r="W131" s="517"/>
      <c r="X131" s="517"/>
      <c r="Y131" s="517"/>
      <c r="Z131" s="517"/>
      <c r="AA131" s="517"/>
      <c r="AB131" s="517"/>
      <c r="AC131" s="517"/>
      <c r="AD131" s="517"/>
      <c r="AE131" s="517"/>
      <c r="AF131" s="517"/>
    </row>
    <row r="132" spans="1:32" s="518" customFormat="1" ht="12" hidden="1" customHeight="1">
      <c r="A132" s="515"/>
      <c r="B132" s="515"/>
      <c r="C132" s="579" t="s">
        <v>133</v>
      </c>
      <c r="D132" s="580"/>
      <c r="E132" s="580"/>
      <c r="F132" s="460" t="s">
        <v>653</v>
      </c>
      <c r="G132" s="736" t="s">
        <v>34</v>
      </c>
      <c r="H132" s="736" t="str">
        <f>IF(S16=3,"","aanwezig")</f>
        <v>aanwezig</v>
      </c>
      <c r="I132" s="580"/>
      <c r="J132" s="580"/>
      <c r="K132" s="580"/>
      <c r="L132" s="580"/>
      <c r="M132" s="580"/>
      <c r="N132" s="580"/>
      <c r="O132" s="580"/>
      <c r="P132" s="580"/>
      <c r="Q132" s="525" t="str">
        <f>IF(D77="n.v.t.","verbergen","")</f>
        <v>verbergen</v>
      </c>
      <c r="R132" s="625"/>
      <c r="S132" s="624"/>
      <c r="T132" s="516"/>
      <c r="U132" s="516"/>
      <c r="V132" s="508"/>
      <c r="W132" s="517"/>
      <c r="X132" s="517"/>
      <c r="Y132" s="517"/>
      <c r="Z132" s="517"/>
      <c r="AA132" s="517"/>
      <c r="AB132" s="517"/>
      <c r="AC132" s="517"/>
      <c r="AD132" s="517"/>
      <c r="AE132" s="517"/>
      <c r="AF132" s="517"/>
    </row>
    <row r="133" spans="1:32" s="518" customFormat="1" ht="12" customHeight="1">
      <c r="A133" s="515"/>
      <c r="B133" s="515"/>
      <c r="C133" s="617" t="s">
        <v>739</v>
      </c>
      <c r="D133" s="404"/>
      <c r="E133" s="404"/>
      <c r="F133" s="618">
        <v>1</v>
      </c>
      <c r="G133" s="619">
        <f>F133*7</f>
        <v>7</v>
      </c>
      <c r="H133" s="620">
        <f>G133</f>
        <v>7</v>
      </c>
      <c r="I133" s="621"/>
      <c r="J133" s="622"/>
      <c r="K133" s="827"/>
      <c r="L133" s="827"/>
      <c r="M133" s="827"/>
      <c r="N133" s="827"/>
      <c r="O133" s="827"/>
      <c r="P133" s="827"/>
      <c r="Q133" s="525" t="str">
        <f>IF(H133&gt;0,"","verbergen")</f>
        <v/>
      </c>
      <c r="R133" s="625"/>
      <c r="S133" s="624"/>
      <c r="T133" s="516"/>
      <c r="U133" s="516"/>
      <c r="V133" s="508"/>
      <c r="W133" s="517"/>
      <c r="X133" s="517"/>
      <c r="Y133" s="517"/>
      <c r="Z133" s="517"/>
      <c r="AA133" s="517"/>
      <c r="AB133" s="517"/>
      <c r="AC133" s="517"/>
      <c r="AD133" s="517"/>
      <c r="AE133" s="517"/>
      <c r="AF133" s="517"/>
    </row>
    <row r="134" spans="1:32" s="518" customFormat="1" ht="12" hidden="1" customHeight="1">
      <c r="A134" s="515"/>
      <c r="B134" s="515"/>
      <c r="C134" s="617" t="s">
        <v>739</v>
      </c>
      <c r="D134" s="404"/>
      <c r="E134" s="404"/>
      <c r="F134" s="618">
        <v>0</v>
      </c>
      <c r="G134" s="619">
        <f>F134*14</f>
        <v>0</v>
      </c>
      <c r="H134" s="620">
        <f>G134</f>
        <v>0</v>
      </c>
      <c r="I134" s="621"/>
      <c r="J134" s="622"/>
      <c r="K134" s="827"/>
      <c r="L134" s="827"/>
      <c r="M134" s="827"/>
      <c r="N134" s="827"/>
      <c r="O134" s="827"/>
      <c r="P134" s="827"/>
      <c r="Q134" s="525" t="str">
        <f t="shared" ref="Q134:Q138" si="25">IF(H134&gt;0,"","verbergen")</f>
        <v>verbergen</v>
      </c>
      <c r="R134" s="625"/>
      <c r="S134" s="624"/>
      <c r="T134" s="516"/>
      <c r="U134" s="516"/>
      <c r="V134" s="508"/>
      <c r="W134" s="517"/>
      <c r="X134" s="517"/>
      <c r="Y134" s="517"/>
      <c r="Z134" s="517"/>
      <c r="AA134" s="517"/>
      <c r="AB134" s="517"/>
      <c r="AC134" s="517"/>
      <c r="AD134" s="517"/>
      <c r="AE134" s="517"/>
      <c r="AF134" s="517"/>
    </row>
    <row r="135" spans="1:32" s="518" customFormat="1" ht="12" customHeight="1">
      <c r="A135" s="515"/>
      <c r="B135" s="515"/>
      <c r="C135" s="617" t="s">
        <v>740</v>
      </c>
      <c r="D135" s="404"/>
      <c r="E135" s="404"/>
      <c r="F135" s="618">
        <v>1</v>
      </c>
      <c r="G135" s="619">
        <f>F135*7</f>
        <v>7</v>
      </c>
      <c r="H135" s="620">
        <f>G135</f>
        <v>7</v>
      </c>
      <c r="I135" s="621"/>
      <c r="J135" s="622"/>
      <c r="K135" s="827"/>
      <c r="L135" s="827"/>
      <c r="M135" s="827"/>
      <c r="N135" s="827"/>
      <c r="O135" s="827"/>
      <c r="P135" s="827"/>
      <c r="Q135" s="525" t="str">
        <f t="shared" si="25"/>
        <v/>
      </c>
      <c r="R135" s="625"/>
      <c r="S135" s="624"/>
      <c r="T135" s="516"/>
      <c r="U135" s="516"/>
      <c r="V135" s="508"/>
      <c r="W135" s="517"/>
      <c r="X135" s="517"/>
      <c r="Y135" s="517"/>
      <c r="Z135" s="517"/>
      <c r="AA135" s="517"/>
      <c r="AB135" s="517"/>
      <c r="AC135" s="517"/>
      <c r="AD135" s="517"/>
      <c r="AE135" s="517"/>
      <c r="AF135" s="517"/>
    </row>
    <row r="136" spans="1:32" s="518" customFormat="1" ht="12" hidden="1" customHeight="1">
      <c r="A136" s="515"/>
      <c r="B136" s="515"/>
      <c r="C136" s="617" t="s">
        <v>140</v>
      </c>
      <c r="D136" s="404"/>
      <c r="E136" s="404"/>
      <c r="F136" s="626"/>
      <c r="G136" s="619" t="s">
        <v>268</v>
      </c>
      <c r="H136" s="620"/>
      <c r="I136" s="621"/>
      <c r="J136" s="622"/>
      <c r="K136" s="827"/>
      <c r="L136" s="827"/>
      <c r="M136" s="827"/>
      <c r="N136" s="827"/>
      <c r="O136" s="827"/>
      <c r="P136" s="827"/>
      <c r="Q136" s="525" t="str">
        <f t="shared" si="25"/>
        <v>verbergen</v>
      </c>
      <c r="R136" s="625"/>
      <c r="S136" s="624"/>
      <c r="T136" s="516"/>
      <c r="U136" s="516"/>
      <c r="V136" s="508"/>
      <c r="W136" s="517"/>
      <c r="X136" s="517"/>
      <c r="Y136" s="517"/>
      <c r="Z136" s="517"/>
      <c r="AA136" s="517"/>
      <c r="AB136" s="517"/>
      <c r="AC136" s="517"/>
      <c r="AD136" s="517"/>
      <c r="AE136" s="517"/>
      <c r="AF136" s="517"/>
    </row>
    <row r="137" spans="1:32" s="518" customFormat="1" ht="12" hidden="1" customHeight="1">
      <c r="A137" s="515"/>
      <c r="B137" s="515"/>
      <c r="C137" s="617" t="s">
        <v>140</v>
      </c>
      <c r="D137" s="404"/>
      <c r="E137" s="404"/>
      <c r="F137" s="626"/>
      <c r="G137" s="619" t="s">
        <v>268</v>
      </c>
      <c r="H137" s="620"/>
      <c r="I137" s="621"/>
      <c r="J137" s="622"/>
      <c r="K137" s="827"/>
      <c r="L137" s="827"/>
      <c r="M137" s="827"/>
      <c r="N137" s="827"/>
      <c r="O137" s="827"/>
      <c r="P137" s="827"/>
      <c r="Q137" s="525" t="str">
        <f t="shared" si="25"/>
        <v>verbergen</v>
      </c>
      <c r="R137" s="625"/>
      <c r="S137" s="624"/>
      <c r="T137" s="516"/>
      <c r="U137" s="516"/>
      <c r="V137" s="508"/>
      <c r="W137" s="517"/>
      <c r="X137" s="517"/>
      <c r="Y137" s="517"/>
      <c r="Z137" s="517"/>
      <c r="AA137" s="517"/>
      <c r="AB137" s="517"/>
      <c r="AC137" s="517"/>
      <c r="AD137" s="517"/>
      <c r="AE137" s="517"/>
      <c r="AF137" s="517"/>
    </row>
    <row r="138" spans="1:32" s="518" customFormat="1" ht="12" hidden="1" customHeight="1">
      <c r="A138" s="515"/>
      <c r="B138" s="515"/>
      <c r="C138" s="627" t="s">
        <v>140</v>
      </c>
      <c r="D138" s="628"/>
      <c r="E138" s="628"/>
      <c r="F138" s="629"/>
      <c r="G138" s="630" t="s">
        <v>268</v>
      </c>
      <c r="H138" s="631"/>
      <c r="I138" s="632"/>
      <c r="J138" s="633"/>
      <c r="K138" s="828"/>
      <c r="L138" s="828"/>
      <c r="M138" s="828"/>
      <c r="N138" s="828"/>
      <c r="O138" s="828"/>
      <c r="P138" s="828"/>
      <c r="Q138" s="525" t="str">
        <f t="shared" si="25"/>
        <v>verbergen</v>
      </c>
      <c r="R138" s="625"/>
      <c r="S138" s="624"/>
      <c r="T138" s="516"/>
      <c r="U138" s="516"/>
      <c r="V138" s="508"/>
      <c r="W138" s="517"/>
      <c r="X138" s="517"/>
      <c r="Y138" s="517"/>
      <c r="Z138" s="517"/>
      <c r="AA138" s="517"/>
      <c r="AB138" s="517"/>
      <c r="AC138" s="517"/>
      <c r="AD138" s="517"/>
      <c r="AE138" s="517"/>
      <c r="AF138" s="517"/>
    </row>
    <row r="139" spans="1:32" s="518" customFormat="1" ht="12" hidden="1" customHeight="1">
      <c r="A139" s="515"/>
      <c r="B139" s="515"/>
      <c r="C139" s="634" t="s">
        <v>16</v>
      </c>
      <c r="D139" s="592"/>
      <c r="E139" s="592"/>
      <c r="F139" s="635"/>
      <c r="G139" s="636">
        <f>SUM(G133:G138)</f>
        <v>14</v>
      </c>
      <c r="H139" s="636">
        <f>SUM(H133:H138)</f>
        <v>14</v>
      </c>
      <c r="I139" s="637"/>
      <c r="J139" s="732"/>
      <c r="K139" s="638"/>
      <c r="L139" s="639"/>
      <c r="M139" s="830"/>
      <c r="N139" s="830"/>
      <c r="O139" s="830"/>
      <c r="P139" s="830"/>
      <c r="Q139" s="525" t="str">
        <f>IF(D77="n.v.t.","verbergen","")</f>
        <v>verbergen</v>
      </c>
      <c r="R139" s="625"/>
      <c r="S139" s="624"/>
      <c r="T139" s="516"/>
      <c r="U139" s="516"/>
      <c r="V139" s="508"/>
      <c r="W139" s="517"/>
      <c r="X139" s="517"/>
      <c r="Y139" s="517"/>
      <c r="Z139" s="517"/>
      <c r="AA139" s="517"/>
      <c r="AB139" s="517"/>
      <c r="AC139" s="517"/>
      <c r="AD139" s="517"/>
      <c r="AE139" s="517"/>
      <c r="AF139" s="517"/>
    </row>
    <row r="140" spans="1:32" s="518" customFormat="1" ht="12" hidden="1" customHeight="1">
      <c r="A140" s="515"/>
      <c r="B140" s="515"/>
      <c r="C140" s="640"/>
      <c r="D140" s="831"/>
      <c r="E140" s="831"/>
      <c r="F140" s="641"/>
      <c r="G140" s="642">
        <f>G139*3.6</f>
        <v>50.4</v>
      </c>
      <c r="H140" s="642">
        <f>H139*3.6</f>
        <v>50.4</v>
      </c>
      <c r="I140" s="643"/>
      <c r="J140" s="404"/>
      <c r="K140" s="422"/>
      <c r="L140" s="614"/>
      <c r="M140" s="826"/>
      <c r="N140" s="826"/>
      <c r="O140" s="565"/>
      <c r="P140" s="615"/>
      <c r="Q140" s="525" t="str">
        <f>IF(D77="n.v.t.","verbergen","")</f>
        <v>verbergen</v>
      </c>
      <c r="R140" s="625"/>
      <c r="S140" s="624"/>
      <c r="T140" s="516"/>
      <c r="U140" s="516"/>
      <c r="V140" s="508"/>
      <c r="W140" s="517"/>
      <c r="X140" s="517"/>
      <c r="Y140" s="517"/>
      <c r="Z140" s="517"/>
      <c r="AA140" s="517"/>
      <c r="AB140" s="517"/>
      <c r="AC140" s="517"/>
      <c r="AD140" s="517"/>
      <c r="AE140" s="517"/>
      <c r="AF140" s="517"/>
    </row>
    <row r="141" spans="1:32" s="518" customFormat="1" ht="15" customHeight="1">
      <c r="A141" s="515"/>
      <c r="B141" s="515"/>
      <c r="C141" s="644" t="s">
        <v>1088</v>
      </c>
      <c r="D141" s="645"/>
      <c r="E141" s="645"/>
      <c r="F141" s="645"/>
      <c r="G141" s="645"/>
      <c r="H141" s="645"/>
      <c r="I141" s="645"/>
      <c r="J141" s="645"/>
      <c r="K141" s="645"/>
      <c r="L141" s="645"/>
      <c r="M141" s="645"/>
      <c r="N141" s="645"/>
      <c r="O141" s="645"/>
      <c r="P141" s="645"/>
      <c r="Q141" s="516" t="str">
        <f>IF(D72="berekening op basis van minimale capaciteit","verbergen","")</f>
        <v/>
      </c>
      <c r="R141" s="616"/>
      <c r="S141" s="516"/>
      <c r="T141" s="521"/>
      <c r="U141" s="516"/>
      <c r="V141" s="517"/>
      <c r="W141" s="517"/>
      <c r="X141" s="517"/>
      <c r="Y141" s="517"/>
      <c r="Z141" s="517"/>
      <c r="AA141" s="517"/>
      <c r="AB141" s="517"/>
      <c r="AC141" s="524"/>
      <c r="AD141" s="517"/>
      <c r="AE141" s="517"/>
      <c r="AF141" s="517"/>
    </row>
    <row r="142" spans="1:32" s="518" customFormat="1" ht="12.75" hidden="1" customHeight="1">
      <c r="A142" s="515"/>
      <c r="B142" s="515"/>
      <c r="C142" s="576"/>
      <c r="D142" s="576"/>
      <c r="E142" s="576"/>
      <c r="F142" s="576"/>
      <c r="G142" s="576"/>
      <c r="H142" s="577"/>
      <c r="I142" s="577"/>
      <c r="J142" s="577"/>
      <c r="K142" s="577"/>
      <c r="L142" s="577"/>
      <c r="M142" s="577"/>
      <c r="N142" s="577"/>
      <c r="O142" s="577"/>
      <c r="P142" s="577"/>
      <c r="Q142" s="522"/>
      <c r="R142" s="516"/>
      <c r="S142" s="516"/>
      <c r="T142" s="521"/>
      <c r="U142" s="516"/>
      <c r="V142" s="548"/>
      <c r="W142" s="548"/>
      <c r="X142" s="548"/>
      <c r="Y142" s="548"/>
      <c r="Z142" s="517"/>
      <c r="AA142" s="517"/>
      <c r="AB142" s="517"/>
      <c r="AC142" s="524"/>
      <c r="AD142" s="517"/>
      <c r="AE142" s="517"/>
      <c r="AF142" s="517"/>
    </row>
    <row r="143" spans="1:32" ht="15" customHeight="1">
      <c r="A143" s="492"/>
      <c r="B143" s="492"/>
      <c r="C143" s="579" t="s">
        <v>730</v>
      </c>
      <c r="D143" s="580"/>
      <c r="E143" s="646" t="s">
        <v>731</v>
      </c>
      <c r="F143" s="580"/>
      <c r="G143" s="580"/>
      <c r="H143" s="460" t="s">
        <v>732</v>
      </c>
      <c r="I143" s="832" t="s">
        <v>605</v>
      </c>
      <c r="J143" s="832"/>
      <c r="K143" s="580"/>
      <c r="L143" s="580"/>
      <c r="M143" s="580"/>
      <c r="N143" s="580"/>
      <c r="O143" s="580"/>
      <c r="P143" s="580"/>
      <c r="Q143" s="507" t="str">
        <f>IF(D72="berekening op basis van minimale capaciteit","verbergen","")</f>
        <v/>
      </c>
      <c r="R143" s="507"/>
      <c r="S143" s="507"/>
      <c r="T143" s="532"/>
      <c r="U143" s="507"/>
      <c r="V143" s="508"/>
      <c r="W143" s="508"/>
      <c r="X143" s="508"/>
      <c r="Y143" s="508"/>
      <c r="Z143" s="508"/>
      <c r="AA143" s="508"/>
      <c r="AB143" s="508"/>
      <c r="AC143" s="534"/>
      <c r="AD143" s="508"/>
      <c r="AE143" s="508"/>
      <c r="AF143" s="508"/>
    </row>
    <row r="144" spans="1:32" s="518" customFormat="1" ht="12" customHeight="1">
      <c r="A144" s="516"/>
      <c r="B144" s="515"/>
      <c r="C144" s="464" t="str">
        <f>L28</f>
        <v>woonkamer / eetkamer</v>
      </c>
      <c r="D144" s="100" t="s">
        <v>141</v>
      </c>
      <c r="E144" s="464" t="str">
        <f>L29</f>
        <v>keuken</v>
      </c>
      <c r="F144" s="586"/>
      <c r="G144" s="586"/>
      <c r="H144" s="647">
        <v>21</v>
      </c>
      <c r="I144" s="833">
        <f>H144*12</f>
        <v>252</v>
      </c>
      <c r="J144" s="833"/>
      <c r="K144" s="834" t="str">
        <f>IF(I144&gt;180,"zie rapport voor nadere toelichting overstroomvoorzieningen","")</f>
        <v>zie rapport voor nadere toelichting overstroomvoorzieningen</v>
      </c>
      <c r="L144" s="834"/>
      <c r="M144" s="834"/>
      <c r="N144" s="834"/>
      <c r="O144" s="834"/>
      <c r="P144" s="834"/>
      <c r="Q144" s="525" t="str">
        <f t="shared" ref="Q144:Q148" si="26">IF(H144=0,"verbergen","")</f>
        <v/>
      </c>
      <c r="R144" s="516"/>
      <c r="S144" s="516"/>
      <c r="T144" s="521"/>
      <c r="U144" s="516"/>
      <c r="V144" s="517"/>
      <c r="W144" s="517"/>
      <c r="X144" s="517"/>
      <c r="Y144" s="517"/>
      <c r="Z144" s="508">
        <v>1</v>
      </c>
      <c r="AA144" s="648"/>
      <c r="AB144" s="517"/>
      <c r="AC144" s="517"/>
      <c r="AD144" s="517"/>
      <c r="AE144" s="517"/>
      <c r="AF144" s="517"/>
    </row>
    <row r="145" spans="1:32" s="518" customFormat="1" ht="12" customHeight="1">
      <c r="A145" s="516"/>
      <c r="B145" s="515"/>
      <c r="C145" s="464" t="str">
        <f>L28</f>
        <v>woonkamer / eetkamer</v>
      </c>
      <c r="D145" s="100" t="s">
        <v>141</v>
      </c>
      <c r="E145" s="464" t="s">
        <v>1159</v>
      </c>
      <c r="F145" s="586"/>
      <c r="G145" s="586"/>
      <c r="H145" s="647">
        <v>14</v>
      </c>
      <c r="I145" s="833">
        <f t="shared" ref="I145:I148" si="27">H145*12</f>
        <v>168</v>
      </c>
      <c r="J145" s="833"/>
      <c r="K145" s="834" t="str">
        <f>IF(I145&gt;180,"zie rapport voor nadere toelichting overstroomvoorzieningen","")</f>
        <v/>
      </c>
      <c r="L145" s="834"/>
      <c r="M145" s="834"/>
      <c r="N145" s="834"/>
      <c r="O145" s="834"/>
      <c r="P145" s="834"/>
      <c r="Q145" s="525" t="str">
        <f t="shared" si="26"/>
        <v/>
      </c>
      <c r="R145" s="516"/>
      <c r="S145" s="516"/>
      <c r="T145" s="521"/>
      <c r="U145" s="516"/>
      <c r="V145" s="517"/>
      <c r="W145" s="517"/>
      <c r="X145" s="517"/>
      <c r="Y145" s="517"/>
      <c r="Z145" s="508">
        <v>1</v>
      </c>
      <c r="AA145" s="648"/>
      <c r="AB145" s="517"/>
      <c r="AC145" s="517"/>
      <c r="AD145" s="517"/>
      <c r="AE145" s="517"/>
      <c r="AF145" s="517"/>
    </row>
    <row r="146" spans="1:32" s="518" customFormat="1" ht="12" hidden="1" customHeight="1">
      <c r="A146" s="516"/>
      <c r="B146" s="515"/>
      <c r="C146" s="464" t="s">
        <v>140</v>
      </c>
      <c r="D146" s="100" t="s">
        <v>141</v>
      </c>
      <c r="E146" s="464" t="s">
        <v>140</v>
      </c>
      <c r="F146" s="586"/>
      <c r="G146" s="586"/>
      <c r="H146" s="647">
        <v>0</v>
      </c>
      <c r="I146" s="833">
        <f t="shared" si="27"/>
        <v>0</v>
      </c>
      <c r="J146" s="833"/>
      <c r="K146" s="834" t="str">
        <f>IF(I146&gt;180,"zie rapport voor nadere toelichting overstroomvoorzieningen","")</f>
        <v/>
      </c>
      <c r="L146" s="834"/>
      <c r="M146" s="834"/>
      <c r="N146" s="834"/>
      <c r="O146" s="834"/>
      <c r="P146" s="834"/>
      <c r="Q146" s="525" t="str">
        <f t="shared" si="26"/>
        <v>verbergen</v>
      </c>
      <c r="R146" s="516"/>
      <c r="S146" s="516"/>
      <c r="T146" s="521"/>
      <c r="U146" s="516"/>
      <c r="V146" s="517"/>
      <c r="W146" s="517"/>
      <c r="X146" s="517"/>
      <c r="Y146" s="517"/>
      <c r="Z146" s="508">
        <v>1</v>
      </c>
      <c r="AA146" s="648"/>
      <c r="AB146" s="517"/>
      <c r="AC146" s="517"/>
      <c r="AD146" s="517"/>
      <c r="AE146" s="517"/>
      <c r="AF146" s="517"/>
    </row>
    <row r="147" spans="1:32" s="518" customFormat="1" ht="12" hidden="1" customHeight="1">
      <c r="A147" s="527"/>
      <c r="B147" s="515"/>
      <c r="C147" s="464" t="s">
        <v>140</v>
      </c>
      <c r="D147" s="100" t="s">
        <v>141</v>
      </c>
      <c r="E147" s="464" t="s">
        <v>140</v>
      </c>
      <c r="F147" s="586"/>
      <c r="G147" s="404"/>
      <c r="H147" s="647">
        <v>0</v>
      </c>
      <c r="I147" s="833">
        <f t="shared" si="27"/>
        <v>0</v>
      </c>
      <c r="J147" s="833"/>
      <c r="K147" s="834" t="str">
        <f>IF(I147&gt;180,"zie rapport voor nadere toelichting overstroomvoorzieningen","")</f>
        <v/>
      </c>
      <c r="L147" s="834"/>
      <c r="M147" s="834"/>
      <c r="N147" s="834"/>
      <c r="O147" s="834"/>
      <c r="P147" s="834"/>
      <c r="Q147" s="525" t="str">
        <f t="shared" si="26"/>
        <v>verbergen</v>
      </c>
      <c r="R147" s="516"/>
      <c r="S147" s="516"/>
      <c r="T147" s="521"/>
      <c r="U147" s="516"/>
      <c r="V147" s="517"/>
      <c r="W147" s="517"/>
      <c r="X147" s="517"/>
      <c r="Y147" s="517"/>
      <c r="Z147" s="508">
        <v>1</v>
      </c>
      <c r="AA147" s="648"/>
      <c r="AB147" s="517"/>
      <c r="AC147" s="517"/>
      <c r="AD147" s="517"/>
      <c r="AE147" s="517"/>
      <c r="AF147" s="517"/>
    </row>
    <row r="148" spans="1:32" s="518" customFormat="1" ht="12" hidden="1" customHeight="1">
      <c r="A148" s="527"/>
      <c r="B148" s="515"/>
      <c r="C148" s="464" t="s">
        <v>140</v>
      </c>
      <c r="D148" s="342" t="s">
        <v>141</v>
      </c>
      <c r="E148" s="464" t="s">
        <v>140</v>
      </c>
      <c r="F148" s="609"/>
      <c r="G148" s="628"/>
      <c r="H148" s="649">
        <v>0</v>
      </c>
      <c r="I148" s="835">
        <f t="shared" si="27"/>
        <v>0</v>
      </c>
      <c r="J148" s="835"/>
      <c r="K148" s="836" t="str">
        <f>IF(I148&gt;180,"zie rapport voor nadere toelichting overstroomvoorzieningen","")</f>
        <v/>
      </c>
      <c r="L148" s="836"/>
      <c r="M148" s="836"/>
      <c r="N148" s="836"/>
      <c r="O148" s="836"/>
      <c r="P148" s="836"/>
      <c r="Q148" s="525" t="str">
        <f t="shared" si="26"/>
        <v>verbergen</v>
      </c>
      <c r="R148" s="516"/>
      <c r="S148" s="516"/>
      <c r="T148" s="521"/>
      <c r="U148" s="516"/>
      <c r="V148" s="517"/>
      <c r="W148" s="517"/>
      <c r="X148" s="517"/>
      <c r="Y148" s="517"/>
      <c r="Z148" s="508">
        <v>1</v>
      </c>
      <c r="AA148" s="648"/>
      <c r="AB148" s="517"/>
      <c r="AC148" s="517"/>
      <c r="AD148" s="517"/>
      <c r="AE148" s="517"/>
      <c r="AF148" s="517"/>
    </row>
    <row r="149" spans="1:32" s="518" customFormat="1" ht="12" customHeight="1">
      <c r="A149" s="527"/>
      <c r="B149" s="590">
        <v>1</v>
      </c>
      <c r="C149" s="480">
        <f>B149</f>
        <v>1</v>
      </c>
      <c r="D149" s="592"/>
      <c r="E149" s="592"/>
      <c r="F149" s="650"/>
      <c r="G149" s="592"/>
      <c r="H149" s="651"/>
      <c r="I149" s="652"/>
      <c r="J149" s="653"/>
      <c r="K149" s="837" t="str">
        <f>IF(MAX(P144:P148)&gt;200,"zie rapport voor nadere toelichting overstroomvoorzieningen","")</f>
        <v/>
      </c>
      <c r="L149" s="837"/>
      <c r="M149" s="837"/>
      <c r="N149" s="837"/>
      <c r="O149" s="837"/>
      <c r="P149" s="837"/>
      <c r="Q149" s="516" t="str">
        <f>IF(SUM(H144:H150)=0,"verbergen","")</f>
        <v/>
      </c>
      <c r="R149" s="516"/>
      <c r="S149" s="516"/>
      <c r="T149" s="521"/>
      <c r="U149" s="516"/>
      <c r="V149" s="517"/>
      <c r="W149" s="517"/>
      <c r="X149" s="517"/>
      <c r="Y149" s="517"/>
      <c r="Z149" s="508">
        <v>1</v>
      </c>
      <c r="AA149" s="648"/>
      <c r="AB149" s="517"/>
      <c r="AC149" s="517"/>
      <c r="AD149" s="517"/>
      <c r="AE149" s="517"/>
      <c r="AF149" s="517"/>
    </row>
    <row r="150" spans="1:32" s="518" customFormat="1" ht="12" customHeight="1">
      <c r="A150" s="527"/>
      <c r="B150" s="515"/>
      <c r="C150" s="654"/>
      <c r="D150" s="404"/>
      <c r="E150" s="404"/>
      <c r="F150" s="586"/>
      <c r="G150" s="404"/>
      <c r="H150" s="655"/>
      <c r="I150" s="656"/>
      <c r="J150" s="657"/>
      <c r="K150" s="838"/>
      <c r="L150" s="838"/>
      <c r="M150" s="839"/>
      <c r="N150" s="839"/>
      <c r="O150" s="840"/>
      <c r="P150" s="840"/>
      <c r="Q150" s="516" t="str">
        <f>Q149</f>
        <v/>
      </c>
      <c r="R150" s="516"/>
      <c r="S150" s="516"/>
      <c r="T150" s="521"/>
      <c r="U150" s="516"/>
      <c r="V150" s="517"/>
      <c r="W150" s="517"/>
      <c r="X150" s="517"/>
      <c r="Y150" s="517"/>
      <c r="Z150" s="508">
        <v>1</v>
      </c>
      <c r="AA150" s="648"/>
      <c r="AB150" s="517"/>
      <c r="AC150" s="517"/>
      <c r="AD150" s="517"/>
      <c r="AE150" s="517"/>
      <c r="AF150" s="517"/>
    </row>
    <row r="151" spans="1:32" s="541" customFormat="1" ht="12" customHeight="1">
      <c r="A151" s="392"/>
      <c r="B151" s="543"/>
      <c r="C151" s="464" t="str">
        <f>L29</f>
        <v>keuken</v>
      </c>
      <c r="D151" s="100" t="s">
        <v>141</v>
      </c>
      <c r="E151" s="464" t="str">
        <f>L30</f>
        <v>bijkeuken</v>
      </c>
      <c r="F151" s="586"/>
      <c r="G151" s="586"/>
      <c r="H151" s="647">
        <v>7</v>
      </c>
      <c r="I151" s="833">
        <f>H151*12</f>
        <v>84</v>
      </c>
      <c r="J151" s="833"/>
      <c r="K151" s="834" t="str">
        <f>IF(I151&gt;180,"zie rapport voor nadere toelichting overstroomvoorzieningen","")</f>
        <v/>
      </c>
      <c r="L151" s="834"/>
      <c r="M151" s="834"/>
      <c r="N151" s="834"/>
      <c r="O151" s="834"/>
      <c r="P151" s="834"/>
      <c r="Q151" s="729" t="str">
        <f>IF(H151=0,"verbergen","")</f>
        <v/>
      </c>
      <c r="R151" s="392"/>
      <c r="S151" s="392"/>
      <c r="T151" s="544"/>
      <c r="U151" s="392"/>
      <c r="V151" s="392"/>
      <c r="W151" s="392"/>
      <c r="X151" s="392"/>
      <c r="Y151" s="392"/>
      <c r="Z151" s="547">
        <f>Z150+1</f>
        <v>2</v>
      </c>
      <c r="AA151" s="404"/>
      <c r="AB151" s="516"/>
      <c r="AC151" s="516"/>
      <c r="AD151" s="516"/>
      <c r="AE151" s="516"/>
      <c r="AF151" s="515"/>
    </row>
    <row r="152" spans="1:32" s="541" customFormat="1" ht="12" hidden="1" customHeight="1">
      <c r="A152" s="392"/>
      <c r="B152" s="543"/>
      <c r="C152" s="464" t="s">
        <v>140</v>
      </c>
      <c r="D152" s="100" t="s">
        <v>141</v>
      </c>
      <c r="E152" s="464" t="s">
        <v>140</v>
      </c>
      <c r="F152" s="586"/>
      <c r="G152" s="586"/>
      <c r="H152" s="647">
        <v>0</v>
      </c>
      <c r="I152" s="833">
        <f t="shared" ref="I152:I155" si="28">H152*12</f>
        <v>0</v>
      </c>
      <c r="J152" s="833"/>
      <c r="K152" s="834" t="str">
        <f>IF(I152&gt;180,"zie rapport voor nadere toelichting overstroomvoorzieningen","")</f>
        <v/>
      </c>
      <c r="L152" s="834"/>
      <c r="M152" s="834"/>
      <c r="N152" s="834"/>
      <c r="O152" s="834"/>
      <c r="P152" s="834"/>
      <c r="Q152" s="729" t="str">
        <f>IF(H152=0,"verbergen","")</f>
        <v>verbergen</v>
      </c>
      <c r="R152" s="392"/>
      <c r="S152" s="392"/>
      <c r="T152" s="544"/>
      <c r="U152" s="392"/>
      <c r="V152" s="392"/>
      <c r="W152" s="392"/>
      <c r="X152" s="392"/>
      <c r="Y152" s="392"/>
      <c r="Z152" s="547">
        <f t="shared" ref="Z152:Z157" si="29">Z151</f>
        <v>2</v>
      </c>
      <c r="AA152" s="404"/>
      <c r="AB152" s="516"/>
      <c r="AC152" s="516"/>
      <c r="AD152" s="516"/>
      <c r="AE152" s="516"/>
      <c r="AF152" s="515"/>
    </row>
    <row r="153" spans="1:32" s="541" customFormat="1" ht="12" hidden="1" customHeight="1">
      <c r="A153" s="392"/>
      <c r="B153" s="543"/>
      <c r="C153" s="464" t="s">
        <v>140</v>
      </c>
      <c r="D153" s="100" t="s">
        <v>141</v>
      </c>
      <c r="E153" s="464" t="s">
        <v>140</v>
      </c>
      <c r="F153" s="586"/>
      <c r="G153" s="586"/>
      <c r="H153" s="647">
        <v>0</v>
      </c>
      <c r="I153" s="833">
        <f t="shared" si="28"/>
        <v>0</v>
      </c>
      <c r="J153" s="833"/>
      <c r="K153" s="834" t="str">
        <f>IF(I153&gt;180,"zie rapport voor nadere toelichting overstroomvoorzieningen","")</f>
        <v/>
      </c>
      <c r="L153" s="834"/>
      <c r="M153" s="834"/>
      <c r="N153" s="834"/>
      <c r="O153" s="834"/>
      <c r="P153" s="834"/>
      <c r="Q153" s="729" t="str">
        <f>IF(H153=0,"verbergen","")</f>
        <v>verbergen</v>
      </c>
      <c r="R153" s="392"/>
      <c r="S153" s="392"/>
      <c r="T153" s="544"/>
      <c r="U153" s="392"/>
      <c r="V153" s="392"/>
      <c r="W153" s="392"/>
      <c r="X153" s="392"/>
      <c r="Y153" s="392"/>
      <c r="Z153" s="547">
        <f t="shared" si="29"/>
        <v>2</v>
      </c>
      <c r="AA153" s="404"/>
      <c r="AB153" s="516"/>
      <c r="AC153" s="516"/>
      <c r="AD153" s="516"/>
      <c r="AE153" s="516"/>
      <c r="AF153" s="515"/>
    </row>
    <row r="154" spans="1:32" s="541" customFormat="1" ht="12" hidden="1" customHeight="1">
      <c r="A154" s="542"/>
      <c r="B154" s="543"/>
      <c r="C154" s="464" t="s">
        <v>140</v>
      </c>
      <c r="D154" s="100" t="s">
        <v>141</v>
      </c>
      <c r="E154" s="464" t="s">
        <v>140</v>
      </c>
      <c r="F154" s="586"/>
      <c r="G154" s="404"/>
      <c r="H154" s="647">
        <v>0</v>
      </c>
      <c r="I154" s="833">
        <f t="shared" si="28"/>
        <v>0</v>
      </c>
      <c r="J154" s="833"/>
      <c r="K154" s="834" t="str">
        <f>IF(I154&gt;180,"zie rapport voor nadere toelichting overstroomvoorzieningen","")</f>
        <v/>
      </c>
      <c r="L154" s="834"/>
      <c r="M154" s="834"/>
      <c r="N154" s="834"/>
      <c r="O154" s="834"/>
      <c r="P154" s="834"/>
      <c r="Q154" s="729" t="str">
        <f>IF(H154=0,"verbergen","")</f>
        <v>verbergen</v>
      </c>
      <c r="R154" s="392"/>
      <c r="S154" s="392"/>
      <c r="T154" s="544"/>
      <c r="U154" s="392"/>
      <c r="V154" s="392"/>
      <c r="W154" s="392"/>
      <c r="X154" s="392"/>
      <c r="Y154" s="392"/>
      <c r="Z154" s="547">
        <f t="shared" si="29"/>
        <v>2</v>
      </c>
      <c r="AA154" s="404"/>
      <c r="AB154" s="516"/>
      <c r="AC154" s="516"/>
      <c r="AD154" s="516"/>
      <c r="AE154" s="516"/>
      <c r="AF154" s="515"/>
    </row>
    <row r="155" spans="1:32" s="541" customFormat="1" ht="12" hidden="1" customHeight="1">
      <c r="A155" s="542"/>
      <c r="B155" s="543"/>
      <c r="C155" s="464" t="s">
        <v>140</v>
      </c>
      <c r="D155" s="342" t="s">
        <v>141</v>
      </c>
      <c r="E155" s="464" t="s">
        <v>140</v>
      </c>
      <c r="F155" s="609"/>
      <c r="G155" s="628"/>
      <c r="H155" s="649">
        <v>0</v>
      </c>
      <c r="I155" s="835">
        <f t="shared" si="28"/>
        <v>0</v>
      </c>
      <c r="J155" s="835"/>
      <c r="K155" s="836" t="str">
        <f>IF(I155&gt;180,"zie rapport voor nadere toelichting overstroomvoorzieningen","")</f>
        <v/>
      </c>
      <c r="L155" s="836"/>
      <c r="M155" s="836"/>
      <c r="N155" s="836"/>
      <c r="O155" s="836"/>
      <c r="P155" s="836"/>
      <c r="Q155" s="729" t="str">
        <f>IF(H155=0,"verbergen","")</f>
        <v>verbergen</v>
      </c>
      <c r="R155" s="392"/>
      <c r="S155" s="392"/>
      <c r="T155" s="544"/>
      <c r="U155" s="392"/>
      <c r="V155" s="392"/>
      <c r="W155" s="392"/>
      <c r="X155" s="392"/>
      <c r="Y155" s="392"/>
      <c r="Z155" s="547">
        <f t="shared" si="29"/>
        <v>2</v>
      </c>
      <c r="AA155" s="404"/>
      <c r="AB155" s="516"/>
      <c r="AC155" s="516"/>
      <c r="AD155" s="516"/>
      <c r="AE155" s="516"/>
      <c r="AF155" s="515"/>
    </row>
    <row r="156" spans="1:32" s="541" customFormat="1" ht="12" customHeight="1">
      <c r="A156" s="542"/>
      <c r="B156" s="556">
        <f>B149+1</f>
        <v>2</v>
      </c>
      <c r="C156" s="480">
        <f>B156</f>
        <v>2</v>
      </c>
      <c r="D156" s="592"/>
      <c r="E156" s="592"/>
      <c r="F156" s="650"/>
      <c r="G156" s="592"/>
      <c r="H156" s="651"/>
      <c r="I156" s="652"/>
      <c r="J156" s="653"/>
      <c r="K156" s="837" t="str">
        <f>IF(MAX(P151:P155)&gt;200,"zie rapport voor nadere toelichting overstroomvoorzieningen","")</f>
        <v/>
      </c>
      <c r="L156" s="837"/>
      <c r="M156" s="837"/>
      <c r="N156" s="837"/>
      <c r="O156" s="837"/>
      <c r="P156" s="837"/>
      <c r="Q156" s="392" t="str">
        <f>IF(SUM(H151:H157)=0,"verbergen","")</f>
        <v/>
      </c>
      <c r="R156" s="392"/>
      <c r="S156" s="392"/>
      <c r="T156" s="544"/>
      <c r="U156" s="392"/>
      <c r="V156" s="392"/>
      <c r="W156" s="392"/>
      <c r="X156" s="392"/>
      <c r="Y156" s="392"/>
      <c r="Z156" s="547">
        <f t="shared" si="29"/>
        <v>2</v>
      </c>
      <c r="AA156" s="404"/>
      <c r="AB156" s="516"/>
      <c r="AC156" s="516"/>
      <c r="AD156" s="516"/>
      <c r="AE156" s="516"/>
      <c r="AF156" s="515"/>
    </row>
    <row r="157" spans="1:32" s="541" customFormat="1" ht="12" customHeight="1">
      <c r="A157" s="542"/>
      <c r="B157" s="543"/>
      <c r="C157" s="654"/>
      <c r="D157" s="404"/>
      <c r="E157" s="404"/>
      <c r="F157" s="586"/>
      <c r="G157" s="404"/>
      <c r="H157" s="655"/>
      <c r="I157" s="656"/>
      <c r="J157" s="657"/>
      <c r="K157" s="838"/>
      <c r="L157" s="838"/>
      <c r="M157" s="839"/>
      <c r="N157" s="839"/>
      <c r="O157" s="840"/>
      <c r="P157" s="840"/>
      <c r="Q157" s="392" t="str">
        <f>Q156</f>
        <v/>
      </c>
      <c r="R157" s="392"/>
      <c r="S157" s="392"/>
      <c r="T157" s="544"/>
      <c r="U157" s="392"/>
      <c r="V157" s="392"/>
      <c r="W157" s="392"/>
      <c r="X157" s="392"/>
      <c r="Y157" s="392"/>
      <c r="Z157" s="547">
        <f t="shared" si="29"/>
        <v>2</v>
      </c>
      <c r="AA157" s="404"/>
      <c r="AB157" s="516"/>
      <c r="AC157" s="516"/>
      <c r="AD157" s="516"/>
      <c r="AE157" s="516"/>
      <c r="AF157" s="515"/>
    </row>
    <row r="158" spans="1:32" s="541" customFormat="1" ht="12" customHeight="1">
      <c r="A158" s="392"/>
      <c r="B158" s="543"/>
      <c r="C158" s="464" t="str">
        <f>L31</f>
        <v>slaapkamer 1</v>
      </c>
      <c r="D158" s="100" t="s">
        <v>141</v>
      </c>
      <c r="E158" s="464" t="s">
        <v>1158</v>
      </c>
      <c r="F158" s="586"/>
      <c r="G158" s="586"/>
      <c r="H158" s="647">
        <v>14</v>
      </c>
      <c r="I158" s="833">
        <f>H158*12</f>
        <v>168</v>
      </c>
      <c r="J158" s="833"/>
      <c r="K158" s="834" t="str">
        <f>IF(I158&gt;200,"zie rapport voor nadere toelichting overstroomvoorzieningen","")</f>
        <v/>
      </c>
      <c r="L158" s="834"/>
      <c r="M158" s="834"/>
      <c r="N158" s="834"/>
      <c r="O158" s="834"/>
      <c r="P158" s="834"/>
      <c r="Q158" s="729" t="str">
        <f>IF(H158=0,"verbergen","")</f>
        <v/>
      </c>
      <c r="R158" s="392"/>
      <c r="S158" s="392"/>
      <c r="T158" s="544"/>
      <c r="U158" s="392"/>
      <c r="V158" s="392"/>
      <c r="W158" s="392"/>
      <c r="X158" s="392"/>
      <c r="Y158" s="392"/>
      <c r="Z158" s="547">
        <f>Z157+1</f>
        <v>3</v>
      </c>
      <c r="AA158" s="404"/>
      <c r="AB158" s="516"/>
      <c r="AC158" s="516"/>
      <c r="AD158" s="516"/>
      <c r="AE158" s="516"/>
      <c r="AF158" s="515"/>
    </row>
    <row r="159" spans="1:32" s="541" customFormat="1" ht="12" customHeight="1">
      <c r="A159" s="392"/>
      <c r="B159" s="543"/>
      <c r="C159" s="464" t="str">
        <f t="shared" ref="C159:C160" si="30">L32</f>
        <v>slaapkamer 2</v>
      </c>
      <c r="D159" s="100" t="s">
        <v>141</v>
      </c>
      <c r="E159" s="464" t="s">
        <v>1158</v>
      </c>
      <c r="F159" s="586"/>
      <c r="G159" s="586"/>
      <c r="H159" s="647">
        <v>14</v>
      </c>
      <c r="I159" s="833">
        <f t="shared" ref="I159:I162" si="31">H159*12</f>
        <v>168</v>
      </c>
      <c r="J159" s="833"/>
      <c r="K159" s="834" t="str">
        <f>IF(I159&gt;200,"zie rapport voor nadere toelichting overstroomvoorzieningen","")</f>
        <v/>
      </c>
      <c r="L159" s="834"/>
      <c r="M159" s="834"/>
      <c r="N159" s="834"/>
      <c r="O159" s="834"/>
      <c r="P159" s="834"/>
      <c r="Q159" s="729" t="str">
        <f>IF(H159=0,"verbergen","")</f>
        <v/>
      </c>
      <c r="R159" s="392"/>
      <c r="S159" s="392"/>
      <c r="T159" s="544"/>
      <c r="U159" s="392"/>
      <c r="V159" s="392"/>
      <c r="W159" s="392"/>
      <c r="X159" s="392"/>
      <c r="Y159" s="392"/>
      <c r="Z159" s="547">
        <f t="shared" ref="Z159:Z164" si="32">Z158</f>
        <v>3</v>
      </c>
      <c r="AA159" s="404"/>
      <c r="AB159" s="516"/>
      <c r="AC159" s="516"/>
      <c r="AD159" s="516"/>
      <c r="AE159" s="516"/>
      <c r="AF159" s="515"/>
    </row>
    <row r="160" spans="1:32" s="541" customFormat="1" ht="12" customHeight="1">
      <c r="A160" s="392"/>
      <c r="B160" s="543"/>
      <c r="C160" s="464" t="str">
        <f t="shared" si="30"/>
        <v>studeerkamer</v>
      </c>
      <c r="D160" s="100" t="s">
        <v>141</v>
      </c>
      <c r="E160" s="464" t="s">
        <v>1158</v>
      </c>
      <c r="F160" s="586"/>
      <c r="G160" s="586"/>
      <c r="H160" s="647">
        <v>14</v>
      </c>
      <c r="I160" s="833">
        <f t="shared" si="31"/>
        <v>168</v>
      </c>
      <c r="J160" s="833"/>
      <c r="K160" s="834" t="str">
        <f>IF(I160&gt;200,"zie rapport voor nadere toelichting overstroomvoorzieningen","")</f>
        <v/>
      </c>
      <c r="L160" s="834"/>
      <c r="M160" s="834"/>
      <c r="N160" s="834"/>
      <c r="O160" s="834"/>
      <c r="P160" s="834"/>
      <c r="Q160" s="729" t="str">
        <f>IF(H160=0,"verbergen","")</f>
        <v/>
      </c>
      <c r="R160" s="392"/>
      <c r="S160" s="392"/>
      <c r="T160" s="544"/>
      <c r="U160" s="392"/>
      <c r="V160" s="392"/>
      <c r="W160" s="392"/>
      <c r="X160" s="392"/>
      <c r="Y160" s="392"/>
      <c r="Z160" s="547">
        <f t="shared" si="32"/>
        <v>3</v>
      </c>
      <c r="AA160" s="404"/>
      <c r="AB160" s="516"/>
      <c r="AC160" s="516"/>
      <c r="AD160" s="516"/>
      <c r="AE160" s="516"/>
      <c r="AF160" s="515"/>
    </row>
    <row r="161" spans="1:32" s="541" customFormat="1" ht="12" hidden="1" customHeight="1">
      <c r="A161" s="542"/>
      <c r="B161" s="543"/>
      <c r="C161" s="464" t="s">
        <v>140</v>
      </c>
      <c r="D161" s="100" t="s">
        <v>141</v>
      </c>
      <c r="E161" s="464" t="s">
        <v>140</v>
      </c>
      <c r="F161" s="586"/>
      <c r="G161" s="404"/>
      <c r="H161" s="647">
        <v>0</v>
      </c>
      <c r="I161" s="833">
        <f t="shared" si="31"/>
        <v>0</v>
      </c>
      <c r="J161" s="833"/>
      <c r="K161" s="834" t="str">
        <f>IF(I161&gt;200,"zie rapport voor nadere toelichting overstroomvoorzieningen","")</f>
        <v/>
      </c>
      <c r="L161" s="834"/>
      <c r="M161" s="834"/>
      <c r="N161" s="834"/>
      <c r="O161" s="834"/>
      <c r="P161" s="834"/>
      <c r="Q161" s="729" t="str">
        <f>IF(H161=0,"verbergen","")</f>
        <v>verbergen</v>
      </c>
      <c r="R161" s="392"/>
      <c r="S161" s="392"/>
      <c r="T161" s="544"/>
      <c r="U161" s="392"/>
      <c r="V161" s="392"/>
      <c r="W161" s="392"/>
      <c r="X161" s="392"/>
      <c r="Y161" s="392"/>
      <c r="Z161" s="547">
        <f t="shared" si="32"/>
        <v>3</v>
      </c>
      <c r="AA161" s="404"/>
      <c r="AB161" s="516"/>
      <c r="AC161" s="516"/>
      <c r="AD161" s="516"/>
      <c r="AE161" s="516"/>
      <c r="AF161" s="515"/>
    </row>
    <row r="162" spans="1:32" s="541" customFormat="1" ht="12" hidden="1" customHeight="1">
      <c r="A162" s="542"/>
      <c r="B162" s="543"/>
      <c r="C162" s="472" t="s">
        <v>140</v>
      </c>
      <c r="D162" s="100" t="s">
        <v>141</v>
      </c>
      <c r="E162" s="472" t="s">
        <v>140</v>
      </c>
      <c r="F162" s="609"/>
      <c r="G162" s="628"/>
      <c r="H162" s="649">
        <v>0</v>
      </c>
      <c r="I162" s="835">
        <f t="shared" si="31"/>
        <v>0</v>
      </c>
      <c r="J162" s="835"/>
      <c r="K162" s="836" t="str">
        <f>IF(I162&gt;200,"zie rapport voor nadere toelichting overstroomvoorzieningen","")</f>
        <v/>
      </c>
      <c r="L162" s="836"/>
      <c r="M162" s="836"/>
      <c r="N162" s="836"/>
      <c r="O162" s="836"/>
      <c r="P162" s="836"/>
      <c r="Q162" s="729" t="str">
        <f>IF(H162=0,"verbergen","")</f>
        <v>verbergen</v>
      </c>
      <c r="R162" s="392"/>
      <c r="S162" s="392"/>
      <c r="T162" s="544"/>
      <c r="U162" s="392"/>
      <c r="V162" s="392"/>
      <c r="W162" s="392"/>
      <c r="X162" s="392"/>
      <c r="Y162" s="392"/>
      <c r="Z162" s="547">
        <f t="shared" si="32"/>
        <v>3</v>
      </c>
      <c r="AA162" s="404"/>
      <c r="AB162" s="516"/>
      <c r="AC162" s="516"/>
      <c r="AD162" s="516"/>
      <c r="AE162" s="516"/>
      <c r="AF162" s="515"/>
    </row>
    <row r="163" spans="1:32" s="541" customFormat="1" ht="12" customHeight="1">
      <c r="A163" s="542"/>
      <c r="B163" s="556">
        <f>B156+1</f>
        <v>3</v>
      </c>
      <c r="C163" s="480">
        <f>B163</f>
        <v>3</v>
      </c>
      <c r="D163" s="592"/>
      <c r="E163" s="592"/>
      <c r="F163" s="650"/>
      <c r="G163" s="592"/>
      <c r="H163" s="651"/>
      <c r="I163" s="652"/>
      <c r="J163" s="653"/>
      <c r="K163" s="837" t="str">
        <f>IF(MAX(P158:P162)&gt;200,"zie rapport voor nadere toelichting overstroomvoorzieningen","")</f>
        <v/>
      </c>
      <c r="L163" s="837"/>
      <c r="M163" s="837"/>
      <c r="N163" s="837"/>
      <c r="O163" s="837"/>
      <c r="P163" s="837"/>
      <c r="Q163" s="392" t="str">
        <f>IF(SUM(H158:H164)=0,"verbergen","")</f>
        <v/>
      </c>
      <c r="R163" s="392"/>
      <c r="S163" s="392"/>
      <c r="T163" s="544"/>
      <c r="U163" s="392"/>
      <c r="V163" s="392"/>
      <c r="W163" s="392"/>
      <c r="X163" s="392"/>
      <c r="Y163" s="392"/>
      <c r="Z163" s="547">
        <f t="shared" si="32"/>
        <v>3</v>
      </c>
      <c r="AA163" s="404"/>
      <c r="AB163" s="516"/>
      <c r="AC163" s="516"/>
      <c r="AD163" s="516"/>
      <c r="AE163" s="516"/>
      <c r="AF163" s="515"/>
    </row>
    <row r="164" spans="1:32" s="541" customFormat="1" ht="12" customHeight="1">
      <c r="A164" s="542"/>
      <c r="B164" s="543"/>
      <c r="C164" s="654"/>
      <c r="D164" s="404"/>
      <c r="E164" s="404"/>
      <c r="F164" s="586"/>
      <c r="G164" s="404"/>
      <c r="H164" s="655"/>
      <c r="I164" s="656"/>
      <c r="J164" s="657"/>
      <c r="K164" s="838"/>
      <c r="L164" s="838"/>
      <c r="M164" s="839"/>
      <c r="N164" s="839"/>
      <c r="O164" s="840"/>
      <c r="P164" s="840"/>
      <c r="Q164" s="392" t="str">
        <f>Q163</f>
        <v/>
      </c>
      <c r="R164" s="392"/>
      <c r="S164" s="392"/>
      <c r="T164" s="544"/>
      <c r="U164" s="392"/>
      <c r="V164" s="392"/>
      <c r="W164" s="392"/>
      <c r="X164" s="392"/>
      <c r="Y164" s="392"/>
      <c r="Z164" s="547">
        <f t="shared" si="32"/>
        <v>3</v>
      </c>
      <c r="AA164" s="404"/>
      <c r="AB164" s="516"/>
      <c r="AC164" s="516"/>
      <c r="AD164" s="516"/>
      <c r="AE164" s="516"/>
      <c r="AF164" s="515"/>
    </row>
    <row r="165" spans="1:32" s="541" customFormat="1" ht="12" customHeight="1">
      <c r="A165" s="392"/>
      <c r="B165" s="543"/>
      <c r="C165" s="464" t="str">
        <f>L34</f>
        <v>slaapkamer 3</v>
      </c>
      <c r="D165" s="100" t="s">
        <v>141</v>
      </c>
      <c r="E165" s="464" t="s">
        <v>1158</v>
      </c>
      <c r="F165" s="586"/>
      <c r="G165" s="586"/>
      <c r="H165" s="647">
        <v>14</v>
      </c>
      <c r="I165" s="833">
        <f>H165*12</f>
        <v>168</v>
      </c>
      <c r="J165" s="833"/>
      <c r="K165" s="834" t="str">
        <f>IF(I165&gt;200,"zie rapport voor nadere toelichting overstroomvoorzieningen","")</f>
        <v/>
      </c>
      <c r="L165" s="834"/>
      <c r="M165" s="834"/>
      <c r="N165" s="834"/>
      <c r="O165" s="834"/>
      <c r="P165" s="834"/>
      <c r="Q165" s="729" t="str">
        <f>IF(H165=0,"verbergen","")</f>
        <v/>
      </c>
      <c r="R165" s="392"/>
      <c r="S165" s="392"/>
      <c r="T165" s="544"/>
      <c r="U165" s="392"/>
      <c r="V165" s="392"/>
      <c r="W165" s="392"/>
      <c r="X165" s="392"/>
      <c r="Y165" s="392"/>
      <c r="Z165" s="547">
        <f>Z164+1</f>
        <v>4</v>
      </c>
      <c r="AA165" s="404"/>
      <c r="AB165" s="516"/>
      <c r="AC165" s="516"/>
      <c r="AD165" s="516"/>
      <c r="AE165" s="516"/>
      <c r="AF165" s="515"/>
    </row>
    <row r="166" spans="1:32" s="541" customFormat="1" ht="12" hidden="1" customHeight="1">
      <c r="A166" s="392"/>
      <c r="B166" s="543"/>
      <c r="C166" s="464" t="s">
        <v>140</v>
      </c>
      <c r="D166" s="100" t="s">
        <v>141</v>
      </c>
      <c r="E166" s="464" t="s">
        <v>140</v>
      </c>
      <c r="F166" s="586"/>
      <c r="G166" s="586"/>
      <c r="H166" s="647">
        <v>0</v>
      </c>
      <c r="I166" s="833">
        <f t="shared" ref="I166:I169" si="33">H166*12</f>
        <v>0</v>
      </c>
      <c r="J166" s="833"/>
      <c r="K166" s="834" t="str">
        <f>IF(I166&gt;200,"zie rapport voor nadere toelichting overstroomvoorzieningen","")</f>
        <v/>
      </c>
      <c r="L166" s="834"/>
      <c r="M166" s="834"/>
      <c r="N166" s="834"/>
      <c r="O166" s="834"/>
      <c r="P166" s="834"/>
      <c r="Q166" s="729" t="str">
        <f>IF(H166=0,"verbergen","")</f>
        <v>verbergen</v>
      </c>
      <c r="R166" s="392"/>
      <c r="S166" s="392"/>
      <c r="T166" s="544"/>
      <c r="U166" s="392"/>
      <c r="V166" s="392"/>
      <c r="W166" s="392"/>
      <c r="X166" s="392"/>
      <c r="Y166" s="392"/>
      <c r="Z166" s="547">
        <f t="shared" ref="Z166:Z171" si="34">Z165</f>
        <v>4</v>
      </c>
      <c r="AA166" s="404"/>
      <c r="AB166" s="516"/>
      <c r="AC166" s="516"/>
      <c r="AD166" s="516"/>
      <c r="AE166" s="516"/>
      <c r="AF166" s="515"/>
    </row>
    <row r="167" spans="1:32" s="541" customFormat="1" ht="12" hidden="1" customHeight="1">
      <c r="A167" s="392"/>
      <c r="B167" s="543"/>
      <c r="C167" s="464" t="s">
        <v>140</v>
      </c>
      <c r="D167" s="100" t="s">
        <v>141</v>
      </c>
      <c r="E167" s="464" t="s">
        <v>140</v>
      </c>
      <c r="F167" s="586"/>
      <c r="G167" s="586"/>
      <c r="H167" s="647">
        <v>0</v>
      </c>
      <c r="I167" s="833">
        <f t="shared" si="33"/>
        <v>0</v>
      </c>
      <c r="J167" s="833"/>
      <c r="K167" s="834" t="str">
        <f>IF(I167&gt;200,"zie rapport voor nadere toelichting overstroomvoorzieningen","")</f>
        <v/>
      </c>
      <c r="L167" s="834"/>
      <c r="M167" s="834"/>
      <c r="N167" s="834"/>
      <c r="O167" s="834"/>
      <c r="P167" s="834"/>
      <c r="Q167" s="729" t="str">
        <f>IF(H167=0,"verbergen","")</f>
        <v>verbergen</v>
      </c>
      <c r="R167" s="392"/>
      <c r="S167" s="392"/>
      <c r="T167" s="544"/>
      <c r="U167" s="392"/>
      <c r="V167" s="392"/>
      <c r="W167" s="392"/>
      <c r="X167" s="392"/>
      <c r="Y167" s="392"/>
      <c r="Z167" s="547">
        <f t="shared" si="34"/>
        <v>4</v>
      </c>
      <c r="AA167" s="404"/>
      <c r="AB167" s="516"/>
      <c r="AC167" s="516"/>
      <c r="AD167" s="516"/>
      <c r="AE167" s="516"/>
      <c r="AF167" s="515"/>
    </row>
    <row r="168" spans="1:32" s="541" customFormat="1" ht="12" hidden="1" customHeight="1">
      <c r="A168" s="542"/>
      <c r="B168" s="543"/>
      <c r="C168" s="464" t="s">
        <v>140</v>
      </c>
      <c r="D168" s="100" t="s">
        <v>141</v>
      </c>
      <c r="E168" s="464" t="s">
        <v>140</v>
      </c>
      <c r="F168" s="586"/>
      <c r="G168" s="404"/>
      <c r="H168" s="647">
        <v>0</v>
      </c>
      <c r="I168" s="833">
        <f t="shared" si="33"/>
        <v>0</v>
      </c>
      <c r="J168" s="833"/>
      <c r="K168" s="834" t="str">
        <f>IF(I168&gt;200,"zie rapport voor nadere toelichting overstroomvoorzieningen","")</f>
        <v/>
      </c>
      <c r="L168" s="834"/>
      <c r="M168" s="834"/>
      <c r="N168" s="834"/>
      <c r="O168" s="834"/>
      <c r="P168" s="834"/>
      <c r="Q168" s="729" t="str">
        <f>IF(H168=0,"verbergen","")</f>
        <v>verbergen</v>
      </c>
      <c r="R168" s="392"/>
      <c r="S168" s="392"/>
      <c r="T168" s="544"/>
      <c r="U168" s="392"/>
      <c r="V168" s="392"/>
      <c r="W168" s="392"/>
      <c r="X168" s="392"/>
      <c r="Y168" s="392"/>
      <c r="Z168" s="547">
        <f t="shared" si="34"/>
        <v>4</v>
      </c>
      <c r="AA168" s="404"/>
      <c r="AB168" s="516"/>
      <c r="AC168" s="516"/>
      <c r="AD168" s="516"/>
      <c r="AE168" s="516"/>
      <c r="AF168" s="515"/>
    </row>
    <row r="169" spans="1:32" s="541" customFormat="1" ht="12" hidden="1" customHeight="1">
      <c r="A169" s="542"/>
      <c r="B169" s="543"/>
      <c r="C169" s="472" t="s">
        <v>140</v>
      </c>
      <c r="D169" s="100" t="s">
        <v>141</v>
      </c>
      <c r="E169" s="472" t="s">
        <v>140</v>
      </c>
      <c r="F169" s="609"/>
      <c r="G169" s="628"/>
      <c r="H169" s="649">
        <v>0</v>
      </c>
      <c r="I169" s="835">
        <f t="shared" si="33"/>
        <v>0</v>
      </c>
      <c r="J169" s="835"/>
      <c r="K169" s="836" t="str">
        <f>IF(I169&gt;200,"zie rapport voor nadere toelichting overstroomvoorzieningen","")</f>
        <v/>
      </c>
      <c r="L169" s="836"/>
      <c r="M169" s="836"/>
      <c r="N169" s="836"/>
      <c r="O169" s="836"/>
      <c r="P169" s="836"/>
      <c r="Q169" s="729" t="str">
        <f>IF(H169=0,"verbergen","")</f>
        <v>verbergen</v>
      </c>
      <c r="R169" s="392"/>
      <c r="S169" s="392"/>
      <c r="T169" s="544"/>
      <c r="U169" s="392"/>
      <c r="V169" s="392"/>
      <c r="W169" s="392"/>
      <c r="X169" s="392"/>
      <c r="Y169" s="392"/>
      <c r="Z169" s="547">
        <f t="shared" si="34"/>
        <v>4</v>
      </c>
      <c r="AA169" s="404"/>
      <c r="AB169" s="516"/>
      <c r="AC169" s="516"/>
      <c r="AD169" s="516"/>
      <c r="AE169" s="516"/>
      <c r="AF169" s="515"/>
    </row>
    <row r="170" spans="1:32" s="541" customFormat="1" ht="12" customHeight="1">
      <c r="A170" s="542"/>
      <c r="B170" s="556">
        <f>B163+1</f>
        <v>4</v>
      </c>
      <c r="C170" s="480">
        <f>B170</f>
        <v>4</v>
      </c>
      <c r="D170" s="592"/>
      <c r="E170" s="592"/>
      <c r="F170" s="650"/>
      <c r="G170" s="592"/>
      <c r="H170" s="651"/>
      <c r="I170" s="652"/>
      <c r="J170" s="653"/>
      <c r="K170" s="837" t="str">
        <f>IF(MAX(P165:P169)&gt;200,"zie rapport voor nadere toelichting overstroomvoorzieningen","")</f>
        <v/>
      </c>
      <c r="L170" s="837"/>
      <c r="M170" s="837"/>
      <c r="N170" s="837"/>
      <c r="O170" s="837"/>
      <c r="P170" s="837"/>
      <c r="Q170" s="392" t="str">
        <f>IF(SUM(H165:H171)=0,"verbergen","")</f>
        <v/>
      </c>
      <c r="R170" s="392"/>
      <c r="S170" s="392"/>
      <c r="T170" s="544"/>
      <c r="U170" s="392"/>
      <c r="V170" s="392"/>
      <c r="W170" s="392"/>
      <c r="X170" s="392"/>
      <c r="Y170" s="392"/>
      <c r="Z170" s="547">
        <f t="shared" si="34"/>
        <v>4</v>
      </c>
      <c r="AA170" s="404"/>
      <c r="AB170" s="516"/>
      <c r="AC170" s="516"/>
      <c r="AD170" s="516"/>
      <c r="AE170" s="516"/>
      <c r="AF170" s="515"/>
    </row>
    <row r="171" spans="1:32" s="541" customFormat="1" ht="12" customHeight="1">
      <c r="A171" s="542"/>
      <c r="B171" s="543"/>
      <c r="C171" s="654"/>
      <c r="D171" s="404"/>
      <c r="E171" s="404"/>
      <c r="F171" s="586"/>
      <c r="G171" s="404"/>
      <c r="H171" s="655"/>
      <c r="I171" s="656"/>
      <c r="J171" s="657"/>
      <c r="K171" s="838"/>
      <c r="L171" s="838"/>
      <c r="M171" s="839"/>
      <c r="N171" s="839"/>
      <c r="O171" s="840"/>
      <c r="P171" s="840"/>
      <c r="Q171" s="392" t="str">
        <f>Q170</f>
        <v/>
      </c>
      <c r="R171" s="392"/>
      <c r="S171" s="392"/>
      <c r="T171" s="544"/>
      <c r="U171" s="392"/>
      <c r="V171" s="392"/>
      <c r="W171" s="392"/>
      <c r="X171" s="392"/>
      <c r="Y171" s="392"/>
      <c r="Z171" s="547">
        <f t="shared" si="34"/>
        <v>4</v>
      </c>
      <c r="AA171" s="404"/>
      <c r="AB171" s="516"/>
      <c r="AC171" s="516"/>
      <c r="AD171" s="516"/>
      <c r="AE171" s="516"/>
      <c r="AF171" s="515"/>
    </row>
    <row r="172" spans="1:32" s="518" customFormat="1" ht="12" customHeight="1">
      <c r="A172" s="516"/>
      <c r="B172" s="515"/>
      <c r="C172" s="464" t="s">
        <v>1158</v>
      </c>
      <c r="D172" s="100" t="s">
        <v>141</v>
      </c>
      <c r="E172" s="464" t="str">
        <f>L28</f>
        <v>woonkamer / eetkamer</v>
      </c>
      <c r="F172" s="586"/>
      <c r="G172" s="586"/>
      <c r="H172" s="647">
        <f>H133</f>
        <v>7</v>
      </c>
      <c r="I172" s="833">
        <f>H172*12</f>
        <v>84</v>
      </c>
      <c r="J172" s="833"/>
      <c r="K172" s="834" t="str">
        <f>IF(I172&gt;180,"zie rapport voor nadere toelichting overstroomvoorzieningen","")</f>
        <v/>
      </c>
      <c r="L172" s="834"/>
      <c r="M172" s="834"/>
      <c r="N172" s="834"/>
      <c r="O172" s="834"/>
      <c r="P172" s="834"/>
      <c r="Q172" s="525" t="str">
        <f>IF(H172=0,"verbergen","")</f>
        <v/>
      </c>
      <c r="R172" s="516"/>
      <c r="S172" s="516"/>
      <c r="T172" s="521"/>
      <c r="U172" s="516"/>
      <c r="V172" s="517"/>
      <c r="W172" s="517"/>
      <c r="X172" s="517"/>
      <c r="Y172" s="517"/>
      <c r="Z172" s="508"/>
      <c r="AA172" s="648"/>
      <c r="AB172" s="517"/>
      <c r="AC172" s="517"/>
      <c r="AD172" s="517"/>
      <c r="AE172" s="517"/>
      <c r="AF172" s="517"/>
    </row>
    <row r="173" spans="1:32" s="518" customFormat="1" ht="12" customHeight="1">
      <c r="A173" s="516"/>
      <c r="B173" s="515"/>
      <c r="C173" s="464" t="s">
        <v>1158</v>
      </c>
      <c r="D173" s="100" t="s">
        <v>141</v>
      </c>
      <c r="E173" s="464" t="s">
        <v>1160</v>
      </c>
      <c r="F173" s="586"/>
      <c r="G173" s="586"/>
      <c r="H173" s="647">
        <v>14</v>
      </c>
      <c r="I173" s="833">
        <f t="shared" ref="I173:I176" si="35">H173*12</f>
        <v>168</v>
      </c>
      <c r="J173" s="833"/>
      <c r="K173" s="834" t="str">
        <f>IF(I173&gt;180,"zie rapport voor nadere toelichting overstroomvoorzieningen","")</f>
        <v/>
      </c>
      <c r="L173" s="834"/>
      <c r="M173" s="834"/>
      <c r="N173" s="834"/>
      <c r="O173" s="834"/>
      <c r="P173" s="834"/>
      <c r="Q173" s="525" t="str">
        <f>IF(H173=0,"verbergen","")</f>
        <v/>
      </c>
      <c r="R173" s="516"/>
      <c r="S173" s="516"/>
      <c r="T173" s="521"/>
      <c r="U173" s="516"/>
      <c r="V173" s="517"/>
      <c r="W173" s="517"/>
      <c r="X173" s="517"/>
      <c r="Y173" s="517"/>
      <c r="Z173" s="508"/>
      <c r="AA173" s="648"/>
      <c r="AB173" s="517"/>
      <c r="AC173" s="517"/>
      <c r="AD173" s="517"/>
      <c r="AE173" s="517"/>
      <c r="AF173" s="517"/>
    </row>
    <row r="174" spans="1:32" s="518" customFormat="1" ht="12" customHeight="1">
      <c r="A174" s="516"/>
      <c r="B174" s="515"/>
      <c r="C174" s="464" t="s">
        <v>1158</v>
      </c>
      <c r="D174" s="100" t="s">
        <v>141</v>
      </c>
      <c r="E174" s="464" t="s">
        <v>729</v>
      </c>
      <c r="F174" s="586"/>
      <c r="G174" s="586"/>
      <c r="H174" s="647">
        <v>21</v>
      </c>
      <c r="I174" s="833">
        <f t="shared" si="35"/>
        <v>252</v>
      </c>
      <c r="J174" s="833"/>
      <c r="K174" s="834" t="str">
        <f>IF(I174&gt;180,"zie rapport voor nadere toelichting overstroomvoorzieningen","")</f>
        <v>zie rapport voor nadere toelichting overstroomvoorzieningen</v>
      </c>
      <c r="L174" s="834"/>
      <c r="M174" s="834"/>
      <c r="N174" s="834"/>
      <c r="O174" s="834"/>
      <c r="P174" s="834"/>
      <c r="Q174" s="525" t="str">
        <f>IF(H174=0,"verbergen","")</f>
        <v/>
      </c>
      <c r="R174" s="516"/>
      <c r="S174" s="516"/>
      <c r="T174" s="521"/>
      <c r="U174" s="516"/>
      <c r="V174" s="517"/>
      <c r="W174" s="517"/>
      <c r="X174" s="517"/>
      <c r="Y174" s="517"/>
      <c r="Z174" s="508"/>
      <c r="AA174" s="648"/>
      <c r="AB174" s="517"/>
      <c r="AC174" s="517"/>
      <c r="AD174" s="517"/>
      <c r="AE174" s="517"/>
      <c r="AF174" s="517"/>
    </row>
    <row r="175" spans="1:32" s="518" customFormat="1" ht="12" customHeight="1">
      <c r="A175" s="527"/>
      <c r="B175" s="515"/>
      <c r="C175" s="464" t="s">
        <v>1158</v>
      </c>
      <c r="D175" s="100" t="s">
        <v>141</v>
      </c>
      <c r="E175" s="464" t="s">
        <v>727</v>
      </c>
      <c r="F175" s="586"/>
      <c r="G175" s="404"/>
      <c r="H175" s="647">
        <v>7</v>
      </c>
      <c r="I175" s="833">
        <f t="shared" si="35"/>
        <v>84</v>
      </c>
      <c r="J175" s="833"/>
      <c r="K175" s="834" t="str">
        <f>IF(I175&gt;180,"zie rapport voor nadere toelichting overstroomvoorzieningen","")</f>
        <v/>
      </c>
      <c r="L175" s="834"/>
      <c r="M175" s="834"/>
      <c r="N175" s="834"/>
      <c r="O175" s="834"/>
      <c r="P175" s="834"/>
      <c r="Q175" s="525" t="str">
        <f>IF(H175=0,"verbergen","")</f>
        <v/>
      </c>
      <c r="R175" s="516"/>
      <c r="S175" s="516"/>
      <c r="T175" s="521"/>
      <c r="U175" s="516"/>
      <c r="V175" s="517"/>
      <c r="W175" s="517"/>
      <c r="X175" s="517"/>
      <c r="Y175" s="517"/>
      <c r="Z175" s="508"/>
      <c r="AA175" s="648"/>
      <c r="AB175" s="517"/>
      <c r="AC175" s="517"/>
      <c r="AD175" s="517"/>
      <c r="AE175" s="517"/>
      <c r="AF175" s="517"/>
    </row>
    <row r="176" spans="1:32" s="518" customFormat="1" ht="12" customHeight="1">
      <c r="A176" s="527"/>
      <c r="B176" s="515"/>
      <c r="C176" s="472" t="s">
        <v>1159</v>
      </c>
      <c r="D176" s="342" t="s">
        <v>141</v>
      </c>
      <c r="E176" s="472" t="s">
        <v>1161</v>
      </c>
      <c r="F176" s="609"/>
      <c r="G176" s="628"/>
      <c r="H176" s="649">
        <v>14</v>
      </c>
      <c r="I176" s="835">
        <f t="shared" si="35"/>
        <v>168</v>
      </c>
      <c r="J176" s="835"/>
      <c r="K176" s="836" t="str">
        <f>IF(I176&gt;180,"zie rapport voor nadere toelichting overstroomvoorzieningen","")</f>
        <v/>
      </c>
      <c r="L176" s="836"/>
      <c r="M176" s="836"/>
      <c r="N176" s="836"/>
      <c r="O176" s="836"/>
      <c r="P176" s="836"/>
      <c r="Q176" s="525" t="str">
        <f>IF(H176=0,"verbergen","")</f>
        <v/>
      </c>
      <c r="R176" s="516"/>
      <c r="S176" s="516"/>
      <c r="T176" s="521"/>
      <c r="U176" s="516"/>
      <c r="V176" s="517"/>
      <c r="W176" s="517"/>
      <c r="X176" s="517"/>
      <c r="Y176" s="517"/>
      <c r="Z176" s="508"/>
      <c r="AA176" s="648"/>
      <c r="AB176" s="517"/>
      <c r="AC176" s="517"/>
      <c r="AD176" s="517"/>
      <c r="AE176" s="517"/>
      <c r="AF176" s="517"/>
    </row>
    <row r="177" spans="1:34" s="518" customFormat="1" ht="12" customHeight="1">
      <c r="A177" s="527"/>
      <c r="B177" s="590"/>
      <c r="C177" s="480" t="s">
        <v>734</v>
      </c>
      <c r="D177" s="592"/>
      <c r="E177" s="592"/>
      <c r="F177" s="650"/>
      <c r="G177" s="592"/>
      <c r="H177" s="651"/>
      <c r="I177" s="652"/>
      <c r="J177" s="653"/>
      <c r="K177" s="837" t="str">
        <f>IF(MAX(P172:P176)&gt;200,"zie rapport voor nadere toelichting overstroomvoorzieningen","")</f>
        <v/>
      </c>
      <c r="L177" s="837"/>
      <c r="M177" s="837"/>
      <c r="N177" s="837"/>
      <c r="O177" s="837"/>
      <c r="P177" s="837"/>
      <c r="Q177" s="516" t="str">
        <f>IF(SUM(H172:H178)=0,"verbergen","")</f>
        <v/>
      </c>
      <c r="R177" s="516"/>
      <c r="S177" s="516"/>
      <c r="T177" s="521"/>
      <c r="U177" s="516"/>
      <c r="V177" s="517"/>
      <c r="W177" s="517"/>
      <c r="X177" s="517"/>
      <c r="Y177" s="517"/>
      <c r="Z177" s="508"/>
      <c r="AA177" s="648"/>
      <c r="AB177" s="517"/>
      <c r="AC177" s="517"/>
      <c r="AD177" s="517"/>
      <c r="AE177" s="517"/>
      <c r="AF177" s="517"/>
    </row>
    <row r="178" spans="1:34" s="518" customFormat="1" ht="12" customHeight="1">
      <c r="A178" s="527"/>
      <c r="B178" s="515"/>
      <c r="C178" s="654"/>
      <c r="D178" s="404"/>
      <c r="E178" s="404"/>
      <c r="F178" s="586"/>
      <c r="G178" s="404"/>
      <c r="H178" s="655"/>
      <c r="I178" s="656"/>
      <c r="J178" s="657"/>
      <c r="K178" s="396"/>
      <c r="L178" s="396"/>
      <c r="M178" s="585"/>
      <c r="N178" s="585"/>
      <c r="O178" s="734"/>
      <c r="P178" s="734"/>
      <c r="Q178" s="516" t="str">
        <f>Q177</f>
        <v/>
      </c>
      <c r="R178" s="516"/>
      <c r="S178" s="516"/>
      <c r="T178" s="521"/>
      <c r="U178" s="516"/>
      <c r="V178" s="517"/>
      <c r="W178" s="517"/>
      <c r="X178" s="517"/>
      <c r="Y178" s="517"/>
      <c r="Z178" s="508"/>
      <c r="AA178" s="648"/>
      <c r="AB178" s="517"/>
      <c r="AC178" s="517"/>
      <c r="AD178" s="517"/>
      <c r="AE178" s="517"/>
      <c r="AF178" s="517"/>
    </row>
    <row r="179" spans="1:34" s="518" customFormat="1" ht="12" customHeight="1">
      <c r="A179" s="527"/>
      <c r="B179" s="515"/>
      <c r="C179" s="654"/>
      <c r="D179" s="404"/>
      <c r="E179" s="404"/>
      <c r="F179" s="586"/>
      <c r="G179" s="404"/>
      <c r="H179" s="655"/>
      <c r="I179" s="656"/>
      <c r="J179" s="657"/>
      <c r="K179" s="396"/>
      <c r="L179" s="396"/>
      <c r="M179" s="585"/>
      <c r="N179" s="585"/>
      <c r="O179" s="734"/>
      <c r="P179" s="734"/>
      <c r="Q179" s="516"/>
      <c r="R179" s="516"/>
      <c r="S179" s="516"/>
      <c r="T179" s="521"/>
      <c r="U179" s="516"/>
      <c r="V179" s="517"/>
      <c r="W179" s="517"/>
      <c r="X179" s="517"/>
      <c r="Y179" s="517"/>
      <c r="Z179" s="517"/>
      <c r="AA179" s="648"/>
      <c r="AB179" s="517"/>
      <c r="AC179" s="517"/>
      <c r="AD179" s="517"/>
      <c r="AE179" s="517"/>
      <c r="AF179" s="517"/>
    </row>
    <row r="180" spans="1:34" s="518" customFormat="1" ht="15" customHeight="1">
      <c r="A180" s="515"/>
      <c r="B180" s="658" t="s">
        <v>673</v>
      </c>
      <c r="C180" s="457" t="s">
        <v>1089</v>
      </c>
      <c r="D180" s="575"/>
      <c r="E180" s="575"/>
      <c r="F180" s="575"/>
      <c r="G180" s="575"/>
      <c r="H180" s="575"/>
      <c r="I180" s="575"/>
      <c r="J180" s="575"/>
      <c r="K180" s="575"/>
      <c r="L180" s="575"/>
      <c r="M180" s="575"/>
      <c r="N180" s="575"/>
      <c r="O180" s="575"/>
      <c r="P180" s="575"/>
      <c r="Q180" s="525"/>
      <c r="R180" s="659"/>
      <c r="S180" s="660"/>
      <c r="T180" s="521"/>
      <c r="U180" s="516"/>
      <c r="V180" s="517"/>
      <c r="W180" s="517"/>
      <c r="X180" s="517"/>
      <c r="Y180" s="517"/>
      <c r="Z180" s="517"/>
      <c r="AA180" s="517"/>
      <c r="AB180" s="517"/>
      <c r="AC180" s="524"/>
      <c r="AD180" s="517"/>
      <c r="AE180" s="517"/>
      <c r="AF180" s="517"/>
      <c r="AG180" s="517"/>
    </row>
    <row r="181" spans="1:34" s="518" customFormat="1" ht="12.75" hidden="1" customHeight="1">
      <c r="A181" s="515"/>
      <c r="B181" s="515"/>
      <c r="C181" s="661"/>
      <c r="D181" s="577"/>
      <c r="E181" s="577"/>
      <c r="F181" s="577"/>
      <c r="G181" s="577"/>
      <c r="H181" s="662"/>
      <c r="I181" s="662"/>
      <c r="J181" s="577"/>
      <c r="K181" s="577"/>
      <c r="L181" s="577"/>
      <c r="M181" s="577"/>
      <c r="N181" s="577"/>
      <c r="O181" s="577"/>
      <c r="P181" s="663"/>
      <c r="Q181" s="525"/>
      <c r="R181" s="659"/>
      <c r="S181" s="664"/>
      <c r="T181" s="521"/>
      <c r="U181" s="516"/>
      <c r="V181" s="517"/>
      <c r="W181" s="517"/>
      <c r="X181" s="517"/>
      <c r="Y181" s="517"/>
      <c r="Z181" s="517"/>
      <c r="AA181" s="517"/>
      <c r="AB181" s="517"/>
      <c r="AC181" s="524"/>
      <c r="AD181" s="517"/>
      <c r="AE181" s="517"/>
      <c r="AF181" s="517"/>
      <c r="AG181" s="517"/>
    </row>
    <row r="182" spans="1:34" ht="15" customHeight="1">
      <c r="A182" s="492"/>
      <c r="B182" s="492"/>
      <c r="C182" s="579" t="s">
        <v>133</v>
      </c>
      <c r="D182" s="809" t="s">
        <v>1100</v>
      </c>
      <c r="E182" s="809"/>
      <c r="F182" s="809" t="s">
        <v>678</v>
      </c>
      <c r="G182" s="809"/>
      <c r="H182" s="809" t="s">
        <v>677</v>
      </c>
      <c r="I182" s="809"/>
      <c r="J182" s="818" t="s">
        <v>134</v>
      </c>
      <c r="K182" s="818"/>
      <c r="L182" s="646"/>
      <c r="M182" s="844" t="s">
        <v>1107</v>
      </c>
      <c r="N182" s="844"/>
      <c r="O182" s="809" t="s">
        <v>1108</v>
      </c>
      <c r="P182" s="809"/>
      <c r="Q182" s="665"/>
      <c r="R182" s="507"/>
      <c r="S182" s="507"/>
      <c r="T182" s="532"/>
      <c r="U182" s="507"/>
      <c r="V182" s="508"/>
      <c r="W182" s="508"/>
      <c r="X182" s="508"/>
      <c r="Y182" s="508"/>
      <c r="Z182" s="508"/>
      <c r="AA182" s="508"/>
      <c r="AB182" s="508"/>
      <c r="AC182" s="534"/>
      <c r="AD182" s="508"/>
      <c r="AE182" s="508"/>
      <c r="AF182" s="508"/>
      <c r="AG182" s="508"/>
    </row>
    <row r="183" spans="1:34">
      <c r="A183" s="492"/>
      <c r="B183" s="492"/>
      <c r="C183" s="463"/>
      <c r="D183" s="463"/>
      <c r="E183" s="463"/>
      <c r="F183" s="463"/>
      <c r="G183" s="463"/>
      <c r="H183" s="456"/>
      <c r="I183" s="456"/>
      <c r="J183" s="456"/>
      <c r="K183" s="456"/>
      <c r="L183" s="456"/>
      <c r="M183" s="456"/>
      <c r="N183" s="456"/>
      <c r="O183" s="456"/>
      <c r="P183" s="456"/>
      <c r="Q183" s="507"/>
      <c r="R183" s="507"/>
      <c r="S183" s="507"/>
      <c r="T183" s="532"/>
      <c r="U183" s="507"/>
      <c r="V183" s="508"/>
      <c r="W183" s="508"/>
      <c r="X183" s="508"/>
      <c r="Y183" s="508"/>
      <c r="Z183" s="508"/>
      <c r="AA183" s="508"/>
      <c r="AB183" s="508"/>
      <c r="AC183" s="524"/>
      <c r="AD183" s="508"/>
      <c r="AE183" s="517"/>
      <c r="AF183" s="508"/>
      <c r="AG183" s="508"/>
    </row>
    <row r="184" spans="1:34" s="518" customFormat="1" ht="12" customHeight="1">
      <c r="A184" s="515"/>
      <c r="B184" s="515"/>
      <c r="C184" s="464" t="str">
        <f>L28</f>
        <v>woonkamer / eetkamer</v>
      </c>
      <c r="D184" s="831">
        <f>SUMPRODUCT(($AE$1:$AE$28075)*($L$1:$L$28075=C184))</f>
        <v>28.45</v>
      </c>
      <c r="E184" s="831"/>
      <c r="F184" s="811">
        <v>1</v>
      </c>
      <c r="G184" s="811"/>
      <c r="H184" s="841">
        <f t="shared" ref="H184:H189" si="36">IF(F184=0,"",IF(F184=1,0.1,0.4))</f>
        <v>0.1</v>
      </c>
      <c r="I184" s="841"/>
      <c r="J184" s="842" t="s">
        <v>245</v>
      </c>
      <c r="K184" s="842"/>
      <c r="L184" s="404"/>
      <c r="M184" s="666">
        <f>verzamelblad!$S$7*D184/H184/1000</f>
        <v>0.85349999999999993</v>
      </c>
      <c r="N184" s="735"/>
      <c r="O184" s="843">
        <f>M184</f>
        <v>0.85349999999999993</v>
      </c>
      <c r="P184" s="843"/>
      <c r="Q184" s="525" t="str">
        <f t="shared" ref="Q184:Q189" si="37">IF(D184=0,"verbergen","")</f>
        <v/>
      </c>
      <c r="R184" s="516"/>
      <c r="S184" s="516"/>
      <c r="T184" s="516"/>
      <c r="U184" s="516"/>
      <c r="V184" s="517"/>
      <c r="W184" s="508">
        <v>1</v>
      </c>
      <c r="X184" s="517"/>
      <c r="Y184" s="517"/>
      <c r="Z184" s="517"/>
      <c r="AA184" s="517"/>
      <c r="AB184" s="517"/>
      <c r="AC184" s="517"/>
      <c r="AD184" s="517"/>
      <c r="AE184" s="517"/>
      <c r="AF184" s="517"/>
      <c r="AG184" s="517"/>
    </row>
    <row r="185" spans="1:34" s="518" customFormat="1" ht="12" hidden="1" customHeight="1">
      <c r="A185" s="515"/>
      <c r="B185" s="515"/>
      <c r="C185" s="464" t="s">
        <v>140</v>
      </c>
      <c r="D185" s="831">
        <f>SUMPRODUCT(($AE$1:$AE$28075)*($L$1:$L$28075=C185))</f>
        <v>0</v>
      </c>
      <c r="E185" s="831"/>
      <c r="F185" s="811">
        <v>2</v>
      </c>
      <c r="G185" s="811"/>
      <c r="H185" s="841">
        <f t="shared" si="36"/>
        <v>0.4</v>
      </c>
      <c r="I185" s="841"/>
      <c r="J185" s="842" t="s">
        <v>245</v>
      </c>
      <c r="K185" s="842"/>
      <c r="L185" s="404"/>
      <c r="M185" s="666">
        <f>verzamelblad!$S$7*D185/H185/1000</f>
        <v>0</v>
      </c>
      <c r="N185" s="735"/>
      <c r="O185" s="843">
        <f t="shared" ref="O185:O189" si="38">M185</f>
        <v>0</v>
      </c>
      <c r="P185" s="843"/>
      <c r="Q185" s="525" t="str">
        <f t="shared" si="37"/>
        <v>verbergen</v>
      </c>
      <c r="R185" s="516"/>
      <c r="S185" s="516"/>
      <c r="T185" s="516"/>
      <c r="U185" s="516"/>
      <c r="V185" s="517"/>
      <c r="W185" s="508">
        <v>1</v>
      </c>
      <c r="X185" s="517"/>
      <c r="Y185" s="517"/>
      <c r="Z185" s="517"/>
      <c r="AA185" s="517"/>
      <c r="AB185" s="517"/>
      <c r="AC185" s="517"/>
      <c r="AD185" s="517"/>
      <c r="AE185" s="517"/>
      <c r="AF185" s="517"/>
      <c r="AG185" s="517"/>
    </row>
    <row r="186" spans="1:34" s="518" customFormat="1" ht="12" hidden="1" customHeight="1">
      <c r="A186" s="515"/>
      <c r="B186" s="515"/>
      <c r="C186" s="464" t="s">
        <v>140</v>
      </c>
      <c r="D186" s="831">
        <f>SUMPRODUCT(($AE$1:$AE$28075)*($L$1:$L$28075=C186))</f>
        <v>0</v>
      </c>
      <c r="E186" s="831"/>
      <c r="F186" s="811">
        <v>2</v>
      </c>
      <c r="G186" s="811"/>
      <c r="H186" s="841">
        <f t="shared" si="36"/>
        <v>0.4</v>
      </c>
      <c r="I186" s="841"/>
      <c r="J186" s="842" t="s">
        <v>245</v>
      </c>
      <c r="K186" s="842"/>
      <c r="L186" s="404"/>
      <c r="M186" s="666">
        <f>verzamelblad!$S$7*D186/H186/1000</f>
        <v>0</v>
      </c>
      <c r="N186" s="735"/>
      <c r="O186" s="845">
        <f t="shared" si="38"/>
        <v>0</v>
      </c>
      <c r="P186" s="846"/>
      <c r="Q186" s="525" t="str">
        <f t="shared" si="37"/>
        <v>verbergen</v>
      </c>
      <c r="R186" s="516"/>
      <c r="S186" s="516"/>
      <c r="T186" s="516"/>
      <c r="U186" s="516"/>
      <c r="V186" s="517"/>
      <c r="W186" s="508">
        <v>1</v>
      </c>
      <c r="X186" s="517"/>
      <c r="Y186" s="517"/>
      <c r="Z186" s="517"/>
      <c r="AA186" s="517"/>
      <c r="AB186" s="517"/>
      <c r="AC186" s="517"/>
      <c r="AD186" s="517"/>
      <c r="AE186" s="517"/>
      <c r="AF186" s="517"/>
      <c r="AG186" s="517"/>
    </row>
    <row r="187" spans="1:34" s="518" customFormat="1" ht="12" hidden="1" customHeight="1">
      <c r="A187" s="515"/>
      <c r="B187" s="515"/>
      <c r="C187" s="464" t="s">
        <v>140</v>
      </c>
      <c r="D187" s="831">
        <f>SUMPRODUCT(($AE$1:$AE$28075)*($L$1:$L$28075=C187))</f>
        <v>0</v>
      </c>
      <c r="E187" s="831"/>
      <c r="F187" s="811">
        <v>2</v>
      </c>
      <c r="G187" s="811"/>
      <c r="H187" s="841">
        <f t="shared" si="36"/>
        <v>0.4</v>
      </c>
      <c r="I187" s="841"/>
      <c r="J187" s="842" t="s">
        <v>245</v>
      </c>
      <c r="K187" s="842"/>
      <c r="L187" s="404"/>
      <c r="M187" s="666">
        <f>verzamelblad!$S$7*D187/H187/1000</f>
        <v>0</v>
      </c>
      <c r="N187" s="735"/>
      <c r="O187" s="843">
        <f t="shared" si="38"/>
        <v>0</v>
      </c>
      <c r="P187" s="843"/>
      <c r="Q187" s="525" t="str">
        <f t="shared" si="37"/>
        <v>verbergen</v>
      </c>
      <c r="R187" s="516"/>
      <c r="S187" s="516"/>
      <c r="T187" s="516"/>
      <c r="U187" s="516"/>
      <c r="V187" s="517"/>
      <c r="W187" s="508">
        <v>1</v>
      </c>
      <c r="X187" s="517"/>
      <c r="Y187" s="517"/>
      <c r="Z187" s="517"/>
      <c r="AA187" s="517"/>
      <c r="AB187" s="517"/>
      <c r="AC187" s="517"/>
      <c r="AD187" s="517"/>
      <c r="AE187" s="517"/>
      <c r="AF187" s="517"/>
      <c r="AG187" s="517"/>
    </row>
    <row r="188" spans="1:34" s="518" customFormat="1" ht="12" hidden="1" customHeight="1">
      <c r="A188" s="515"/>
      <c r="B188" s="515"/>
      <c r="C188" s="667" t="s">
        <v>140</v>
      </c>
      <c r="D188" s="847">
        <f>SUMPRODUCT(($AE$1:$AE$28075)*($L$1:$L$28075=C188))</f>
        <v>0</v>
      </c>
      <c r="E188" s="847"/>
      <c r="F188" s="812">
        <v>2</v>
      </c>
      <c r="G188" s="812"/>
      <c r="H188" s="848">
        <f t="shared" si="36"/>
        <v>0.4</v>
      </c>
      <c r="I188" s="848"/>
      <c r="J188" s="849" t="s">
        <v>245</v>
      </c>
      <c r="K188" s="849"/>
      <c r="L188" s="628"/>
      <c r="M188" s="668">
        <f>verzamelblad!$S$7*D188/H188/1000</f>
        <v>0</v>
      </c>
      <c r="N188" s="738"/>
      <c r="O188" s="850">
        <f t="shared" si="38"/>
        <v>0</v>
      </c>
      <c r="P188" s="850"/>
      <c r="Q188" s="525" t="str">
        <f t="shared" si="37"/>
        <v>verbergen</v>
      </c>
      <c r="R188" s="516"/>
      <c r="S188" s="516"/>
      <c r="T188" s="516"/>
      <c r="U188" s="516"/>
      <c r="V188" s="517"/>
      <c r="W188" s="508">
        <v>1</v>
      </c>
      <c r="X188" s="517"/>
      <c r="Y188" s="517"/>
      <c r="Z188" s="517"/>
      <c r="AA188" s="517"/>
      <c r="AB188" s="517"/>
      <c r="AC188" s="517"/>
      <c r="AD188" s="517"/>
      <c r="AE188" s="517"/>
      <c r="AF188" s="517"/>
      <c r="AG188" s="517"/>
    </row>
    <row r="189" spans="1:34" s="518" customFormat="1" ht="12" customHeight="1">
      <c r="A189" s="515"/>
      <c r="B189" s="590">
        <v>1</v>
      </c>
      <c r="C189" s="480">
        <f>B189</f>
        <v>1</v>
      </c>
      <c r="D189" s="851">
        <f>SUMPRODUCT(($AD$1:$AD$50032)*($AC$1:$AC$50032=B189))</f>
        <v>28.45</v>
      </c>
      <c r="E189" s="851"/>
      <c r="F189" s="852">
        <v>1</v>
      </c>
      <c r="G189" s="852"/>
      <c r="H189" s="853">
        <f t="shared" si="36"/>
        <v>0.1</v>
      </c>
      <c r="I189" s="853"/>
      <c r="J189" s="854" t="s">
        <v>245</v>
      </c>
      <c r="K189" s="854"/>
      <c r="L189" s="592"/>
      <c r="M189" s="669">
        <f>verzamelblad!$R$7*D189/H189/1000</f>
        <v>1.7069999999999999</v>
      </c>
      <c r="N189" s="739"/>
      <c r="O189" s="855">
        <f t="shared" si="38"/>
        <v>1.7069999999999999</v>
      </c>
      <c r="P189" s="855"/>
      <c r="Q189" s="525" t="str">
        <f t="shared" si="37"/>
        <v/>
      </c>
      <c r="R189" s="516"/>
      <c r="S189" s="516"/>
      <c r="T189" s="516"/>
      <c r="U189" s="516"/>
      <c r="V189" s="517"/>
      <c r="W189" s="508">
        <v>1</v>
      </c>
      <c r="X189" s="517"/>
      <c r="Y189" s="517"/>
      <c r="Z189" s="517"/>
      <c r="AA189" s="517"/>
      <c r="AB189" s="517"/>
      <c r="AC189" s="524"/>
      <c r="AD189" s="517"/>
      <c r="AE189" s="517"/>
      <c r="AF189" s="517"/>
      <c r="AG189" s="517"/>
    </row>
    <row r="190" spans="1:34" ht="12" customHeight="1">
      <c r="A190" s="492"/>
      <c r="B190" s="492"/>
      <c r="C190" s="463"/>
      <c r="D190" s="463"/>
      <c r="E190" s="463"/>
      <c r="F190" s="463"/>
      <c r="G190" s="463"/>
      <c r="H190" s="456"/>
      <c r="I190" s="456"/>
      <c r="J190" s="456"/>
      <c r="K190" s="456"/>
      <c r="L190" s="456"/>
      <c r="M190" s="456"/>
      <c r="N190" s="456"/>
      <c r="O190" s="456"/>
      <c r="P190" s="456"/>
      <c r="Q190" s="525"/>
      <c r="R190" s="507"/>
      <c r="S190" s="507"/>
      <c r="T190" s="532"/>
      <c r="U190" s="507"/>
      <c r="V190" s="508"/>
      <c r="W190" s="508">
        <v>1</v>
      </c>
      <c r="X190" s="508"/>
      <c r="Y190" s="508"/>
      <c r="Z190" s="508"/>
      <c r="AA190" s="508"/>
      <c r="AB190" s="508"/>
      <c r="AC190" s="508"/>
      <c r="AD190" s="508"/>
      <c r="AE190" s="508"/>
      <c r="AF190" s="508"/>
      <c r="AG190" s="508"/>
    </row>
    <row r="191" spans="1:34" s="541" customFormat="1" ht="12" customHeight="1">
      <c r="A191" s="543"/>
      <c r="B191" s="543"/>
      <c r="C191" s="464" t="str">
        <f>L29</f>
        <v>keuken</v>
      </c>
      <c r="D191" s="831">
        <f>SUMPRODUCT(($AE$1:$AE$28018)*($L$1:$L$28018=C191))</f>
        <v>15.1</v>
      </c>
      <c r="E191" s="831"/>
      <c r="F191" s="811">
        <v>1</v>
      </c>
      <c r="G191" s="811"/>
      <c r="H191" s="841">
        <f t="shared" ref="H191:H196" si="39">IF(F191=0,"",IF(F191=1,0.1,0.4))</f>
        <v>0.1</v>
      </c>
      <c r="I191" s="841"/>
      <c r="J191" s="842" t="s">
        <v>245</v>
      </c>
      <c r="K191" s="842"/>
      <c r="L191" s="404"/>
      <c r="M191" s="666">
        <f>verzamelblad!$S$7*D191/H191/1000</f>
        <v>0.45299999999999996</v>
      </c>
      <c r="N191" s="735"/>
      <c r="O191" s="843">
        <f>M191</f>
        <v>0.45299999999999996</v>
      </c>
      <c r="P191" s="843"/>
      <c r="Q191" s="403" t="str">
        <f>IF(D191=0,"verbergen","")</f>
        <v/>
      </c>
      <c r="R191" s="404"/>
      <c r="S191" s="404"/>
      <c r="T191" s="392"/>
      <c r="U191" s="392"/>
      <c r="V191" s="392"/>
      <c r="W191" s="547">
        <f>W190+1</f>
        <v>2</v>
      </c>
      <c r="X191" s="392"/>
      <c r="Y191" s="392"/>
      <c r="Z191" s="392"/>
      <c r="AA191" s="404"/>
      <c r="AB191" s="516"/>
      <c r="AC191" s="516"/>
      <c r="AD191" s="516"/>
      <c r="AE191" s="516"/>
      <c r="AF191" s="516"/>
      <c r="AG191" s="516"/>
      <c r="AH191" s="516"/>
    </row>
    <row r="192" spans="1:34" s="541" customFormat="1" ht="12" customHeight="1">
      <c r="A192" s="543"/>
      <c r="B192" s="543"/>
      <c r="C192" s="464" t="str">
        <f>L30</f>
        <v>bijkeuken</v>
      </c>
      <c r="D192" s="831">
        <f>SUMPRODUCT(($AE$1:$AE$28018)*($L$1:$L$28018=C192))</f>
        <v>5.96</v>
      </c>
      <c r="E192" s="831"/>
      <c r="F192" s="811">
        <v>1</v>
      </c>
      <c r="G192" s="811"/>
      <c r="H192" s="841">
        <f t="shared" si="39"/>
        <v>0.1</v>
      </c>
      <c r="I192" s="841"/>
      <c r="J192" s="842" t="s">
        <v>245</v>
      </c>
      <c r="K192" s="842"/>
      <c r="L192" s="404"/>
      <c r="M192" s="666">
        <f>verzamelblad!$S$7*D192/H192/1000</f>
        <v>0.17879999999999999</v>
      </c>
      <c r="N192" s="735"/>
      <c r="O192" s="843">
        <f t="shared" ref="O192:O196" si="40">M192</f>
        <v>0.17879999999999999</v>
      </c>
      <c r="P192" s="843"/>
      <c r="Q192" s="403" t="str">
        <f t="shared" ref="Q192:Q196" si="41">IF(D192=0,"verbergen","")</f>
        <v/>
      </c>
      <c r="R192" s="404"/>
      <c r="S192" s="404"/>
      <c r="T192" s="392"/>
      <c r="U192" s="392"/>
      <c r="V192" s="392"/>
      <c r="W192" s="547">
        <f t="shared" ref="W192:W197" si="42">W191</f>
        <v>2</v>
      </c>
      <c r="X192" s="392"/>
      <c r="Y192" s="392"/>
      <c r="Z192" s="392"/>
      <c r="AA192" s="404"/>
      <c r="AB192" s="516"/>
      <c r="AC192" s="516"/>
      <c r="AD192" s="516"/>
      <c r="AE192" s="516"/>
      <c r="AF192" s="516"/>
      <c r="AG192" s="516"/>
      <c r="AH192" s="516"/>
    </row>
    <row r="193" spans="1:34" s="541" customFormat="1" ht="12" hidden="1" customHeight="1">
      <c r="A193" s="543"/>
      <c r="B193" s="543"/>
      <c r="C193" s="464" t="s">
        <v>140</v>
      </c>
      <c r="D193" s="831">
        <f>SUMPRODUCT(($AE$1:$AE$28018)*($L$1:$L$28018=C193))</f>
        <v>0</v>
      </c>
      <c r="E193" s="831"/>
      <c r="F193" s="811">
        <v>2</v>
      </c>
      <c r="G193" s="811"/>
      <c r="H193" s="841">
        <f t="shared" si="39"/>
        <v>0.4</v>
      </c>
      <c r="I193" s="841"/>
      <c r="J193" s="842" t="s">
        <v>245</v>
      </c>
      <c r="K193" s="842"/>
      <c r="L193" s="404"/>
      <c r="M193" s="666">
        <f>verzamelblad!$S$7*D193/H193/1000</f>
        <v>0</v>
      </c>
      <c r="N193" s="735"/>
      <c r="O193" s="843">
        <f t="shared" si="40"/>
        <v>0</v>
      </c>
      <c r="P193" s="843"/>
      <c r="Q193" s="403" t="str">
        <f t="shared" si="41"/>
        <v>verbergen</v>
      </c>
      <c r="R193" s="404"/>
      <c r="S193" s="404"/>
      <c r="T193" s="392"/>
      <c r="U193" s="392"/>
      <c r="V193" s="392"/>
      <c r="W193" s="547">
        <f t="shared" si="42"/>
        <v>2</v>
      </c>
      <c r="X193" s="392"/>
      <c r="Y193" s="392"/>
      <c r="Z193" s="392"/>
      <c r="AA193" s="404"/>
      <c r="AB193" s="516"/>
      <c r="AC193" s="516"/>
      <c r="AD193" s="516"/>
      <c r="AE193" s="516"/>
      <c r="AF193" s="516"/>
      <c r="AG193" s="516"/>
      <c r="AH193" s="516"/>
    </row>
    <row r="194" spans="1:34" s="541" customFormat="1" ht="12" hidden="1" customHeight="1">
      <c r="A194" s="543"/>
      <c r="B194" s="543"/>
      <c r="C194" s="464" t="s">
        <v>140</v>
      </c>
      <c r="D194" s="831">
        <f>SUMPRODUCT(($AE$1:$AE$28018)*($L$1:$L$28018=C194))</f>
        <v>0</v>
      </c>
      <c r="E194" s="831"/>
      <c r="F194" s="811">
        <v>2</v>
      </c>
      <c r="G194" s="811"/>
      <c r="H194" s="841">
        <f t="shared" si="39"/>
        <v>0.4</v>
      </c>
      <c r="I194" s="841"/>
      <c r="J194" s="842" t="s">
        <v>245</v>
      </c>
      <c r="K194" s="842"/>
      <c r="L194" s="404"/>
      <c r="M194" s="666">
        <f>verzamelblad!$S$7*D194/H194/1000</f>
        <v>0</v>
      </c>
      <c r="N194" s="735"/>
      <c r="O194" s="843">
        <f t="shared" si="40"/>
        <v>0</v>
      </c>
      <c r="P194" s="843"/>
      <c r="Q194" s="403" t="str">
        <f t="shared" si="41"/>
        <v>verbergen</v>
      </c>
      <c r="R194" s="404"/>
      <c r="S194" s="404"/>
      <c r="T194" s="392"/>
      <c r="U194" s="392"/>
      <c r="V194" s="392"/>
      <c r="W194" s="547">
        <f t="shared" si="42"/>
        <v>2</v>
      </c>
      <c r="X194" s="392"/>
      <c r="Y194" s="392"/>
      <c r="Z194" s="392"/>
      <c r="AA194" s="404"/>
      <c r="AB194" s="516"/>
      <c r="AC194" s="516"/>
      <c r="AD194" s="516"/>
      <c r="AE194" s="516"/>
      <c r="AF194" s="516"/>
      <c r="AG194" s="516"/>
      <c r="AH194" s="516"/>
    </row>
    <row r="195" spans="1:34" s="541" customFormat="1" ht="12" hidden="1" customHeight="1">
      <c r="A195" s="543"/>
      <c r="B195" s="543"/>
      <c r="C195" s="464" t="s">
        <v>140</v>
      </c>
      <c r="D195" s="847">
        <f>SUMPRODUCT(($AE$1:$AE$28018)*($L$1:$L$28018=C195))</f>
        <v>0</v>
      </c>
      <c r="E195" s="847"/>
      <c r="F195" s="812">
        <v>2</v>
      </c>
      <c r="G195" s="812"/>
      <c r="H195" s="848">
        <f t="shared" si="39"/>
        <v>0.4</v>
      </c>
      <c r="I195" s="848"/>
      <c r="J195" s="849" t="s">
        <v>245</v>
      </c>
      <c r="K195" s="849"/>
      <c r="L195" s="628"/>
      <c r="M195" s="668">
        <f>verzamelblad!$S$7*D195/H195/1000</f>
        <v>0</v>
      </c>
      <c r="N195" s="738"/>
      <c r="O195" s="850">
        <f t="shared" si="40"/>
        <v>0</v>
      </c>
      <c r="P195" s="850"/>
      <c r="Q195" s="403" t="str">
        <f>IF(D195=0,"verbergen","")</f>
        <v>verbergen</v>
      </c>
      <c r="R195" s="404"/>
      <c r="S195" s="404"/>
      <c r="T195" s="392"/>
      <c r="U195" s="392"/>
      <c r="V195" s="392"/>
      <c r="W195" s="547">
        <f t="shared" si="42"/>
        <v>2</v>
      </c>
      <c r="X195" s="392"/>
      <c r="Y195" s="392"/>
      <c r="Z195" s="392"/>
      <c r="AA195" s="404"/>
      <c r="AB195" s="516"/>
      <c r="AC195" s="516"/>
      <c r="AD195" s="516"/>
      <c r="AE195" s="516"/>
      <c r="AF195" s="516"/>
      <c r="AG195" s="516"/>
      <c r="AH195" s="516"/>
    </row>
    <row r="196" spans="1:34" s="541" customFormat="1" ht="12" customHeight="1">
      <c r="A196" s="543"/>
      <c r="B196" s="556">
        <f>B189+1</f>
        <v>2</v>
      </c>
      <c r="C196" s="480">
        <f>B196</f>
        <v>2</v>
      </c>
      <c r="D196" s="851">
        <f>SUMPRODUCT(($AD$1:$AD$50044)*($AC$1:$AC$50044=B196))</f>
        <v>21.39</v>
      </c>
      <c r="E196" s="851"/>
      <c r="F196" s="852">
        <v>2</v>
      </c>
      <c r="G196" s="852"/>
      <c r="H196" s="853">
        <f t="shared" si="39"/>
        <v>0.4</v>
      </c>
      <c r="I196" s="853"/>
      <c r="J196" s="854" t="s">
        <v>245</v>
      </c>
      <c r="K196" s="854"/>
      <c r="L196" s="592"/>
      <c r="M196" s="669">
        <f>verzamelblad!$R$7*D196/H196/1000</f>
        <v>0.32084999999999997</v>
      </c>
      <c r="N196" s="739"/>
      <c r="O196" s="855">
        <f t="shared" si="40"/>
        <v>0.32084999999999997</v>
      </c>
      <c r="P196" s="855"/>
      <c r="Q196" s="403" t="str">
        <f t="shared" si="41"/>
        <v/>
      </c>
      <c r="R196" s="404"/>
      <c r="S196" s="404"/>
      <c r="T196" s="392"/>
      <c r="U196" s="392"/>
      <c r="V196" s="392"/>
      <c r="W196" s="547">
        <f t="shared" si="42"/>
        <v>2</v>
      </c>
      <c r="X196" s="392"/>
      <c r="Y196" s="392"/>
      <c r="Z196" s="392"/>
      <c r="AA196" s="404"/>
      <c r="AB196" s="516"/>
      <c r="AC196" s="516"/>
      <c r="AD196" s="516"/>
      <c r="AE196" s="516"/>
      <c r="AF196" s="516"/>
      <c r="AG196" s="516"/>
      <c r="AH196" s="516"/>
    </row>
    <row r="197" spans="1:34" s="493" customFormat="1" ht="12" customHeight="1">
      <c r="A197" s="560"/>
      <c r="B197" s="560"/>
      <c r="C197" s="463"/>
      <c r="D197" s="463"/>
      <c r="E197" s="463"/>
      <c r="F197" s="463"/>
      <c r="G197" s="463"/>
      <c r="H197" s="456"/>
      <c r="I197" s="456"/>
      <c r="J197" s="456"/>
      <c r="K197" s="456"/>
      <c r="L197" s="456"/>
      <c r="M197" s="456"/>
      <c r="N197" s="456"/>
      <c r="O197" s="456"/>
      <c r="P197" s="456"/>
      <c r="Q197" s="451"/>
      <c r="R197" s="451"/>
      <c r="S197" s="451"/>
      <c r="T197" s="561"/>
      <c r="U197" s="547"/>
      <c r="V197" s="547"/>
      <c r="W197" s="547">
        <f t="shared" si="42"/>
        <v>2</v>
      </c>
      <c r="X197" s="547"/>
      <c r="Y197" s="547"/>
      <c r="Z197" s="547"/>
      <c r="AA197" s="451"/>
      <c r="AB197" s="507"/>
      <c r="AC197" s="507"/>
      <c r="AD197" s="507"/>
      <c r="AE197" s="507"/>
      <c r="AF197" s="507"/>
      <c r="AG197" s="507"/>
      <c r="AH197" s="507"/>
    </row>
    <row r="198" spans="1:34" s="541" customFormat="1" ht="12" customHeight="1">
      <c r="A198" s="543"/>
      <c r="B198" s="543"/>
      <c r="C198" s="640" t="str">
        <f>L31</f>
        <v>slaapkamer 1</v>
      </c>
      <c r="D198" s="831">
        <f>SUMPRODUCT(($AE$1:$AE$28002)*($L$1:$L$28002=C198))</f>
        <v>10.88</v>
      </c>
      <c r="E198" s="831"/>
      <c r="F198" s="811">
        <v>1</v>
      </c>
      <c r="G198" s="811"/>
      <c r="H198" s="841">
        <f t="shared" ref="H198:H203" si="43">IF(F198=0,"",IF(F198=1,0.1,0.4))</f>
        <v>0.1</v>
      </c>
      <c r="I198" s="841"/>
      <c r="J198" s="842" t="s">
        <v>245</v>
      </c>
      <c r="K198" s="842"/>
      <c r="L198" s="404"/>
      <c r="M198" s="666">
        <f>verzamelblad!$S$7*D198/H198/1000</f>
        <v>0.32639999999999997</v>
      </c>
      <c r="N198" s="735"/>
      <c r="O198" s="856">
        <f>M198</f>
        <v>0.32639999999999997</v>
      </c>
      <c r="P198" s="856"/>
      <c r="Q198" s="403" t="str">
        <f>IF(D198=0,"verbergen","")</f>
        <v/>
      </c>
      <c r="R198" s="404"/>
      <c r="S198" s="404"/>
      <c r="T198" s="392"/>
      <c r="U198" s="392"/>
      <c r="V198" s="392"/>
      <c r="W198" s="547">
        <f>W197+1</f>
        <v>3</v>
      </c>
      <c r="X198" s="392"/>
      <c r="Y198" s="392"/>
      <c r="Z198" s="392"/>
      <c r="AA198" s="404"/>
      <c r="AB198" s="516"/>
      <c r="AC198" s="516"/>
      <c r="AD198" s="516"/>
      <c r="AE198" s="516"/>
      <c r="AF198" s="516"/>
      <c r="AG198" s="516"/>
      <c r="AH198" s="516"/>
    </row>
    <row r="199" spans="1:34" s="541" customFormat="1" ht="12" customHeight="1">
      <c r="A199" s="543"/>
      <c r="B199" s="543"/>
      <c r="C199" s="640" t="str">
        <f t="shared" ref="C199:C200" si="44">L32</f>
        <v>slaapkamer 2</v>
      </c>
      <c r="D199" s="831">
        <f>SUMPRODUCT(($AE$1:$AE$28002)*($L$1:$L$28002=C199))</f>
        <v>10.78</v>
      </c>
      <c r="E199" s="831"/>
      <c r="F199" s="811">
        <v>1</v>
      </c>
      <c r="G199" s="811"/>
      <c r="H199" s="841">
        <f t="shared" si="43"/>
        <v>0.1</v>
      </c>
      <c r="I199" s="841"/>
      <c r="J199" s="842" t="s">
        <v>245</v>
      </c>
      <c r="K199" s="842"/>
      <c r="L199" s="404"/>
      <c r="M199" s="666">
        <f>verzamelblad!$S$7*D199/H199/1000</f>
        <v>0.32339999999999991</v>
      </c>
      <c r="N199" s="735"/>
      <c r="O199" s="856">
        <f t="shared" ref="O199:O203" si="45">M199</f>
        <v>0.32339999999999991</v>
      </c>
      <c r="P199" s="856"/>
      <c r="Q199" s="403" t="str">
        <f t="shared" ref="Q199:Q203" si="46">IF(D199=0,"verbergen","")</f>
        <v/>
      </c>
      <c r="R199" s="404"/>
      <c r="S199" s="404"/>
      <c r="T199" s="392"/>
      <c r="U199" s="392"/>
      <c r="V199" s="392"/>
      <c r="W199" s="547">
        <f t="shared" ref="W199:W204" si="47">W198</f>
        <v>3</v>
      </c>
      <c r="X199" s="392"/>
      <c r="Y199" s="392"/>
      <c r="Z199" s="392"/>
      <c r="AA199" s="404"/>
      <c r="AB199" s="516"/>
      <c r="AC199" s="516"/>
      <c r="AD199" s="516"/>
      <c r="AE199" s="516"/>
      <c r="AF199" s="516"/>
      <c r="AG199" s="516"/>
      <c r="AH199" s="516"/>
    </row>
    <row r="200" spans="1:34" s="541" customFormat="1" ht="12" customHeight="1">
      <c r="A200" s="543"/>
      <c r="B200" s="543"/>
      <c r="C200" s="640" t="str">
        <f t="shared" si="44"/>
        <v>studeerkamer</v>
      </c>
      <c r="D200" s="831">
        <f>SUMPRODUCT(($AE$1:$AE$28002)*($L$1:$L$28002=C200))</f>
        <v>9.8000000000000007</v>
      </c>
      <c r="E200" s="831"/>
      <c r="F200" s="811">
        <v>1</v>
      </c>
      <c r="G200" s="811"/>
      <c r="H200" s="841">
        <f t="shared" si="43"/>
        <v>0.1</v>
      </c>
      <c r="I200" s="841"/>
      <c r="J200" s="842" t="s">
        <v>245</v>
      </c>
      <c r="K200" s="842"/>
      <c r="L200" s="404"/>
      <c r="M200" s="666">
        <f>verzamelblad!$S$7*D200/H200/1000</f>
        <v>0.29399999999999998</v>
      </c>
      <c r="N200" s="735"/>
      <c r="O200" s="856">
        <f t="shared" si="45"/>
        <v>0.29399999999999998</v>
      </c>
      <c r="P200" s="856"/>
      <c r="Q200" s="403" t="str">
        <f t="shared" si="46"/>
        <v/>
      </c>
      <c r="R200" s="404"/>
      <c r="S200" s="404"/>
      <c r="T200" s="392"/>
      <c r="U200" s="392"/>
      <c r="V200" s="392"/>
      <c r="W200" s="547">
        <f t="shared" si="47"/>
        <v>3</v>
      </c>
      <c r="X200" s="392"/>
      <c r="Y200" s="392"/>
      <c r="Z200" s="392"/>
      <c r="AA200" s="404"/>
      <c r="AB200" s="516"/>
      <c r="AC200" s="516"/>
      <c r="AD200" s="516"/>
      <c r="AE200" s="516"/>
      <c r="AF200" s="516"/>
      <c r="AG200" s="516"/>
      <c r="AH200" s="516"/>
    </row>
    <row r="201" spans="1:34" s="541" customFormat="1" ht="12" hidden="1" customHeight="1">
      <c r="A201" s="543"/>
      <c r="B201" s="543"/>
      <c r="C201" s="640" t="s">
        <v>140</v>
      </c>
      <c r="D201" s="831">
        <f>SUMPRODUCT(($AE$1:$AE$28002)*($L$1:$L$28002=C201))</f>
        <v>0</v>
      </c>
      <c r="E201" s="831"/>
      <c r="F201" s="811">
        <v>2</v>
      </c>
      <c r="G201" s="811"/>
      <c r="H201" s="841">
        <f t="shared" si="43"/>
        <v>0.4</v>
      </c>
      <c r="I201" s="841"/>
      <c r="J201" s="842" t="s">
        <v>245</v>
      </c>
      <c r="K201" s="842"/>
      <c r="L201" s="404"/>
      <c r="M201" s="666">
        <f>verzamelblad!$S$7*D201/H201/1000</f>
        <v>0</v>
      </c>
      <c r="N201" s="735"/>
      <c r="O201" s="856">
        <f t="shared" si="45"/>
        <v>0</v>
      </c>
      <c r="P201" s="856"/>
      <c r="Q201" s="403" t="str">
        <f t="shared" si="46"/>
        <v>verbergen</v>
      </c>
      <c r="R201" s="404"/>
      <c r="S201" s="404"/>
      <c r="T201" s="392"/>
      <c r="U201" s="392"/>
      <c r="V201" s="392"/>
      <c r="W201" s="547">
        <f t="shared" si="47"/>
        <v>3</v>
      </c>
      <c r="X201" s="392"/>
      <c r="Y201" s="392"/>
      <c r="Z201" s="392"/>
      <c r="AA201" s="404"/>
      <c r="AB201" s="516"/>
      <c r="AC201" s="516"/>
      <c r="AD201" s="516"/>
      <c r="AE201" s="516"/>
      <c r="AF201" s="516"/>
      <c r="AG201" s="516"/>
      <c r="AH201" s="516"/>
    </row>
    <row r="202" spans="1:34" s="541" customFormat="1" ht="12" hidden="1" customHeight="1">
      <c r="A202" s="543"/>
      <c r="B202" s="543"/>
      <c r="C202" s="667" t="s">
        <v>140</v>
      </c>
      <c r="D202" s="847">
        <f>SUMPRODUCT(($AE$1:$AE$28002)*($L$1:$L$28002=C202))</f>
        <v>0</v>
      </c>
      <c r="E202" s="847"/>
      <c r="F202" s="812">
        <v>2</v>
      </c>
      <c r="G202" s="812"/>
      <c r="H202" s="848">
        <f t="shared" si="43"/>
        <v>0.4</v>
      </c>
      <c r="I202" s="848"/>
      <c r="J202" s="849" t="s">
        <v>245</v>
      </c>
      <c r="K202" s="849"/>
      <c r="L202" s="628"/>
      <c r="M202" s="668">
        <f>verzamelblad!$S$7*D202/H202/1000</f>
        <v>0</v>
      </c>
      <c r="N202" s="738"/>
      <c r="O202" s="857">
        <f t="shared" si="45"/>
        <v>0</v>
      </c>
      <c r="P202" s="857"/>
      <c r="Q202" s="403" t="str">
        <f>IF(D202=0,"verbergen","")</f>
        <v>verbergen</v>
      </c>
      <c r="R202" s="404"/>
      <c r="S202" s="404"/>
      <c r="T202" s="392"/>
      <c r="U202" s="392"/>
      <c r="V202" s="392"/>
      <c r="W202" s="547">
        <f t="shared" si="47"/>
        <v>3</v>
      </c>
      <c r="X202" s="392"/>
      <c r="Y202" s="392"/>
      <c r="Z202" s="392"/>
      <c r="AA202" s="404"/>
      <c r="AB202" s="516"/>
      <c r="AC202" s="516"/>
      <c r="AD202" s="516"/>
      <c r="AE202" s="516"/>
      <c r="AF202" s="516"/>
      <c r="AG202" s="516"/>
      <c r="AH202" s="516"/>
    </row>
    <row r="203" spans="1:34" s="541" customFormat="1" ht="12" customHeight="1">
      <c r="A203" s="543"/>
      <c r="B203" s="556">
        <f>B196+1</f>
        <v>3</v>
      </c>
      <c r="C203" s="480">
        <f>B203</f>
        <v>3</v>
      </c>
      <c r="D203" s="851">
        <f>SUMPRODUCT(($AD$1:$AD$50028)*($AC$1:$AC$50028=B203))</f>
        <v>32</v>
      </c>
      <c r="E203" s="851"/>
      <c r="F203" s="852">
        <v>2</v>
      </c>
      <c r="G203" s="852"/>
      <c r="H203" s="853">
        <f t="shared" si="43"/>
        <v>0.4</v>
      </c>
      <c r="I203" s="853"/>
      <c r="J203" s="854" t="s">
        <v>245</v>
      </c>
      <c r="K203" s="854"/>
      <c r="L203" s="592"/>
      <c r="M203" s="669">
        <f>verzamelblad!$R$7*D203/H203/1000</f>
        <v>0.48</v>
      </c>
      <c r="N203" s="739"/>
      <c r="O203" s="858">
        <f t="shared" si="45"/>
        <v>0.48</v>
      </c>
      <c r="P203" s="858"/>
      <c r="Q203" s="403" t="str">
        <f t="shared" si="46"/>
        <v/>
      </c>
      <c r="R203" s="404"/>
      <c r="S203" s="404"/>
      <c r="T203" s="392"/>
      <c r="U203" s="392"/>
      <c r="V203" s="392"/>
      <c r="W203" s="547">
        <f t="shared" si="47"/>
        <v>3</v>
      </c>
      <c r="X203" s="392"/>
      <c r="Y203" s="392"/>
      <c r="Z203" s="392"/>
      <c r="AA203" s="404"/>
      <c r="AB203" s="516"/>
      <c r="AC203" s="516"/>
      <c r="AD203" s="516"/>
      <c r="AE203" s="516"/>
      <c r="AF203" s="516"/>
      <c r="AG203" s="516"/>
      <c r="AH203" s="516"/>
    </row>
    <row r="204" spans="1:34" s="493" customFormat="1" ht="12" customHeight="1">
      <c r="A204" s="560"/>
      <c r="B204" s="560"/>
      <c r="C204" s="463"/>
      <c r="D204" s="463"/>
      <c r="E204" s="463"/>
      <c r="F204" s="463"/>
      <c r="G204" s="463"/>
      <c r="H204" s="456"/>
      <c r="I204" s="456"/>
      <c r="J204" s="456"/>
      <c r="K204" s="456"/>
      <c r="L204" s="456"/>
      <c r="M204" s="456"/>
      <c r="N204" s="456"/>
      <c r="O204" s="456"/>
      <c r="P204" s="456"/>
      <c r="Q204" s="451"/>
      <c r="R204" s="451"/>
      <c r="S204" s="451"/>
      <c r="T204" s="561"/>
      <c r="U204" s="547"/>
      <c r="V204" s="547"/>
      <c r="W204" s="547">
        <f t="shared" si="47"/>
        <v>3</v>
      </c>
      <c r="X204" s="547"/>
      <c r="Y204" s="547"/>
      <c r="Z204" s="547"/>
      <c r="AA204" s="451"/>
      <c r="AB204" s="507"/>
      <c r="AC204" s="507"/>
      <c r="AD204" s="507"/>
      <c r="AE204" s="507"/>
      <c r="AF204" s="507"/>
      <c r="AG204" s="507"/>
      <c r="AH204" s="507"/>
    </row>
    <row r="205" spans="1:34" s="541" customFormat="1" ht="12" customHeight="1">
      <c r="A205" s="543"/>
      <c r="B205" s="543"/>
      <c r="C205" s="640" t="str">
        <f>L34</f>
        <v>slaapkamer 3</v>
      </c>
      <c r="D205" s="831">
        <f>SUMPRODUCT(($AE$1:$AE$27974)*($L$1:$L$27974=C205))</f>
        <v>9.32</v>
      </c>
      <c r="E205" s="831"/>
      <c r="F205" s="811">
        <v>1</v>
      </c>
      <c r="G205" s="811"/>
      <c r="H205" s="841">
        <f t="shared" ref="H205:H210" si="48">IF(F205=0,"",IF(F205=1,0.1,0.4))</f>
        <v>0.1</v>
      </c>
      <c r="I205" s="841"/>
      <c r="J205" s="842" t="s">
        <v>245</v>
      </c>
      <c r="K205" s="842"/>
      <c r="L205" s="404"/>
      <c r="M205" s="666">
        <f>verzamelblad!$S$7*D205/H205/1000</f>
        <v>0.27959999999999996</v>
      </c>
      <c r="N205" s="735"/>
      <c r="O205" s="856">
        <f>M205</f>
        <v>0.27959999999999996</v>
      </c>
      <c r="P205" s="856"/>
      <c r="Q205" s="403" t="str">
        <f>IF(D205=0,"verbergen","")</f>
        <v/>
      </c>
      <c r="R205" s="404"/>
      <c r="S205" s="404"/>
      <c r="T205" s="392"/>
      <c r="U205" s="392"/>
      <c r="V205" s="392"/>
      <c r="W205" s="547">
        <f>W204+1</f>
        <v>4</v>
      </c>
      <c r="X205" s="392"/>
      <c r="Y205" s="392"/>
      <c r="Z205" s="392"/>
      <c r="AA205" s="404"/>
      <c r="AB205" s="516"/>
      <c r="AC205" s="516"/>
      <c r="AD205" s="516"/>
      <c r="AE205" s="516"/>
      <c r="AF205" s="516"/>
      <c r="AG205" s="516"/>
      <c r="AH205" s="516"/>
    </row>
    <row r="206" spans="1:34" s="541" customFormat="1" ht="12" hidden="1" customHeight="1">
      <c r="A206" s="543"/>
      <c r="B206" s="543"/>
      <c r="C206" s="640" t="s">
        <v>140</v>
      </c>
      <c r="D206" s="831">
        <f>SUMPRODUCT(($AE$1:$AE$27974)*($L$1:$L$27974=C206))</f>
        <v>0</v>
      </c>
      <c r="E206" s="831"/>
      <c r="F206" s="811">
        <v>2</v>
      </c>
      <c r="G206" s="811"/>
      <c r="H206" s="841">
        <f t="shared" si="48"/>
        <v>0.4</v>
      </c>
      <c r="I206" s="841"/>
      <c r="J206" s="842" t="s">
        <v>245</v>
      </c>
      <c r="K206" s="842"/>
      <c r="L206" s="404"/>
      <c r="M206" s="666">
        <f>verzamelblad!$S$7*D206/H206/1000</f>
        <v>0</v>
      </c>
      <c r="N206" s="735"/>
      <c r="O206" s="856">
        <f t="shared" ref="O206:O210" si="49">M206</f>
        <v>0</v>
      </c>
      <c r="P206" s="856"/>
      <c r="Q206" s="403" t="str">
        <f t="shared" ref="Q206:Q210" si="50">IF(D206=0,"verbergen","")</f>
        <v>verbergen</v>
      </c>
      <c r="R206" s="404"/>
      <c r="S206" s="404"/>
      <c r="T206" s="392"/>
      <c r="U206" s="392"/>
      <c r="V206" s="392"/>
      <c r="W206" s="547">
        <f t="shared" ref="W206:W211" si="51">W205</f>
        <v>4</v>
      </c>
      <c r="X206" s="392"/>
      <c r="Y206" s="392"/>
      <c r="Z206" s="392"/>
      <c r="AA206" s="404"/>
      <c r="AB206" s="516"/>
      <c r="AC206" s="516"/>
      <c r="AD206" s="516"/>
      <c r="AE206" s="516"/>
      <c r="AF206" s="516"/>
      <c r="AG206" s="516"/>
      <c r="AH206" s="516"/>
    </row>
    <row r="207" spans="1:34" s="541" customFormat="1" ht="12" hidden="1" customHeight="1">
      <c r="A207" s="543"/>
      <c r="B207" s="543"/>
      <c r="C207" s="640" t="s">
        <v>140</v>
      </c>
      <c r="D207" s="831">
        <f>SUMPRODUCT(($AE$1:$AE$27974)*($L$1:$L$27974=C207))</f>
        <v>0</v>
      </c>
      <c r="E207" s="831"/>
      <c r="F207" s="811">
        <v>2</v>
      </c>
      <c r="G207" s="811"/>
      <c r="H207" s="841">
        <f t="shared" si="48"/>
        <v>0.4</v>
      </c>
      <c r="I207" s="841"/>
      <c r="J207" s="842" t="s">
        <v>245</v>
      </c>
      <c r="K207" s="842"/>
      <c r="L207" s="404"/>
      <c r="M207" s="666">
        <f>verzamelblad!$S$7*D207/H207/1000</f>
        <v>0</v>
      </c>
      <c r="N207" s="735"/>
      <c r="O207" s="856">
        <f t="shared" si="49"/>
        <v>0</v>
      </c>
      <c r="P207" s="856"/>
      <c r="Q207" s="403" t="str">
        <f t="shared" si="50"/>
        <v>verbergen</v>
      </c>
      <c r="R207" s="404"/>
      <c r="S207" s="404"/>
      <c r="T207" s="392"/>
      <c r="U207" s="392"/>
      <c r="V207" s="392"/>
      <c r="W207" s="547">
        <f t="shared" si="51"/>
        <v>4</v>
      </c>
      <c r="X207" s="392"/>
      <c r="Y207" s="392"/>
      <c r="Z207" s="392"/>
      <c r="AA207" s="404"/>
      <c r="AB207" s="516"/>
      <c r="AC207" s="516"/>
      <c r="AD207" s="516"/>
      <c r="AE207" s="516"/>
      <c r="AF207" s="516"/>
      <c r="AG207" s="516"/>
      <c r="AH207" s="516"/>
    </row>
    <row r="208" spans="1:34" s="541" customFormat="1" ht="12" hidden="1" customHeight="1">
      <c r="A208" s="543"/>
      <c r="B208" s="543"/>
      <c r="C208" s="640" t="s">
        <v>140</v>
      </c>
      <c r="D208" s="831">
        <f>SUMPRODUCT(($AE$1:$AE$27974)*($L$1:$L$27974=C208))</f>
        <v>0</v>
      </c>
      <c r="E208" s="831"/>
      <c r="F208" s="811">
        <v>2</v>
      </c>
      <c r="G208" s="811"/>
      <c r="H208" s="841">
        <f t="shared" si="48"/>
        <v>0.4</v>
      </c>
      <c r="I208" s="841"/>
      <c r="J208" s="842" t="s">
        <v>245</v>
      </c>
      <c r="K208" s="842"/>
      <c r="L208" s="404"/>
      <c r="M208" s="666">
        <f>verzamelblad!$S$7*D208/H208/1000</f>
        <v>0</v>
      </c>
      <c r="N208" s="735"/>
      <c r="O208" s="856">
        <f t="shared" si="49"/>
        <v>0</v>
      </c>
      <c r="P208" s="856"/>
      <c r="Q208" s="403" t="str">
        <f t="shared" si="50"/>
        <v>verbergen</v>
      </c>
      <c r="R208" s="404"/>
      <c r="S208" s="404"/>
      <c r="T208" s="392"/>
      <c r="U208" s="392"/>
      <c r="V208" s="392"/>
      <c r="W208" s="547">
        <f t="shared" si="51"/>
        <v>4</v>
      </c>
      <c r="X208" s="392"/>
      <c r="Y208" s="392"/>
      <c r="Z208" s="392"/>
      <c r="AA208" s="404"/>
      <c r="AB208" s="516"/>
      <c r="AC208" s="516"/>
      <c r="AD208" s="516"/>
      <c r="AE208" s="516"/>
      <c r="AF208" s="516"/>
      <c r="AG208" s="516"/>
      <c r="AH208" s="516"/>
    </row>
    <row r="209" spans="1:34" s="541" customFormat="1" ht="12" hidden="1" customHeight="1">
      <c r="A209" s="543"/>
      <c r="B209" s="543"/>
      <c r="C209" s="667" t="s">
        <v>140</v>
      </c>
      <c r="D209" s="847">
        <f>SUMPRODUCT(($AE$1:$AE$27974)*($L$1:$L$27974=C209))</f>
        <v>0</v>
      </c>
      <c r="E209" s="847"/>
      <c r="F209" s="812">
        <v>2</v>
      </c>
      <c r="G209" s="812"/>
      <c r="H209" s="848">
        <f t="shared" si="48"/>
        <v>0.4</v>
      </c>
      <c r="I209" s="848"/>
      <c r="J209" s="849" t="s">
        <v>245</v>
      </c>
      <c r="K209" s="849"/>
      <c r="L209" s="628"/>
      <c r="M209" s="668">
        <f>verzamelblad!$S$7*D209/H209/1000</f>
        <v>0</v>
      </c>
      <c r="N209" s="738"/>
      <c r="O209" s="857">
        <f t="shared" si="49"/>
        <v>0</v>
      </c>
      <c r="P209" s="857"/>
      <c r="Q209" s="403" t="str">
        <f>IF(D209=0,"verbergen","")</f>
        <v>verbergen</v>
      </c>
      <c r="R209" s="404"/>
      <c r="S209" s="404"/>
      <c r="T209" s="392"/>
      <c r="U209" s="392"/>
      <c r="V209" s="392"/>
      <c r="W209" s="547">
        <f t="shared" si="51"/>
        <v>4</v>
      </c>
      <c r="X209" s="392"/>
      <c r="Y209" s="392"/>
      <c r="Z209" s="392"/>
      <c r="AA209" s="404"/>
      <c r="AB209" s="516"/>
      <c r="AC209" s="516"/>
      <c r="AD209" s="516"/>
      <c r="AE209" s="516"/>
      <c r="AF209" s="516"/>
      <c r="AG209" s="516"/>
      <c r="AH209" s="516"/>
    </row>
    <row r="210" spans="1:34" s="541" customFormat="1" ht="12" customHeight="1">
      <c r="A210" s="543"/>
      <c r="B210" s="556">
        <f>B203+1</f>
        <v>4</v>
      </c>
      <c r="C210" s="480">
        <f>B210</f>
        <v>4</v>
      </c>
      <c r="D210" s="851">
        <f>SUMPRODUCT(($AD$1:$AD$50000)*($AC$1:$AC$50000=B210))</f>
        <v>9.32</v>
      </c>
      <c r="E210" s="851"/>
      <c r="F210" s="852">
        <v>2</v>
      </c>
      <c r="G210" s="852"/>
      <c r="H210" s="853">
        <f t="shared" si="48"/>
        <v>0.4</v>
      </c>
      <c r="I210" s="853"/>
      <c r="J210" s="854" t="s">
        <v>245</v>
      </c>
      <c r="K210" s="854"/>
      <c r="L210" s="592"/>
      <c r="M210" s="669">
        <f>verzamelblad!$R$7*D210/H210/1000</f>
        <v>0.13979999999999998</v>
      </c>
      <c r="N210" s="739"/>
      <c r="O210" s="858">
        <f t="shared" si="49"/>
        <v>0.13979999999999998</v>
      </c>
      <c r="P210" s="858"/>
      <c r="Q210" s="403" t="str">
        <f t="shared" si="50"/>
        <v/>
      </c>
      <c r="R210" s="404"/>
      <c r="S210" s="404"/>
      <c r="T210" s="392"/>
      <c r="U210" s="392"/>
      <c r="V210" s="392"/>
      <c r="W210" s="547">
        <f t="shared" si="51"/>
        <v>4</v>
      </c>
      <c r="X210" s="392"/>
      <c r="Y210" s="392"/>
      <c r="Z210" s="392"/>
      <c r="AA210" s="404"/>
      <c r="AB210" s="516"/>
      <c r="AC210" s="516"/>
      <c r="AD210" s="516"/>
      <c r="AE210" s="516"/>
      <c r="AF210" s="516"/>
      <c r="AG210" s="516"/>
      <c r="AH210" s="516"/>
    </row>
    <row r="211" spans="1:34" s="493" customFormat="1" ht="12" customHeight="1">
      <c r="A211" s="560"/>
      <c r="B211" s="560"/>
      <c r="C211" s="463"/>
      <c r="D211" s="463"/>
      <c r="E211" s="463"/>
      <c r="F211" s="463"/>
      <c r="G211" s="463"/>
      <c r="H211" s="456"/>
      <c r="I211" s="456"/>
      <c r="J211" s="456"/>
      <c r="K211" s="456"/>
      <c r="L211" s="456"/>
      <c r="M211" s="456"/>
      <c r="N211" s="456"/>
      <c r="O211" s="456"/>
      <c r="P211" s="456"/>
      <c r="Q211" s="451"/>
      <c r="R211" s="451"/>
      <c r="S211" s="451"/>
      <c r="T211" s="561"/>
      <c r="U211" s="547"/>
      <c r="V211" s="547"/>
      <c r="W211" s="547">
        <f t="shared" si="51"/>
        <v>4</v>
      </c>
      <c r="X211" s="547"/>
      <c r="Y211" s="547"/>
      <c r="Z211" s="547"/>
      <c r="AA211" s="451"/>
      <c r="AB211" s="507"/>
      <c r="AC211" s="507"/>
      <c r="AD211" s="507"/>
      <c r="AE211" s="507"/>
      <c r="AF211" s="507"/>
      <c r="AG211" s="507"/>
      <c r="AH211" s="507"/>
    </row>
    <row r="212" spans="1:34" ht="12" customHeight="1"/>
  </sheetData>
  <sheetProtection algorithmName="SHA-512" hashValue="9OmmeSY9UVzYpRQ+xPLcj3DNDJI4XuEOGAeuHIcMyvmkR+//goLgwVy/Mg3mWcJryDpqZCj1DRDZFxDgp36LyQ==" saltValue="iWRiGGv6HdEMZtRica4J+Q==" spinCount="100000" sheet="1" objects="1" scenarios="1"/>
  <dataConsolidate/>
  <mergeCells count="360">
    <mergeCell ref="D210:E210"/>
    <mergeCell ref="F210:G210"/>
    <mergeCell ref="H210:I210"/>
    <mergeCell ref="J210:K210"/>
    <mergeCell ref="O210:P210"/>
    <mergeCell ref="I165:J165"/>
    <mergeCell ref="K165:P165"/>
    <mergeCell ref="I166:J166"/>
    <mergeCell ref="K166:P166"/>
    <mergeCell ref="I167:J167"/>
    <mergeCell ref="K167:P167"/>
    <mergeCell ref="I168:J168"/>
    <mergeCell ref="K168:P168"/>
    <mergeCell ref="I169:J169"/>
    <mergeCell ref="K169:P169"/>
    <mergeCell ref="K170:P170"/>
    <mergeCell ref="K171:L171"/>
    <mergeCell ref="M171:N171"/>
    <mergeCell ref="O171:P171"/>
    <mergeCell ref="D208:E208"/>
    <mergeCell ref="F208:G208"/>
    <mergeCell ref="H208:I208"/>
    <mergeCell ref="J208:K208"/>
    <mergeCell ref="O208:P208"/>
    <mergeCell ref="D209:E209"/>
    <mergeCell ref="F209:G209"/>
    <mergeCell ref="H209:I209"/>
    <mergeCell ref="J209:K209"/>
    <mergeCell ref="O209:P209"/>
    <mergeCell ref="D206:E206"/>
    <mergeCell ref="F206:G206"/>
    <mergeCell ref="H206:I206"/>
    <mergeCell ref="J206:K206"/>
    <mergeCell ref="O206:P206"/>
    <mergeCell ref="D207:E207"/>
    <mergeCell ref="F207:G207"/>
    <mergeCell ref="H207:I207"/>
    <mergeCell ref="J207:K207"/>
    <mergeCell ref="O207:P207"/>
    <mergeCell ref="I109:J109"/>
    <mergeCell ref="L109:M109"/>
    <mergeCell ref="N109:O109"/>
    <mergeCell ref="F110:H110"/>
    <mergeCell ref="M110:N110"/>
    <mergeCell ref="D205:E205"/>
    <mergeCell ref="F205:G205"/>
    <mergeCell ref="H205:I205"/>
    <mergeCell ref="J205:K205"/>
    <mergeCell ref="O205:P205"/>
    <mergeCell ref="D203:E203"/>
    <mergeCell ref="F203:G203"/>
    <mergeCell ref="H203:I203"/>
    <mergeCell ref="J203:K203"/>
    <mergeCell ref="O203:P203"/>
    <mergeCell ref="I158:J158"/>
    <mergeCell ref="K158:P158"/>
    <mergeCell ref="I159:J159"/>
    <mergeCell ref="K159:P159"/>
    <mergeCell ref="I160:J160"/>
    <mergeCell ref="K160:P160"/>
    <mergeCell ref="I161:J161"/>
    <mergeCell ref="K161:P161"/>
    <mergeCell ref="I162:J162"/>
    <mergeCell ref="D196:E196"/>
    <mergeCell ref="F196:G196"/>
    <mergeCell ref="H196:I196"/>
    <mergeCell ref="J196:K196"/>
    <mergeCell ref="O196:P196"/>
    <mergeCell ref="D194:E194"/>
    <mergeCell ref="F194:G194"/>
    <mergeCell ref="H194:I194"/>
    <mergeCell ref="J194:K194"/>
    <mergeCell ref="O194:P194"/>
    <mergeCell ref="D195:E195"/>
    <mergeCell ref="F195:G195"/>
    <mergeCell ref="H195:I195"/>
    <mergeCell ref="J195:K195"/>
    <mergeCell ref="D202:E202"/>
    <mergeCell ref="F202:G202"/>
    <mergeCell ref="H202:I202"/>
    <mergeCell ref="J202:K202"/>
    <mergeCell ref="O202:P202"/>
    <mergeCell ref="D199:E199"/>
    <mergeCell ref="F199:G199"/>
    <mergeCell ref="H199:I199"/>
    <mergeCell ref="J199:K199"/>
    <mergeCell ref="O199:P199"/>
    <mergeCell ref="D200:E200"/>
    <mergeCell ref="F200:G200"/>
    <mergeCell ref="H200:I200"/>
    <mergeCell ref="J200:K200"/>
    <mergeCell ref="O200:P200"/>
    <mergeCell ref="D201:E201"/>
    <mergeCell ref="F201:G201"/>
    <mergeCell ref="H201:I201"/>
    <mergeCell ref="J201:K201"/>
    <mergeCell ref="O201:P201"/>
    <mergeCell ref="L101:M101"/>
    <mergeCell ref="N101:O101"/>
    <mergeCell ref="I102:J102"/>
    <mergeCell ref="L102:M102"/>
    <mergeCell ref="N102:O102"/>
    <mergeCell ref="F103:H103"/>
    <mergeCell ref="M103:N103"/>
    <mergeCell ref="D198:E198"/>
    <mergeCell ref="F198:G198"/>
    <mergeCell ref="H198:I198"/>
    <mergeCell ref="J198:K198"/>
    <mergeCell ref="O198:P198"/>
    <mergeCell ref="I105:J105"/>
    <mergeCell ref="L105:M105"/>
    <mergeCell ref="N105:O105"/>
    <mergeCell ref="I106:J106"/>
    <mergeCell ref="L106:M106"/>
    <mergeCell ref="N106:O106"/>
    <mergeCell ref="I107:J107"/>
    <mergeCell ref="L107:M107"/>
    <mergeCell ref="N107:O107"/>
    <mergeCell ref="I108:J108"/>
    <mergeCell ref="L108:M108"/>
    <mergeCell ref="N108:O108"/>
    <mergeCell ref="O195:P195"/>
    <mergeCell ref="D192:E192"/>
    <mergeCell ref="F192:G192"/>
    <mergeCell ref="H192:I192"/>
    <mergeCell ref="J192:K192"/>
    <mergeCell ref="O192:P192"/>
    <mergeCell ref="D193:E193"/>
    <mergeCell ref="F193:G193"/>
    <mergeCell ref="H193:I193"/>
    <mergeCell ref="J193:K193"/>
    <mergeCell ref="O193:P193"/>
    <mergeCell ref="D189:E189"/>
    <mergeCell ref="F189:G189"/>
    <mergeCell ref="H189:I189"/>
    <mergeCell ref="J189:K189"/>
    <mergeCell ref="O189:P189"/>
    <mergeCell ref="D191:E191"/>
    <mergeCell ref="F191:G191"/>
    <mergeCell ref="H191:I191"/>
    <mergeCell ref="J191:K191"/>
    <mergeCell ref="O191:P191"/>
    <mergeCell ref="D187:E187"/>
    <mergeCell ref="F187:G187"/>
    <mergeCell ref="H187:I187"/>
    <mergeCell ref="J187:K187"/>
    <mergeCell ref="O187:P187"/>
    <mergeCell ref="D188:E188"/>
    <mergeCell ref="F188:G188"/>
    <mergeCell ref="H188:I188"/>
    <mergeCell ref="J188:K188"/>
    <mergeCell ref="O188:P188"/>
    <mergeCell ref="D185:E185"/>
    <mergeCell ref="F185:G185"/>
    <mergeCell ref="H185:I185"/>
    <mergeCell ref="J185:K185"/>
    <mergeCell ref="O185:P185"/>
    <mergeCell ref="D186:E186"/>
    <mergeCell ref="F186:G186"/>
    <mergeCell ref="H186:I186"/>
    <mergeCell ref="J186:K186"/>
    <mergeCell ref="O186:P186"/>
    <mergeCell ref="O182:P182"/>
    <mergeCell ref="D184:E184"/>
    <mergeCell ref="F184:G184"/>
    <mergeCell ref="H184:I184"/>
    <mergeCell ref="J184:K184"/>
    <mergeCell ref="O184:P184"/>
    <mergeCell ref="I175:J175"/>
    <mergeCell ref="K175:P175"/>
    <mergeCell ref="I176:J176"/>
    <mergeCell ref="K176:P176"/>
    <mergeCell ref="K177:P177"/>
    <mergeCell ref="D182:E182"/>
    <mergeCell ref="F182:G182"/>
    <mergeCell ref="H182:I182"/>
    <mergeCell ref="J182:K182"/>
    <mergeCell ref="M182:N182"/>
    <mergeCell ref="I172:J172"/>
    <mergeCell ref="K172:P172"/>
    <mergeCell ref="I173:J173"/>
    <mergeCell ref="K173:P173"/>
    <mergeCell ref="I174:J174"/>
    <mergeCell ref="K174:P174"/>
    <mergeCell ref="I154:J154"/>
    <mergeCell ref="K154:P154"/>
    <mergeCell ref="I155:J155"/>
    <mergeCell ref="K155:P155"/>
    <mergeCell ref="K156:P156"/>
    <mergeCell ref="K157:L157"/>
    <mergeCell ref="M157:N157"/>
    <mergeCell ref="O157:P157"/>
    <mergeCell ref="K162:P162"/>
    <mergeCell ref="K163:P163"/>
    <mergeCell ref="K164:L164"/>
    <mergeCell ref="M164:N164"/>
    <mergeCell ref="O164:P164"/>
    <mergeCell ref="I151:J151"/>
    <mergeCell ref="K151:P151"/>
    <mergeCell ref="I152:J152"/>
    <mergeCell ref="K152:P152"/>
    <mergeCell ref="I153:J153"/>
    <mergeCell ref="K153:P153"/>
    <mergeCell ref="I147:J147"/>
    <mergeCell ref="K147:P147"/>
    <mergeCell ref="I148:J148"/>
    <mergeCell ref="K148:P148"/>
    <mergeCell ref="K149:P149"/>
    <mergeCell ref="K150:L150"/>
    <mergeCell ref="M150:N150"/>
    <mergeCell ref="O150:P150"/>
    <mergeCell ref="I144:J144"/>
    <mergeCell ref="K144:P144"/>
    <mergeCell ref="I145:J145"/>
    <mergeCell ref="K145:P145"/>
    <mergeCell ref="I146:J146"/>
    <mergeCell ref="K146:P146"/>
    <mergeCell ref="K137:P137"/>
    <mergeCell ref="K138:P138"/>
    <mergeCell ref="M139:P139"/>
    <mergeCell ref="D140:E140"/>
    <mergeCell ref="M140:N140"/>
    <mergeCell ref="I143:J143"/>
    <mergeCell ref="D128:E128"/>
    <mergeCell ref="M128:N128"/>
    <mergeCell ref="K133:P133"/>
    <mergeCell ref="K134:P134"/>
    <mergeCell ref="K135:P135"/>
    <mergeCell ref="K136:P136"/>
    <mergeCell ref="K122:P122"/>
    <mergeCell ref="K123:P123"/>
    <mergeCell ref="K124:P124"/>
    <mergeCell ref="K125:P125"/>
    <mergeCell ref="K126:P126"/>
    <mergeCell ref="M127:P127"/>
    <mergeCell ref="I116:J116"/>
    <mergeCell ref="L116:M116"/>
    <mergeCell ref="N116:O116"/>
    <mergeCell ref="F117:H117"/>
    <mergeCell ref="M117:N117"/>
    <mergeCell ref="K121:P121"/>
    <mergeCell ref="I114:J114"/>
    <mergeCell ref="L114:M114"/>
    <mergeCell ref="N114:O114"/>
    <mergeCell ref="I115:J115"/>
    <mergeCell ref="L115:M115"/>
    <mergeCell ref="N115:O115"/>
    <mergeCell ref="I95:J95"/>
    <mergeCell ref="L95:M95"/>
    <mergeCell ref="N95:O95"/>
    <mergeCell ref="F96:H96"/>
    <mergeCell ref="M96:N96"/>
    <mergeCell ref="I113:J113"/>
    <mergeCell ref="L113:M113"/>
    <mergeCell ref="N113:O113"/>
    <mergeCell ref="I93:J93"/>
    <mergeCell ref="L93:M93"/>
    <mergeCell ref="N93:O93"/>
    <mergeCell ref="I94:J94"/>
    <mergeCell ref="L94:M94"/>
    <mergeCell ref="N94:O94"/>
    <mergeCell ref="I98:J98"/>
    <mergeCell ref="L98:M98"/>
    <mergeCell ref="N98:O98"/>
    <mergeCell ref="I99:J99"/>
    <mergeCell ref="L99:M99"/>
    <mergeCell ref="N99:O99"/>
    <mergeCell ref="I100:J100"/>
    <mergeCell ref="L100:M100"/>
    <mergeCell ref="N100:O100"/>
    <mergeCell ref="I101:J101"/>
    <mergeCell ref="F89:H89"/>
    <mergeCell ref="M89:N89"/>
    <mergeCell ref="I91:J91"/>
    <mergeCell ref="L91:M91"/>
    <mergeCell ref="N91:O91"/>
    <mergeCell ref="I92:J92"/>
    <mergeCell ref="L92:M92"/>
    <mergeCell ref="N92:O92"/>
    <mergeCell ref="N84:O84"/>
    <mergeCell ref="I85:J85"/>
    <mergeCell ref="N85:O85"/>
    <mergeCell ref="AJ85:AL88"/>
    <mergeCell ref="I86:J86"/>
    <mergeCell ref="N86:O86"/>
    <mergeCell ref="I87:J87"/>
    <mergeCell ref="N87:O87"/>
    <mergeCell ref="I88:J88"/>
    <mergeCell ref="N88:O88"/>
    <mergeCell ref="F81:H81"/>
    <mergeCell ref="F83:H83"/>
    <mergeCell ref="I83:J83"/>
    <mergeCell ref="L83:M83"/>
    <mergeCell ref="I84:J84"/>
    <mergeCell ref="L84:M84"/>
    <mergeCell ref="D52:E52"/>
    <mergeCell ref="D53:E53"/>
    <mergeCell ref="E54:G54"/>
    <mergeCell ref="D72:G72"/>
    <mergeCell ref="D74:G74"/>
    <mergeCell ref="D75:G75"/>
    <mergeCell ref="D45:E45"/>
    <mergeCell ref="D46:E46"/>
    <mergeCell ref="E47:G47"/>
    <mergeCell ref="D49:E49"/>
    <mergeCell ref="D50:E50"/>
    <mergeCell ref="D51:E51"/>
    <mergeCell ref="D56:E56"/>
    <mergeCell ref="D57:E57"/>
    <mergeCell ref="D58:E58"/>
    <mergeCell ref="D59:E59"/>
    <mergeCell ref="D60:E60"/>
    <mergeCell ref="E61:G61"/>
    <mergeCell ref="D63:E63"/>
    <mergeCell ref="D64:E64"/>
    <mergeCell ref="D65:E65"/>
    <mergeCell ref="D66:E66"/>
    <mergeCell ref="D67:E67"/>
    <mergeCell ref="E68:G68"/>
    <mergeCell ref="F36:G36"/>
    <mergeCell ref="D40:E40"/>
    <mergeCell ref="D41:F41"/>
    <mergeCell ref="D42:E42"/>
    <mergeCell ref="D43:E43"/>
    <mergeCell ref="D44:E44"/>
    <mergeCell ref="F30:G30"/>
    <mergeCell ref="J30:K30"/>
    <mergeCell ref="N30:O30"/>
    <mergeCell ref="F31:G31"/>
    <mergeCell ref="J31:K31"/>
    <mergeCell ref="N31:O31"/>
    <mergeCell ref="F32:G32"/>
    <mergeCell ref="J32:K32"/>
    <mergeCell ref="N32:O32"/>
    <mergeCell ref="F33:G33"/>
    <mergeCell ref="J33:K33"/>
    <mergeCell ref="N33:O33"/>
    <mergeCell ref="F34:G34"/>
    <mergeCell ref="J34:K34"/>
    <mergeCell ref="N34:O34"/>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 ref="F28:G28"/>
    <mergeCell ref="J28:K28"/>
    <mergeCell ref="N28:O28"/>
  </mergeCells>
  <conditionalFormatting sqref="F20">
    <cfRule type="expression" dxfId="1392" priority="179" stopIfTrue="1">
      <formula>F19&lt;18</formula>
    </cfRule>
    <cfRule type="expression" dxfId="1391" priority="180" stopIfTrue="1">
      <formula>F19&lt;F18</formula>
    </cfRule>
  </conditionalFormatting>
  <conditionalFormatting sqref="H22:I23">
    <cfRule type="expression" dxfId="1390" priority="178" stopIfTrue="1">
      <formula>H22&lt;F22</formula>
    </cfRule>
  </conditionalFormatting>
  <conditionalFormatting sqref="I15 K15:P15 H8:P11">
    <cfRule type="cellIs" dxfId="1389" priority="181" stopIfTrue="1" operator="equal">
      <formula>"&lt;PROJECTNUMMER&gt;"</formula>
    </cfRule>
  </conditionalFormatting>
  <conditionalFormatting sqref="L16:L20">
    <cfRule type="expression" dxfId="1388" priority="177">
      <formula>L16=0</formula>
    </cfRule>
  </conditionalFormatting>
  <conditionalFormatting sqref="F28:F29">
    <cfRule type="expression" dxfId="1387" priority="176" stopIfTrue="1">
      <formula>D28-E28&lt;5</formula>
    </cfRule>
  </conditionalFormatting>
  <conditionalFormatting sqref="D28:D29">
    <cfRule type="expression" dxfId="1386" priority="182" stopIfTrue="1">
      <formula>C28=""</formula>
    </cfRule>
  </conditionalFormatting>
  <conditionalFormatting sqref="I86:P88 I85:K85 AJ85 M85:P85 I84:P84">
    <cfRule type="expression" dxfId="1385" priority="175">
      <formula>$S$16&lt;&gt;1</formula>
    </cfRule>
  </conditionalFormatting>
  <conditionalFormatting sqref="N84:P88">
    <cfRule type="expression" dxfId="1384" priority="174">
      <formula>$S$12="nader te bepalen"</formula>
    </cfRule>
  </conditionalFormatting>
  <conditionalFormatting sqref="H16">
    <cfRule type="expression" dxfId="1383" priority="171">
      <formula>AND(SUM(L16:L20)&gt;=10,SUM(L16:L20)&lt;100)</formula>
    </cfRule>
    <cfRule type="expression" dxfId="1382" priority="172">
      <formula>SUM(L16:L20)&gt;=100</formula>
    </cfRule>
    <cfRule type="expression" dxfId="1381" priority="173">
      <formula>SUM(L16:L20)&lt;10</formula>
    </cfRule>
  </conditionalFormatting>
  <conditionalFormatting sqref="F17">
    <cfRule type="expression" dxfId="1380" priority="168">
      <formula>F17&lt;10</formula>
    </cfRule>
    <cfRule type="expression" dxfId="1379" priority="169">
      <formula>AND(F17&gt;=10,F17&lt;100)</formula>
    </cfRule>
    <cfRule type="expression" dxfId="1378" priority="170">
      <formula>F17&gt;=100</formula>
    </cfRule>
  </conditionalFormatting>
  <conditionalFormatting sqref="F18">
    <cfRule type="expression" dxfId="1377" priority="165">
      <formula>F18&lt;10</formula>
    </cfRule>
    <cfRule type="expression" dxfId="1376" priority="166">
      <formula>AND(F18&gt;=10,F18&lt;100)</formula>
    </cfRule>
    <cfRule type="expression" dxfId="1375" priority="167">
      <formula>F18&gt;=100</formula>
    </cfRule>
  </conditionalFormatting>
  <conditionalFormatting sqref="F19">
    <cfRule type="expression" dxfId="1374" priority="162">
      <formula>F19&lt;10</formula>
    </cfRule>
    <cfRule type="expression" dxfId="1373" priority="163">
      <formula>AND(F19&gt;=10,F19&lt;100)</formula>
    </cfRule>
    <cfRule type="expression" dxfId="1372" priority="164">
      <formula>F19&gt;=100</formula>
    </cfRule>
  </conditionalFormatting>
  <conditionalFormatting sqref="K47">
    <cfRule type="expression" dxfId="1371" priority="161" stopIfTrue="1">
      <formula>A47="nee"</formula>
    </cfRule>
  </conditionalFormatting>
  <conditionalFormatting sqref="K47">
    <cfRule type="expression" dxfId="1370" priority="160" stopIfTrue="1">
      <formula>A47="nee"</formula>
    </cfRule>
  </conditionalFormatting>
  <conditionalFormatting sqref="E47">
    <cfRule type="cellIs" dxfId="1369" priority="159" stopIfTrue="1" operator="equal">
      <formula>"voldoet niet"</formula>
    </cfRule>
  </conditionalFormatting>
  <conditionalFormatting sqref="K47">
    <cfRule type="expression" dxfId="1368" priority="158" stopIfTrue="1">
      <formula>A47="nee"</formula>
    </cfRule>
  </conditionalFormatting>
  <conditionalFormatting sqref="K47">
    <cfRule type="expression" dxfId="1367" priority="157" stopIfTrue="1">
      <formula>A47="nee"</formula>
    </cfRule>
  </conditionalFormatting>
  <conditionalFormatting sqref="F84:H89">
    <cfRule type="expression" dxfId="1366" priority="156">
      <formula>$S$16=3</formula>
    </cfRule>
  </conditionalFormatting>
  <conditionalFormatting sqref="H121:P128">
    <cfRule type="expression" dxfId="1365" priority="155">
      <formula>$S$16=3</formula>
    </cfRule>
  </conditionalFormatting>
  <conditionalFormatting sqref="H133:P140">
    <cfRule type="expression" dxfId="1364" priority="154">
      <formula>$S$16=3</formula>
    </cfRule>
  </conditionalFormatting>
  <conditionalFormatting sqref="F116:H117">
    <cfRule type="expression" dxfId="1363" priority="124">
      <formula>$S$16=3</formula>
    </cfRule>
  </conditionalFormatting>
  <conditionalFormatting sqref="I113:P115">
    <cfRule type="expression" dxfId="1362" priority="151">
      <formula>$S$16&lt;&gt;1</formula>
    </cfRule>
  </conditionalFormatting>
  <conditionalFormatting sqref="N113:P115">
    <cfRule type="expression" dxfId="1361" priority="150">
      <formula>$S$12="nader te bepalen"</formula>
    </cfRule>
  </conditionalFormatting>
  <conditionalFormatting sqref="I113:P115">
    <cfRule type="expression" dxfId="1360" priority="145">
      <formula>$S$16&lt;&gt;1</formula>
    </cfRule>
  </conditionalFormatting>
  <conditionalFormatting sqref="N113:P115">
    <cfRule type="expression" dxfId="1359" priority="144">
      <formula>$S$12="nader te bepalen"</formula>
    </cfRule>
  </conditionalFormatting>
  <conditionalFormatting sqref="I113:P115">
    <cfRule type="expression" dxfId="1358" priority="153">
      <formula>$S$16&lt;&gt;1</formula>
    </cfRule>
  </conditionalFormatting>
  <conditionalFormatting sqref="I113:P115">
    <cfRule type="expression" dxfId="1357" priority="152">
      <formula>$S$16&lt;&gt;1</formula>
    </cfRule>
  </conditionalFormatting>
  <conditionalFormatting sqref="I113:P115">
    <cfRule type="expression" dxfId="1356" priority="149">
      <formula>$S$16&lt;&gt;1</formula>
    </cfRule>
  </conditionalFormatting>
  <conditionalFormatting sqref="N113:P115">
    <cfRule type="expression" dxfId="1355" priority="148">
      <formula>$S$12="nader te bepalen"</formula>
    </cfRule>
  </conditionalFormatting>
  <conditionalFormatting sqref="I113:P115">
    <cfRule type="expression" dxfId="1354" priority="147">
      <formula>$S$16&lt;&gt;1</formula>
    </cfRule>
  </conditionalFormatting>
  <conditionalFormatting sqref="I113:P115">
    <cfRule type="expression" dxfId="1353" priority="146">
      <formula>$S$16&lt;&gt;1</formula>
    </cfRule>
  </conditionalFormatting>
  <conditionalFormatting sqref="I113:P115">
    <cfRule type="expression" dxfId="1352" priority="143">
      <formula>$S$16&lt;&gt;1</formula>
    </cfRule>
  </conditionalFormatting>
  <conditionalFormatting sqref="N113:P115">
    <cfRule type="expression" dxfId="1351" priority="142">
      <formula>$S$12="nader te bepalen"</formula>
    </cfRule>
  </conditionalFormatting>
  <conditionalFormatting sqref="I113:P115">
    <cfRule type="expression" dxfId="1350" priority="141">
      <formula>$S$16&lt;&gt;1</formula>
    </cfRule>
  </conditionalFormatting>
  <conditionalFormatting sqref="N113:P115">
    <cfRule type="expression" dxfId="1349" priority="140">
      <formula>$S$12="nader te bepalen"</formula>
    </cfRule>
  </conditionalFormatting>
  <conditionalFormatting sqref="F113:H115">
    <cfRule type="expression" dxfId="1348" priority="139">
      <formula>$S$16=3</formula>
    </cfRule>
  </conditionalFormatting>
  <conditionalFormatting sqref="I116:P116">
    <cfRule type="expression" dxfId="1347" priority="136">
      <formula>$S$16&lt;&gt;1</formula>
    </cfRule>
  </conditionalFormatting>
  <conditionalFormatting sqref="N116:P116">
    <cfRule type="expression" dxfId="1346" priority="135">
      <formula>$S$12="nader te bepalen"</formula>
    </cfRule>
  </conditionalFormatting>
  <conditionalFormatting sqref="I116:P116">
    <cfRule type="expression" dxfId="1345" priority="130">
      <formula>$S$16&lt;&gt;1</formula>
    </cfRule>
  </conditionalFormatting>
  <conditionalFormatting sqref="N116:P116">
    <cfRule type="expression" dxfId="1344" priority="129">
      <formula>$S$12="nader te bepalen"</formula>
    </cfRule>
  </conditionalFormatting>
  <conditionalFormatting sqref="I116:P116">
    <cfRule type="expression" dxfId="1343" priority="138">
      <formula>$S$16&lt;&gt;1</formula>
    </cfRule>
  </conditionalFormatting>
  <conditionalFormatting sqref="I116:P116">
    <cfRule type="expression" dxfId="1342" priority="137">
      <formula>$S$16&lt;&gt;1</formula>
    </cfRule>
  </conditionalFormatting>
  <conditionalFormatting sqref="I116:P116">
    <cfRule type="expression" dxfId="1341" priority="134">
      <formula>$S$16&lt;&gt;1</formula>
    </cfRule>
  </conditionalFormatting>
  <conditionalFormatting sqref="N116:P116">
    <cfRule type="expression" dxfId="1340" priority="133">
      <formula>$S$12="nader te bepalen"</formula>
    </cfRule>
  </conditionalFormatting>
  <conditionalFormatting sqref="I116:P116">
    <cfRule type="expression" dxfId="1339" priority="132">
      <formula>$S$16&lt;&gt;1</formula>
    </cfRule>
  </conditionalFormatting>
  <conditionalFormatting sqref="I116:P116">
    <cfRule type="expression" dxfId="1338" priority="131">
      <formula>$S$16&lt;&gt;1</formula>
    </cfRule>
  </conditionalFormatting>
  <conditionalFormatting sqref="I116:P116">
    <cfRule type="expression" dxfId="1337" priority="128">
      <formula>$S$16&lt;&gt;1</formula>
    </cfRule>
  </conditionalFormatting>
  <conditionalFormatting sqref="N116:P116">
    <cfRule type="expression" dxfId="1336" priority="127">
      <formula>$S$12="nader te bepalen"</formula>
    </cfRule>
  </conditionalFormatting>
  <conditionalFormatting sqref="I116:P116">
    <cfRule type="expression" dxfId="1335" priority="126">
      <formula>$S$16&lt;&gt;1</formula>
    </cfRule>
  </conditionalFormatting>
  <conditionalFormatting sqref="N116:P116">
    <cfRule type="expression" dxfId="1334" priority="125">
      <formula>$S$12="nader te bepalen"</formula>
    </cfRule>
  </conditionalFormatting>
  <conditionalFormatting sqref="P85">
    <cfRule type="expression" dxfId="1333" priority="115" stopIfTrue="1">
      <formula>P85="-"</formula>
    </cfRule>
    <cfRule type="expression" dxfId="1332" priority="120" stopIfTrue="1">
      <formula>P85&lt;H85</formula>
    </cfRule>
  </conditionalFormatting>
  <conditionalFormatting sqref="P86">
    <cfRule type="expression" dxfId="1331" priority="116" stopIfTrue="1">
      <formula>P86="-"</formula>
    </cfRule>
    <cfRule type="expression" dxfId="1330" priority="121" stopIfTrue="1">
      <formula>P86&lt;H86</formula>
    </cfRule>
  </conditionalFormatting>
  <conditionalFormatting sqref="P87">
    <cfRule type="expression" dxfId="1329" priority="117" stopIfTrue="1">
      <formula>P87="-"</formula>
    </cfRule>
    <cfRule type="expression" dxfId="1328" priority="122" stopIfTrue="1">
      <formula>P87&lt;H87</formula>
    </cfRule>
  </conditionalFormatting>
  <conditionalFormatting sqref="P88">
    <cfRule type="expression" dxfId="1327" priority="118" stopIfTrue="1">
      <formula>P88="-"</formula>
    </cfRule>
    <cfRule type="expression" dxfId="1326" priority="123" stopIfTrue="1">
      <formula>P88&lt;H88</formula>
    </cfRule>
  </conditionalFormatting>
  <conditionalFormatting sqref="P84">
    <cfRule type="expression" dxfId="1325" priority="114" stopIfTrue="1">
      <formula>P84="-"</formula>
    </cfRule>
    <cfRule type="expression" dxfId="1324" priority="119" stopIfTrue="1">
      <formula>P84&lt;H84</formula>
    </cfRule>
  </conditionalFormatting>
  <conditionalFormatting sqref="P113">
    <cfRule type="expression" dxfId="1323" priority="106" stopIfTrue="1">
      <formula>P113="-"</formula>
    </cfRule>
    <cfRule type="expression" dxfId="1322" priority="110" stopIfTrue="1">
      <formula>P113&lt;H113</formula>
    </cfRule>
  </conditionalFormatting>
  <conditionalFormatting sqref="P114">
    <cfRule type="expression" dxfId="1321" priority="107" stopIfTrue="1">
      <formula>P114="-"</formula>
    </cfRule>
    <cfRule type="expression" dxfId="1320" priority="111" stopIfTrue="1">
      <formula>P114&lt;H114</formula>
    </cfRule>
  </conditionalFormatting>
  <conditionalFormatting sqref="P115">
    <cfRule type="expression" dxfId="1319" priority="108" stopIfTrue="1">
      <formula>P115="-"</formula>
    </cfRule>
    <cfRule type="expression" dxfId="1318" priority="112" stopIfTrue="1">
      <formula>P115&lt;H115</formula>
    </cfRule>
  </conditionalFormatting>
  <conditionalFormatting sqref="P116">
    <cfRule type="expression" dxfId="1317" priority="109" stopIfTrue="1">
      <formula>P116="-"</formula>
    </cfRule>
    <cfRule type="expression" dxfId="1316" priority="113" stopIfTrue="1">
      <formula>P116&lt;H116</formula>
    </cfRule>
  </conditionalFormatting>
  <conditionalFormatting sqref="F89:H89">
    <cfRule type="containsText" dxfId="1315" priority="105" operator="containsText" text="voldoet niet op VG-niveau">
      <formula>NOT(ISERROR(SEARCH("voldoet niet op VG-niveau",F89)))</formula>
    </cfRule>
  </conditionalFormatting>
  <conditionalFormatting sqref="K54">
    <cfRule type="expression" dxfId="1314" priority="104" stopIfTrue="1">
      <formula>A54="nee"</formula>
    </cfRule>
  </conditionalFormatting>
  <conditionalFormatting sqref="K54">
    <cfRule type="expression" dxfId="1313" priority="103" stopIfTrue="1">
      <formula>A54="nee"</formula>
    </cfRule>
  </conditionalFormatting>
  <conditionalFormatting sqref="E54">
    <cfRule type="cellIs" dxfId="1312" priority="102" stopIfTrue="1" operator="equal">
      <formula>"voldoet niet"</formula>
    </cfRule>
  </conditionalFormatting>
  <conditionalFormatting sqref="K54">
    <cfRule type="expression" dxfId="1311" priority="101" stopIfTrue="1">
      <formula>A54="nee"</formula>
    </cfRule>
  </conditionalFormatting>
  <conditionalFormatting sqref="K54">
    <cfRule type="expression" dxfId="1310" priority="100" stopIfTrue="1">
      <formula>A54="nee"</formula>
    </cfRule>
  </conditionalFormatting>
  <conditionalFormatting sqref="I91:P95">
    <cfRule type="expression" dxfId="1309" priority="99">
      <formula>$S$16&lt;&gt;1</formula>
    </cfRule>
  </conditionalFormatting>
  <conditionalFormatting sqref="N91:P95">
    <cfRule type="expression" dxfId="1308" priority="98">
      <formula>$S$12="nader te bepalen"</formula>
    </cfRule>
  </conditionalFormatting>
  <conditionalFormatting sqref="F91:H96">
    <cfRule type="expression" dxfId="1307" priority="97">
      <formula>$S$16=3</formula>
    </cfRule>
  </conditionalFormatting>
  <conditionalFormatting sqref="Q91:Q95">
    <cfRule type="expression" dxfId="1306" priority="96">
      <formula>SUM(Q87:Q91)&lt;E92</formula>
    </cfRule>
  </conditionalFormatting>
  <conditionalFormatting sqref="P91">
    <cfRule type="expression" dxfId="1305" priority="86" stopIfTrue="1">
      <formula>P91="-"</formula>
    </cfRule>
    <cfRule type="expression" dxfId="1304" priority="91" stopIfTrue="1">
      <formula>P91&lt;H91</formula>
    </cfRule>
  </conditionalFormatting>
  <conditionalFormatting sqref="P92">
    <cfRule type="expression" dxfId="1303" priority="87" stopIfTrue="1">
      <formula>P92="-"</formula>
    </cfRule>
    <cfRule type="expression" dxfId="1302" priority="92" stopIfTrue="1">
      <formula>P92&lt;H92</formula>
    </cfRule>
  </conditionalFormatting>
  <conditionalFormatting sqref="P93">
    <cfRule type="expression" dxfId="1301" priority="88" stopIfTrue="1">
      <formula>P93="-"</formula>
    </cfRule>
    <cfRule type="expression" dxfId="1300" priority="93" stopIfTrue="1">
      <formula>P93&lt;H93</formula>
    </cfRule>
  </conditionalFormatting>
  <conditionalFormatting sqref="P94">
    <cfRule type="expression" dxfId="1299" priority="89" stopIfTrue="1">
      <formula>P94="-"</formula>
    </cfRule>
    <cfRule type="expression" dxfId="1298" priority="94" stopIfTrue="1">
      <formula>P94&lt;H94</formula>
    </cfRule>
  </conditionalFormatting>
  <conditionalFormatting sqref="P95">
    <cfRule type="expression" dxfId="1297" priority="90" stopIfTrue="1">
      <formula>P95="-"</formula>
    </cfRule>
    <cfRule type="expression" dxfId="1296" priority="95" stopIfTrue="1">
      <formula>P95&lt;H95</formula>
    </cfRule>
  </conditionalFormatting>
  <conditionalFormatting sqref="F96:H96">
    <cfRule type="containsText" dxfId="1295" priority="85" operator="containsText" text="voldoet niet op VG-niveau">
      <formula>NOT(ISERROR(SEARCH("voldoet niet op VG-niveau",F96)))</formula>
    </cfRule>
  </conditionalFormatting>
  <conditionalFormatting sqref="G8:G10">
    <cfRule type="cellIs" dxfId="1294" priority="84" stopIfTrue="1" operator="equal">
      <formula>"&lt;PROJECTNUMMER&gt;"</formula>
    </cfRule>
  </conditionalFormatting>
  <conditionalFormatting sqref="D8">
    <cfRule type="cellIs" dxfId="1293" priority="83" stopIfTrue="1" operator="equal">
      <formula>"&lt;PROJECTNUMMER&gt;"</formula>
    </cfRule>
  </conditionalFormatting>
  <conditionalFormatting sqref="D9">
    <cfRule type="cellIs" dxfId="1292" priority="82" stopIfTrue="1" operator="equal">
      <formula>"&lt;PROJECTNUMMER&gt;"</formula>
    </cfRule>
  </conditionalFormatting>
  <conditionalFormatting sqref="D10">
    <cfRule type="cellIs" dxfId="1291" priority="81" stopIfTrue="1" operator="equal">
      <formula>"&lt;PROJECTNUMMER&gt;"</formula>
    </cfRule>
  </conditionalFormatting>
  <conditionalFormatting sqref="F30">
    <cfRule type="expression" dxfId="1290" priority="78" stopIfTrue="1">
      <formula>D30-E30&lt;5</formula>
    </cfRule>
  </conditionalFormatting>
  <conditionalFormatting sqref="F30">
    <cfRule type="expression" dxfId="1289" priority="77" stopIfTrue="1">
      <formula>D30-E30&lt;5</formula>
    </cfRule>
  </conditionalFormatting>
  <conditionalFormatting sqref="F30">
    <cfRule type="expression" dxfId="1288" priority="74" stopIfTrue="1">
      <formula>D30-E30&lt;5</formula>
    </cfRule>
  </conditionalFormatting>
  <conditionalFormatting sqref="D30">
    <cfRule type="expression" dxfId="1287" priority="73" stopIfTrue="1">
      <formula>C30=""</formula>
    </cfRule>
  </conditionalFormatting>
  <conditionalFormatting sqref="F30">
    <cfRule type="expression" dxfId="1286" priority="80" stopIfTrue="1">
      <formula>D30=""</formula>
    </cfRule>
  </conditionalFormatting>
  <conditionalFormatting sqref="F30">
    <cfRule type="expression" dxfId="1285" priority="79" stopIfTrue="1">
      <formula>D30=""</formula>
    </cfRule>
  </conditionalFormatting>
  <conditionalFormatting sqref="D30">
    <cfRule type="expression" dxfId="1284" priority="76" stopIfTrue="1">
      <formula>C30=""</formula>
    </cfRule>
  </conditionalFormatting>
  <conditionalFormatting sqref="F30">
    <cfRule type="expression" dxfId="1283" priority="75" stopIfTrue="1">
      <formula>D30-E30&lt;5</formula>
    </cfRule>
  </conditionalFormatting>
  <conditionalFormatting sqref="F31">
    <cfRule type="expression" dxfId="1282" priority="70" stopIfTrue="1">
      <formula>D31-E31&lt;5</formula>
    </cfRule>
  </conditionalFormatting>
  <conditionalFormatting sqref="F31">
    <cfRule type="expression" dxfId="1281" priority="69" stopIfTrue="1">
      <formula>D31-E31&lt;5</formula>
    </cfRule>
  </conditionalFormatting>
  <conditionalFormatting sqref="F31">
    <cfRule type="expression" dxfId="1280" priority="66" stopIfTrue="1">
      <formula>D31-E31&lt;5</formula>
    </cfRule>
  </conditionalFormatting>
  <conditionalFormatting sqref="D31">
    <cfRule type="expression" dxfId="1279" priority="65" stopIfTrue="1">
      <formula>C31=""</formula>
    </cfRule>
  </conditionalFormatting>
  <conditionalFormatting sqref="F31">
    <cfRule type="expression" dxfId="1278" priority="72" stopIfTrue="1">
      <formula>D31=""</formula>
    </cfRule>
  </conditionalFormatting>
  <conditionalFormatting sqref="F31">
    <cfRule type="expression" dxfId="1277" priority="71" stopIfTrue="1">
      <formula>D31=""</formula>
    </cfRule>
  </conditionalFormatting>
  <conditionalFormatting sqref="D31">
    <cfRule type="expression" dxfId="1276" priority="68" stopIfTrue="1">
      <formula>C31=""</formula>
    </cfRule>
  </conditionalFormatting>
  <conditionalFormatting sqref="F31">
    <cfRule type="expression" dxfId="1275" priority="67" stopIfTrue="1">
      <formula>D31-E31&lt;5</formula>
    </cfRule>
  </conditionalFormatting>
  <conditionalFormatting sqref="F32">
    <cfRule type="expression" dxfId="1274" priority="62" stopIfTrue="1">
      <formula>D32-E32&lt;5</formula>
    </cfRule>
  </conditionalFormatting>
  <conditionalFormatting sqref="F32">
    <cfRule type="expression" dxfId="1273" priority="61" stopIfTrue="1">
      <formula>D32-E32&lt;5</formula>
    </cfRule>
  </conditionalFormatting>
  <conditionalFormatting sqref="F32">
    <cfRule type="expression" dxfId="1272" priority="58" stopIfTrue="1">
      <formula>D32-E32&lt;5</formula>
    </cfRule>
  </conditionalFormatting>
  <conditionalFormatting sqref="D32">
    <cfRule type="expression" dxfId="1271" priority="57" stopIfTrue="1">
      <formula>C32=""</formula>
    </cfRule>
  </conditionalFormatting>
  <conditionalFormatting sqref="F32">
    <cfRule type="expression" dxfId="1270" priority="64" stopIfTrue="1">
      <formula>D32=""</formula>
    </cfRule>
  </conditionalFormatting>
  <conditionalFormatting sqref="F32">
    <cfRule type="expression" dxfId="1269" priority="63" stopIfTrue="1">
      <formula>D32=""</formula>
    </cfRule>
  </conditionalFormatting>
  <conditionalFormatting sqref="D32">
    <cfRule type="expression" dxfId="1268" priority="60" stopIfTrue="1">
      <formula>C32=""</formula>
    </cfRule>
  </conditionalFormatting>
  <conditionalFormatting sqref="F32">
    <cfRule type="expression" dxfId="1267" priority="59" stopIfTrue="1">
      <formula>D32-E32&lt;5</formula>
    </cfRule>
  </conditionalFormatting>
  <conditionalFormatting sqref="F33">
    <cfRule type="expression" dxfId="1266" priority="54" stopIfTrue="1">
      <formula>D33-E33&lt;5</formula>
    </cfRule>
  </conditionalFormatting>
  <conditionalFormatting sqref="F33">
    <cfRule type="expression" dxfId="1265" priority="53" stopIfTrue="1">
      <formula>D33-E33&lt;5</formula>
    </cfRule>
  </conditionalFormatting>
  <conditionalFormatting sqref="F33">
    <cfRule type="expression" dxfId="1264" priority="50" stopIfTrue="1">
      <formula>D33-E33&lt;5</formula>
    </cfRule>
  </conditionalFormatting>
  <conditionalFormatting sqref="D33">
    <cfRule type="expression" dxfId="1263" priority="49" stopIfTrue="1">
      <formula>C33=""</formula>
    </cfRule>
  </conditionalFormatting>
  <conditionalFormatting sqref="F33">
    <cfRule type="expression" dxfId="1262" priority="56" stopIfTrue="1">
      <formula>D33=""</formula>
    </cfRule>
  </conditionalFormatting>
  <conditionalFormatting sqref="F33">
    <cfRule type="expression" dxfId="1261" priority="55" stopIfTrue="1">
      <formula>D33=""</formula>
    </cfRule>
  </conditionalFormatting>
  <conditionalFormatting sqref="D33">
    <cfRule type="expression" dxfId="1260" priority="52" stopIfTrue="1">
      <formula>C33=""</formula>
    </cfRule>
  </conditionalFormatting>
  <conditionalFormatting sqref="F33">
    <cfRule type="expression" dxfId="1259" priority="51" stopIfTrue="1">
      <formula>D33-E33&lt;5</formula>
    </cfRule>
  </conditionalFormatting>
  <conditionalFormatting sqref="F34">
    <cfRule type="expression" dxfId="1258" priority="46" stopIfTrue="1">
      <formula>D34-E34&lt;5</formula>
    </cfRule>
  </conditionalFormatting>
  <conditionalFormatting sqref="F34">
    <cfRule type="expression" dxfId="1257" priority="45" stopIfTrue="1">
      <formula>D34-E34&lt;5</formula>
    </cfRule>
  </conditionalFormatting>
  <conditionalFormatting sqref="F34">
    <cfRule type="expression" dxfId="1256" priority="42" stopIfTrue="1">
      <formula>D34-E34&lt;5</formula>
    </cfRule>
  </conditionalFormatting>
  <conditionalFormatting sqref="D34">
    <cfRule type="expression" dxfId="1255" priority="41" stopIfTrue="1">
      <formula>C34=""</formula>
    </cfRule>
  </conditionalFormatting>
  <conditionalFormatting sqref="F34">
    <cfRule type="expression" dxfId="1254" priority="48" stopIfTrue="1">
      <formula>D34=""</formula>
    </cfRule>
  </conditionalFormatting>
  <conditionalFormatting sqref="F34">
    <cfRule type="expression" dxfId="1253" priority="47" stopIfTrue="1">
      <formula>D34=""</formula>
    </cfRule>
  </conditionalFormatting>
  <conditionalFormatting sqref="D34">
    <cfRule type="expression" dxfId="1252" priority="44" stopIfTrue="1">
      <formula>C34=""</formula>
    </cfRule>
  </conditionalFormatting>
  <conditionalFormatting sqref="F34">
    <cfRule type="expression" dxfId="1251" priority="43" stopIfTrue="1">
      <formula>D34-E34&lt;5</formula>
    </cfRule>
  </conditionalFormatting>
  <conditionalFormatting sqref="K61">
    <cfRule type="expression" dxfId="1250" priority="40" stopIfTrue="1">
      <formula>A61="nee"</formula>
    </cfRule>
  </conditionalFormatting>
  <conditionalFormatting sqref="K61">
    <cfRule type="expression" dxfId="1249" priority="39" stopIfTrue="1">
      <formula>A61="nee"</formula>
    </cfRule>
  </conditionalFormatting>
  <conditionalFormatting sqref="E61">
    <cfRule type="cellIs" dxfId="1248" priority="38" stopIfTrue="1" operator="equal">
      <formula>"voldoet niet"</formula>
    </cfRule>
  </conditionalFormatting>
  <conditionalFormatting sqref="K61">
    <cfRule type="expression" dxfId="1247" priority="37" stopIfTrue="1">
      <formula>A61="nee"</formula>
    </cfRule>
  </conditionalFormatting>
  <conditionalFormatting sqref="K61">
    <cfRule type="expression" dxfId="1246" priority="36" stopIfTrue="1">
      <formula>A61="nee"</formula>
    </cfRule>
  </conditionalFormatting>
  <conditionalFormatting sqref="I98:P102">
    <cfRule type="expression" dxfId="1245" priority="35">
      <formula>$S$16&lt;&gt;1</formula>
    </cfRule>
  </conditionalFormatting>
  <conditionalFormatting sqref="N98:P102">
    <cfRule type="expression" dxfId="1244" priority="34">
      <formula>$S$12="nader te bepalen"</formula>
    </cfRule>
  </conditionalFormatting>
  <conditionalFormatting sqref="F98:H103">
    <cfRule type="expression" dxfId="1243" priority="33">
      <formula>$S$16=3</formula>
    </cfRule>
  </conditionalFormatting>
  <conditionalFormatting sqref="Q98:Q102">
    <cfRule type="expression" dxfId="1242" priority="32">
      <formula>SUM(Q94:Q98)&lt;E99</formula>
    </cfRule>
  </conditionalFormatting>
  <conditionalFormatting sqref="P98">
    <cfRule type="expression" dxfId="1241" priority="22" stopIfTrue="1">
      <formula>P98="-"</formula>
    </cfRule>
    <cfRule type="expression" dxfId="1240" priority="27" stopIfTrue="1">
      <formula>P98&lt;H98</formula>
    </cfRule>
  </conditionalFormatting>
  <conditionalFormatting sqref="P99">
    <cfRule type="expression" dxfId="1239" priority="23" stopIfTrue="1">
      <formula>P99="-"</formula>
    </cfRule>
    <cfRule type="expression" dxfId="1238" priority="28" stopIfTrue="1">
      <formula>P99&lt;H99</formula>
    </cfRule>
  </conditionalFormatting>
  <conditionalFormatting sqref="P100">
    <cfRule type="expression" dxfId="1237" priority="24" stopIfTrue="1">
      <formula>P100="-"</formula>
    </cfRule>
    <cfRule type="expression" dxfId="1236" priority="29" stopIfTrue="1">
      <formula>P100&lt;H100</formula>
    </cfRule>
  </conditionalFormatting>
  <conditionalFormatting sqref="P101">
    <cfRule type="expression" dxfId="1235" priority="25" stopIfTrue="1">
      <formula>P101="-"</formula>
    </cfRule>
    <cfRule type="expression" dxfId="1234" priority="30" stopIfTrue="1">
      <formula>P101&lt;H101</formula>
    </cfRule>
  </conditionalFormatting>
  <conditionalFormatting sqref="P102">
    <cfRule type="expression" dxfId="1233" priority="26" stopIfTrue="1">
      <formula>P102="-"</formula>
    </cfRule>
    <cfRule type="expression" dxfId="1232" priority="31" stopIfTrue="1">
      <formula>P102&lt;H102</formula>
    </cfRule>
  </conditionalFormatting>
  <conditionalFormatting sqref="F103:H103">
    <cfRule type="containsText" dxfId="1231" priority="21" operator="containsText" text="voldoet niet op VG-niveau">
      <formula>NOT(ISERROR(SEARCH("voldoet niet op VG-niveau",F103)))</formula>
    </cfRule>
  </conditionalFormatting>
  <conditionalFormatting sqref="K68">
    <cfRule type="expression" dxfId="1230" priority="20" stopIfTrue="1">
      <formula>A68="nee"</formula>
    </cfRule>
  </conditionalFormatting>
  <conditionalFormatting sqref="K68">
    <cfRule type="expression" dxfId="1229" priority="19" stopIfTrue="1">
      <formula>A68="nee"</formula>
    </cfRule>
  </conditionalFormatting>
  <conditionalFormatting sqref="E68">
    <cfRule type="cellIs" dxfId="1228" priority="18" stopIfTrue="1" operator="equal">
      <formula>"voldoet niet"</formula>
    </cfRule>
  </conditionalFormatting>
  <conditionalFormatting sqref="K68">
    <cfRule type="expression" dxfId="1227" priority="17" stopIfTrue="1">
      <formula>A68="nee"</formula>
    </cfRule>
  </conditionalFormatting>
  <conditionalFormatting sqref="K68">
    <cfRule type="expression" dxfId="1226" priority="16" stopIfTrue="1">
      <formula>A68="nee"</formula>
    </cfRule>
  </conditionalFormatting>
  <conditionalFormatting sqref="I105:P109">
    <cfRule type="expression" dxfId="1225" priority="15">
      <formula>$S$16&lt;&gt;1</formula>
    </cfRule>
  </conditionalFormatting>
  <conditionalFormatting sqref="N105:P109">
    <cfRule type="expression" dxfId="1224" priority="14">
      <formula>$S$12="nader te bepalen"</formula>
    </cfRule>
  </conditionalFormatting>
  <conditionalFormatting sqref="F105:H110">
    <cfRule type="expression" dxfId="1223" priority="13">
      <formula>$S$16=3</formula>
    </cfRule>
  </conditionalFormatting>
  <conditionalFormatting sqref="Q105:Q109">
    <cfRule type="expression" dxfId="1222" priority="12">
      <formula>SUM(Q101:Q105)&lt;E106</formula>
    </cfRule>
  </conditionalFormatting>
  <conditionalFormatting sqref="P105">
    <cfRule type="expression" dxfId="1221" priority="2" stopIfTrue="1">
      <formula>P105="-"</formula>
    </cfRule>
    <cfRule type="expression" dxfId="1220" priority="7" stopIfTrue="1">
      <formula>P105&lt;H105</formula>
    </cfRule>
  </conditionalFormatting>
  <conditionalFormatting sqref="P106">
    <cfRule type="expression" dxfId="1219" priority="3" stopIfTrue="1">
      <formula>P106="-"</formula>
    </cfRule>
    <cfRule type="expression" dxfId="1218" priority="8" stopIfTrue="1">
      <formula>P106&lt;H106</formula>
    </cfRule>
  </conditionalFormatting>
  <conditionalFormatting sqref="P107">
    <cfRule type="expression" dxfId="1217" priority="4" stopIfTrue="1">
      <formula>P107="-"</formula>
    </cfRule>
    <cfRule type="expression" dxfId="1216" priority="9" stopIfTrue="1">
      <formula>P107&lt;H107</formula>
    </cfRule>
  </conditionalFormatting>
  <conditionalFormatting sqref="P108">
    <cfRule type="expression" dxfId="1215" priority="5" stopIfTrue="1">
      <formula>P108="-"</formula>
    </cfRule>
    <cfRule type="expression" dxfId="1214" priority="10" stopIfTrue="1">
      <formula>P108&lt;H108</formula>
    </cfRule>
  </conditionalFormatting>
  <conditionalFormatting sqref="P109">
    <cfRule type="expression" dxfId="1213" priority="6" stopIfTrue="1">
      <formula>P109="-"</formula>
    </cfRule>
    <cfRule type="expression" dxfId="1212" priority="11" stopIfTrue="1">
      <formula>P109&lt;H109</formula>
    </cfRule>
  </conditionalFormatting>
  <conditionalFormatting sqref="F110:H110">
    <cfRule type="containsText" dxfId="1211" priority="1" operator="containsText" text="voldoet niet op VG-niveau">
      <formula>NOT(ISERROR(SEARCH("voldoet niet op VG-niveau",F110)))</formula>
    </cfRule>
  </conditionalFormatting>
  <dataValidations disablePrompts="1" count="7">
    <dataValidation type="whole" operator="greaterThan" allowBlank="1" showInputMessage="1" showErrorMessage="1" errorTitle="Getal invoeren" error="Voer een getal in om het verblijfsgebied aan te geven." sqref="C29:C34" xr:uid="{DE5164A4-258F-45D9-844C-E62724FB9CEF}">
      <formula1>0</formula1>
    </dataValidation>
    <dataValidation type="list" allowBlank="1" showInputMessage="1" showErrorMessage="1" sqref="H72:M72" xr:uid="{F9D74C16-1715-4040-B9AC-AA7DA8DB46BA}">
      <formula1>PD_70procent</formula1>
    </dataValidation>
    <dataValidation type="list" allowBlank="1" showInputMessage="1" showErrorMessage="1" sqref="D72:G72" xr:uid="{58F82B1D-6DD7-4765-8106-2B0D3A0AA565}">
      <formula1>PD_Uitgangspunten</formula1>
    </dataValidation>
    <dataValidation type="list" allowBlank="1" showInputMessage="1" showErrorMessage="1" sqref="D75:G75" xr:uid="{10A7C66E-83D5-4D01-9C2C-5E1C605F8C36}">
      <formula1>PD_RoosterFabrikant</formula1>
    </dataValidation>
    <dataValidation type="list" allowBlank="1" showInputMessage="1" showErrorMessage="1" sqref="D74:G74" xr:uid="{657F0133-97AD-4DD4-A834-C5FC4564D57E}">
      <formula1>PD_TypeVentilatie</formula1>
    </dataValidation>
    <dataValidation type="list" allowBlank="1" showInputMessage="1" showErrorMessage="1" sqref="F113:F116 F84:F88 F91:F95 F98:F102 F105:F109" xr:uid="{0ED85962-5161-4A4D-8967-7D0B24777F14}">
      <formula1>$T$16:$T$18</formula1>
    </dataValidation>
    <dataValidation type="list" allowBlank="1" showInputMessage="1" showErrorMessage="1" sqref="N113:O116 N84:O88 N91:O95 N98:O102 N105:O109" xr:uid="{377A6F26-5132-44D3-9E18-37874D45FA25}">
      <formula1>INDIRECT($S$12)</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70"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7937"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67938"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67939" r:id="rId7" name="Button 9">
              <controlPr defaultSize="0" print="0" autoFill="0" autoPict="0" macro="[0]!daglichtad1">
                <anchor moveWithCells="1" sizeWithCells="1">
                  <from>
                    <xdr:col>14</xdr:col>
                    <xdr:colOff>182880</xdr:colOff>
                    <xdr:row>37</xdr:row>
                    <xdr:rowOff>7620</xdr:rowOff>
                  </from>
                  <to>
                    <xdr:col>15</xdr:col>
                    <xdr:colOff>792480</xdr:colOff>
                    <xdr:row>38</xdr:row>
                    <xdr:rowOff>0</xdr:rowOff>
                  </to>
                </anchor>
              </controlPr>
            </control>
          </mc:Choice>
        </mc:AlternateContent>
        <mc:AlternateContent xmlns:mc="http://schemas.openxmlformats.org/markup-compatibility/2006">
          <mc:Choice Requires="x14">
            <control shapeId="167940" r:id="rId8" name="Button 11">
              <controlPr defaultSize="0" print="0" autoFill="0" autoPict="0" macro="[0]!spuiad1">
                <anchor moveWithCells="1" sizeWithCells="1">
                  <from>
                    <xdr:col>14</xdr:col>
                    <xdr:colOff>137160</xdr:colOff>
                    <xdr:row>179</xdr:row>
                    <xdr:rowOff>7620</xdr:rowOff>
                  </from>
                  <to>
                    <xdr:col>15</xdr:col>
                    <xdr:colOff>746760</xdr:colOff>
                    <xdr:row>180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2EC2D-28AF-4DEA-BD17-37052214465E}">
  <sheetPr codeName="Blad24">
    <tabColor indexed="11"/>
    <pageSetUpPr fitToPage="1"/>
  </sheetPr>
  <dimension ref="A1:AQ212"/>
  <sheetViews>
    <sheetView view="pageBreakPreview" topLeftCell="C4" zoomScale="85" zoomScaleNormal="100" zoomScaleSheetLayoutView="85" workbookViewId="0">
      <selection activeCell="N34" sqref="N34:O34"/>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1162</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Grote dakkapellen klein kantoor</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7</v>
      </c>
      <c r="T7" s="519"/>
      <c r="U7" s="516"/>
      <c r="V7" s="517"/>
      <c r="W7" s="517"/>
      <c r="X7" s="517"/>
      <c r="AC7" s="500"/>
      <c r="AF7" s="498"/>
    </row>
    <row r="8" spans="1:34" s="518" customFormat="1" ht="12" customHeight="1">
      <c r="A8" s="515"/>
      <c r="B8" s="515"/>
      <c r="C8" s="387" t="s">
        <v>691</v>
      </c>
      <c r="D8" s="796" t="s">
        <v>1143</v>
      </c>
      <c r="E8" s="796"/>
      <c r="F8" s="796"/>
      <c r="G8" s="389"/>
      <c r="H8" s="390"/>
      <c r="I8" s="390"/>
      <c r="J8" s="390"/>
      <c r="K8" s="391"/>
      <c r="L8" s="391"/>
      <c r="M8" s="391"/>
      <c r="N8" s="391"/>
      <c r="O8" s="391"/>
      <c r="P8" s="391"/>
      <c r="Q8" s="516"/>
      <c r="R8" s="516" t="s">
        <v>254</v>
      </c>
      <c r="S8" s="512">
        <f>COUNTA(X:X)</f>
        <v>7</v>
      </c>
      <c r="T8" s="519"/>
      <c r="U8" s="516"/>
      <c r="V8" s="517"/>
      <c r="W8" s="517"/>
      <c r="X8" s="517"/>
      <c r="AC8" s="500"/>
      <c r="AF8" s="498"/>
    </row>
    <row r="9" spans="1:34" s="518" customFormat="1" ht="12" customHeight="1">
      <c r="A9" s="515"/>
      <c r="B9" s="515"/>
      <c r="C9" s="387" t="s">
        <v>692</v>
      </c>
      <c r="D9" s="396" t="s">
        <v>1129</v>
      </c>
      <c r="E9" s="388"/>
      <c r="F9" s="388"/>
      <c r="G9" s="392" t="s">
        <v>1041</v>
      </c>
      <c r="H9" s="393"/>
      <c r="I9" s="784">
        <v>45028</v>
      </c>
      <c r="J9" s="390"/>
      <c r="K9" s="391"/>
      <c r="L9" s="391"/>
      <c r="M9" s="391"/>
      <c r="N9" s="391"/>
      <c r="O9" s="391"/>
      <c r="P9" s="391"/>
      <c r="Q9" s="516"/>
      <c r="R9" s="516" t="s">
        <v>253</v>
      </c>
      <c r="S9" s="520">
        <f>COUNTA(C28:C37)-1</f>
        <v>4</v>
      </c>
      <c r="T9" s="519"/>
      <c r="U9" s="516"/>
      <c r="V9" s="517"/>
      <c r="W9" s="517"/>
      <c r="X9" s="517"/>
      <c r="AC9" s="500"/>
      <c r="AF9" s="498"/>
    </row>
    <row r="10" spans="1:34" s="518" customFormat="1" ht="12" customHeight="1">
      <c r="A10" s="515"/>
      <c r="B10" s="515"/>
      <c r="C10" s="387" t="s">
        <v>693</v>
      </c>
      <c r="D10" s="396" t="s">
        <v>1145</v>
      </c>
      <c r="E10" s="388"/>
      <c r="F10" s="388"/>
      <c r="G10" s="395"/>
      <c r="H10" s="393"/>
      <c r="I10" s="396" t="s">
        <v>1144</v>
      </c>
      <c r="J10" s="390"/>
      <c r="K10" s="391"/>
      <c r="L10" s="391"/>
      <c r="M10" s="391"/>
      <c r="N10" s="391"/>
      <c r="O10" s="391"/>
      <c r="P10" s="391"/>
      <c r="Q10" s="516"/>
      <c r="R10" s="516" t="s">
        <v>253</v>
      </c>
      <c r="S10" s="512">
        <f>MAX(U:W)</f>
        <v>4</v>
      </c>
      <c r="T10" s="519"/>
      <c r="U10" s="516"/>
      <c r="V10" s="517"/>
      <c r="W10" s="517"/>
      <c r="X10" s="517"/>
      <c r="AC10" s="500"/>
      <c r="AF10" s="498"/>
    </row>
    <row r="11" spans="1:34" s="518" customFormat="1" ht="12" customHeight="1">
      <c r="A11" s="515"/>
      <c r="B11" s="515"/>
      <c r="C11" s="387" t="s">
        <v>694</v>
      </c>
      <c r="D11" s="797">
        <v>45028</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D75</f>
        <v>nader te bepalen</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1146</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10.1</v>
      </c>
      <c r="M16" s="411"/>
      <c r="N16" s="409"/>
      <c r="O16" s="412"/>
      <c r="P16" s="412"/>
      <c r="Q16" s="525"/>
      <c r="R16" s="526"/>
      <c r="S16" s="527">
        <f>IF(D72="berekening op basis van minimale capaciteit",3,IF(D74="systeem A - natuurlijke toevoer &amp;  afvoer",1,IF(D74="systeem C - natuurlijke toevoer &amp; mechanische afvoer",1,2)))</f>
        <v>2</v>
      </c>
      <c r="T16" s="516" t="str">
        <f>IF(S16=1,"NT","MT")</f>
        <v>MT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156.32999999999998</v>
      </c>
      <c r="G17" s="403"/>
      <c r="H17" s="414"/>
      <c r="I17" s="404"/>
      <c r="J17" s="408" t="s">
        <v>687</v>
      </c>
      <c r="K17" s="409"/>
      <c r="L17" s="410">
        <v>68.900000000000006</v>
      </c>
      <c r="M17" s="415"/>
      <c r="N17" s="409"/>
      <c r="O17" s="404"/>
      <c r="P17" s="416"/>
      <c r="Q17" s="525"/>
      <c r="R17" s="526"/>
      <c r="S17" s="527">
        <f>IF(D75="nader te bepalen",1,2)</f>
        <v>1</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85.981499999999997</v>
      </c>
      <c r="G18" s="417"/>
      <c r="H18" s="418"/>
      <c r="I18" s="419"/>
      <c r="J18" s="408" t="s">
        <v>688</v>
      </c>
      <c r="K18" s="409"/>
      <c r="L18" s="410">
        <v>77.33</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F36</f>
        <v>86</v>
      </c>
      <c r="G19" s="420" t="s">
        <v>661</v>
      </c>
      <c r="H19" s="421">
        <f>IF(OR(F17=0,F19=0),0,F19/F17)</f>
        <v>0.55011833941022203</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ja, &gt;=55% &amp; VG &gt;= 18m²</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2</v>
      </c>
      <c r="I22" s="805"/>
      <c r="J22" s="427" t="str">
        <f>IF(H22&lt;F22,"voldoet niet","")</f>
        <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1</v>
      </c>
      <c r="I23" s="805"/>
      <c r="J23" s="427" t="str">
        <f>IF(H23&lt;F23,"voldoet niet","")</f>
        <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28.45</v>
      </c>
      <c r="E28" s="433">
        <f>IF(C28="","",SUMPRODUCT(($Y$1:$Y$28075)*($U$1:$U$28075=C28)))</f>
        <v>0</v>
      </c>
      <c r="F28" s="799">
        <f>IF(E28="","",IF(SUMPRODUCT(($AD$1:$AD$28130)*($AC$1:$AC$28130=C28))-E28&lt;verzamelblad!$AG$7,"&lt; " &amp; verzamelblad!$AG$7 &amp; " m², geen VG",SUMPRODUCT(($AD$1:$AD$28130)*($AC$1:$AC$28130=C28))-E28))</f>
        <v>28.45</v>
      </c>
      <c r="G28" s="799"/>
      <c r="H28" s="434">
        <f>IF(C28="","",0)</f>
        <v>0</v>
      </c>
      <c r="I28" s="435"/>
      <c r="J28" s="800">
        <f t="shared" ref="J28" si="0">A28</f>
        <v>1</v>
      </c>
      <c r="K28" s="800"/>
      <c r="L28" s="436" t="s">
        <v>1147</v>
      </c>
      <c r="M28" s="436"/>
      <c r="N28" s="801">
        <v>28.45</v>
      </c>
      <c r="O28" s="801"/>
      <c r="P28" s="437"/>
      <c r="Q28" s="392"/>
      <c r="R28" s="516"/>
      <c r="S28" s="516"/>
      <c r="T28" s="521"/>
      <c r="U28" s="516"/>
      <c r="V28" s="517"/>
      <c r="W28" s="517"/>
      <c r="X28" s="536">
        <f t="shared" ref="X28" si="1">A28</f>
        <v>1</v>
      </c>
      <c r="Y28" s="517"/>
      <c r="Z28" s="517"/>
      <c r="AA28" s="517"/>
      <c r="AB28" s="517"/>
      <c r="AC28" s="537">
        <f t="shared" ref="AC28" si="2">IF(C28&lt;&gt;"",C28,AC27)</f>
        <v>1</v>
      </c>
      <c r="AD28" s="538">
        <f>IF(C28&lt;&gt;"",D28+H28,0)</f>
        <v>28.45</v>
      </c>
      <c r="AE28" s="539">
        <f t="shared" ref="AE28" si="3">N28</f>
        <v>28.45</v>
      </c>
      <c r="AF28" s="540"/>
      <c r="AG28" s="517"/>
      <c r="AH28" s="535"/>
    </row>
    <row r="29" spans="1:34" s="518" customFormat="1" ht="12" customHeight="1">
      <c r="A29" s="527">
        <f t="shared" ref="A29:A34" si="4">A28+1</f>
        <v>2</v>
      </c>
      <c r="B29" s="515" t="s">
        <v>258</v>
      </c>
      <c r="C29" s="438">
        <v>2</v>
      </c>
      <c r="D29" s="432">
        <v>22.37</v>
      </c>
      <c r="E29" s="725">
        <f>IF(C29="","",SUMPRODUCT(($Y$1:$Y$28181)*($U$1:$U$28181=C29)))</f>
        <v>0</v>
      </c>
      <c r="F29" s="802">
        <f>IF(E29="","",IF(SUMPRODUCT(($AD$1:$AD$28181)*($AC$1:$AC$28181=C29))-E29&lt;verzamelblad!$AG$7,"&lt; " &amp; verzamelblad!$AG$7 &amp; " m², geen VG",SUMPRODUCT(($AD$1:$AD$28181)*($AC$1:$AC$28181=C29))-E29))</f>
        <v>22.37</v>
      </c>
      <c r="G29" s="802"/>
      <c r="H29" s="434">
        <f t="shared" ref="H29:H34" si="5">IF(C29="","",0)</f>
        <v>0</v>
      </c>
      <c r="I29" s="439"/>
      <c r="J29" s="803">
        <f t="shared" ref="J29:J34" si="6">A29</f>
        <v>2</v>
      </c>
      <c r="K29" s="803"/>
      <c r="L29" s="440" t="s">
        <v>727</v>
      </c>
      <c r="M29" s="440"/>
      <c r="N29" s="804">
        <v>16.100000000000001</v>
      </c>
      <c r="O29" s="804"/>
      <c r="P29" s="441"/>
      <c r="Q29" s="404"/>
      <c r="R29" s="541"/>
      <c r="S29" s="541"/>
      <c r="T29" s="521"/>
      <c r="U29" s="516"/>
      <c r="V29" s="517"/>
      <c r="W29" s="517"/>
      <c r="X29" s="536">
        <f t="shared" ref="X29:X34" si="7">A29</f>
        <v>2</v>
      </c>
      <c r="Y29" s="517"/>
      <c r="Z29" s="517"/>
      <c r="AA29" s="517"/>
      <c r="AB29" s="517"/>
      <c r="AC29" s="537">
        <f>IF(C29&lt;&gt;"",C29,AC28)</f>
        <v>2</v>
      </c>
      <c r="AD29" s="538">
        <f t="shared" ref="AD29:AD34" si="8">IF(C29&lt;&gt;"",D29+H29,0)</f>
        <v>22.37</v>
      </c>
      <c r="AE29" s="539">
        <f t="shared" ref="AE29:AE34" si="9">N29</f>
        <v>16.100000000000001</v>
      </c>
      <c r="AF29" s="540"/>
      <c r="AG29" s="517"/>
      <c r="AH29" s="535"/>
    </row>
    <row r="30" spans="1:34" s="518" customFormat="1" ht="12" customHeight="1">
      <c r="A30" s="542">
        <f t="shared" si="4"/>
        <v>3</v>
      </c>
      <c r="B30" s="543" t="s">
        <v>258</v>
      </c>
      <c r="C30" s="438"/>
      <c r="D30" s="740">
        <v>0</v>
      </c>
      <c r="E30" s="725" t="str">
        <f>IF(C30="","",SUMPRODUCT(($Y$1:$Y$28240)*($U$1:$U$28240=C30)))</f>
        <v/>
      </c>
      <c r="F30" s="802" t="str">
        <f>IF(E30="","",IF(SUMPRODUCT(($AD$1:$AD$28240)*($AC$1:$AC$28240=C30))-E30&lt;verzamelblad!$AG$7,"&lt; " &amp; verzamelblad!$AG$7 &amp; " m², geen VG",SUMPRODUCT(($AD$1:$AD$28240)*($AC$1:$AC$28240=C30))-E30))</f>
        <v/>
      </c>
      <c r="G30" s="802"/>
      <c r="H30" s="756" t="str">
        <f t="shared" si="5"/>
        <v/>
      </c>
      <c r="I30" s="439"/>
      <c r="J30" s="803">
        <f t="shared" si="6"/>
        <v>3</v>
      </c>
      <c r="K30" s="803"/>
      <c r="L30" s="440" t="s">
        <v>1149</v>
      </c>
      <c r="M30" s="440"/>
      <c r="N30" s="804">
        <v>5.96</v>
      </c>
      <c r="O30" s="804"/>
      <c r="P30" s="441"/>
      <c r="Q30" s="404"/>
      <c r="R30" s="404"/>
      <c r="S30" s="404"/>
      <c r="T30" s="544"/>
      <c r="U30" s="392"/>
      <c r="V30" s="545"/>
      <c r="W30" s="545"/>
      <c r="X30" s="757">
        <f t="shared" si="7"/>
        <v>3</v>
      </c>
      <c r="Y30" s="545"/>
      <c r="Z30" s="545"/>
      <c r="AA30" s="546"/>
      <c r="AB30" s="517"/>
      <c r="AC30" s="537">
        <f t="shared" ref="AC30:AC34" si="10">IF(C30&lt;&gt;"",C30,AC29)</f>
        <v>2</v>
      </c>
      <c r="AD30" s="538">
        <f t="shared" si="8"/>
        <v>0</v>
      </c>
      <c r="AE30" s="539">
        <f t="shared" si="9"/>
        <v>5.96</v>
      </c>
      <c r="AF30" s="517"/>
      <c r="AG30" s="517">
        <f>IF(P30="ja",1,0)</f>
        <v>0</v>
      </c>
      <c r="AH30" s="535"/>
    </row>
    <row r="31" spans="1:34" s="518" customFormat="1" ht="12" customHeight="1">
      <c r="A31" s="542">
        <f t="shared" si="4"/>
        <v>4</v>
      </c>
      <c r="B31" s="543" t="s">
        <v>258</v>
      </c>
      <c r="C31" s="438">
        <v>3</v>
      </c>
      <c r="D31" s="740">
        <v>25.86</v>
      </c>
      <c r="E31" s="725">
        <f>IF(C31="","",SUMPRODUCT(($Y$1:$Y$28239)*($U$1:$U$28239=C31)))</f>
        <v>0</v>
      </c>
      <c r="F31" s="802">
        <f>IF(E31="","",IF(SUMPRODUCT(($AD$1:$AD$28239)*($AC$1:$AC$28239=C31))-E31&lt;verzamelblad!$AG$7,"&lt; " &amp; verzamelblad!$AG$7 &amp; " m², geen VG",SUMPRODUCT(($AD$1:$AD$28239)*($AC$1:$AC$28239=C31))-E31))</f>
        <v>25.86</v>
      </c>
      <c r="G31" s="802"/>
      <c r="H31" s="756">
        <f t="shared" si="5"/>
        <v>0</v>
      </c>
      <c r="I31" s="439"/>
      <c r="J31" s="803">
        <f t="shared" si="6"/>
        <v>4</v>
      </c>
      <c r="K31" s="803"/>
      <c r="L31" s="440" t="s">
        <v>742</v>
      </c>
      <c r="M31" s="440"/>
      <c r="N31" s="804">
        <v>10.88</v>
      </c>
      <c r="O31" s="804"/>
      <c r="P31" s="441"/>
      <c r="Q31" s="404"/>
      <c r="R31" s="404"/>
      <c r="S31" s="404"/>
      <c r="T31" s="544"/>
      <c r="U31" s="392"/>
      <c r="V31" s="545"/>
      <c r="W31" s="545"/>
      <c r="X31" s="757">
        <f t="shared" si="7"/>
        <v>4</v>
      </c>
      <c r="Y31" s="545"/>
      <c r="Z31" s="545"/>
      <c r="AA31" s="546"/>
      <c r="AB31" s="517"/>
      <c r="AC31" s="537">
        <f t="shared" si="10"/>
        <v>3</v>
      </c>
      <c r="AD31" s="538">
        <f t="shared" si="8"/>
        <v>25.86</v>
      </c>
      <c r="AE31" s="539">
        <f t="shared" si="9"/>
        <v>10.88</v>
      </c>
      <c r="AF31" s="517"/>
      <c r="AG31" s="517">
        <f>IF(P31="ja",1,0)</f>
        <v>0</v>
      </c>
      <c r="AH31" s="535"/>
    </row>
    <row r="32" spans="1:34" s="518" customFormat="1" ht="12" customHeight="1">
      <c r="A32" s="542">
        <f t="shared" si="4"/>
        <v>5</v>
      </c>
      <c r="B32" s="543" t="s">
        <v>258</v>
      </c>
      <c r="C32" s="438"/>
      <c r="D32" s="740">
        <v>0</v>
      </c>
      <c r="E32" s="725" t="str">
        <f>IF(C32="","",SUMPRODUCT(($Y$1:$Y$28252)*($U$1:$U$28252=C32)))</f>
        <v/>
      </c>
      <c r="F32" s="802" t="str">
        <f>IF(E32="","",IF(SUMPRODUCT(($AD$1:$AD$28252)*($AC$1:$AC$28252=C32))-E32&lt;verzamelblad!$AG$7,"&lt; " &amp; verzamelblad!$AG$7 &amp; " m², geen VG",SUMPRODUCT(($AD$1:$AD$28252)*($AC$1:$AC$28252=C32))-E32))</f>
        <v/>
      </c>
      <c r="G32" s="802"/>
      <c r="H32" s="756" t="str">
        <f t="shared" si="5"/>
        <v/>
      </c>
      <c r="I32" s="439"/>
      <c r="J32" s="803">
        <f t="shared" si="6"/>
        <v>5</v>
      </c>
      <c r="K32" s="803"/>
      <c r="L32" s="440" t="s">
        <v>1131</v>
      </c>
      <c r="M32" s="440"/>
      <c r="N32" s="804">
        <v>10.78</v>
      </c>
      <c r="O32" s="804"/>
      <c r="P32" s="441"/>
      <c r="Q32" s="404"/>
      <c r="R32" s="404"/>
      <c r="S32" s="404"/>
      <c r="T32" s="544"/>
      <c r="U32" s="392"/>
      <c r="V32" s="545"/>
      <c r="W32" s="545"/>
      <c r="X32" s="757">
        <f t="shared" si="7"/>
        <v>5</v>
      </c>
      <c r="Y32" s="545"/>
      <c r="Z32" s="545"/>
      <c r="AA32" s="546"/>
      <c r="AB32" s="517"/>
      <c r="AC32" s="537">
        <f t="shared" si="10"/>
        <v>3</v>
      </c>
      <c r="AD32" s="538">
        <f t="shared" si="8"/>
        <v>0</v>
      </c>
      <c r="AE32" s="539">
        <f t="shared" si="9"/>
        <v>10.78</v>
      </c>
      <c r="AF32" s="517"/>
      <c r="AG32" s="517">
        <f>IF(P32="ja",1,0)</f>
        <v>0</v>
      </c>
      <c r="AH32" s="535"/>
    </row>
    <row r="33" spans="1:34" s="518" customFormat="1" ht="12" customHeight="1">
      <c r="A33" s="542">
        <f t="shared" si="4"/>
        <v>6</v>
      </c>
      <c r="B33" s="543" t="s">
        <v>258</v>
      </c>
      <c r="C33" s="438"/>
      <c r="D33" s="740">
        <v>0</v>
      </c>
      <c r="E33" s="725" t="str">
        <f>IF(C33="","",SUMPRODUCT(($Y$1:$Y$28251)*($U$1:$U$28251=C33)))</f>
        <v/>
      </c>
      <c r="F33" s="802" t="str">
        <f>IF(E33="","",IF(SUMPRODUCT(($AD$1:$AD$28251)*($AC$1:$AC$28251=C33))-E33&lt;verzamelblad!$AG$7,"&lt; " &amp; verzamelblad!$AG$7 &amp; " m², geen VG",SUMPRODUCT(($AD$1:$AD$28251)*($AC$1:$AC$28251=C33))-E33))</f>
        <v/>
      </c>
      <c r="G33" s="802"/>
      <c r="H33" s="756" t="str">
        <f t="shared" si="5"/>
        <v/>
      </c>
      <c r="I33" s="439"/>
      <c r="J33" s="803">
        <f t="shared" si="6"/>
        <v>6</v>
      </c>
      <c r="K33" s="803"/>
      <c r="L33" s="440" t="s">
        <v>1148</v>
      </c>
      <c r="M33" s="440"/>
      <c r="N33" s="804">
        <v>9.8000000000000007</v>
      </c>
      <c r="O33" s="804"/>
      <c r="P33" s="441"/>
      <c r="Q33" s="404"/>
      <c r="R33" s="404"/>
      <c r="S33" s="404"/>
      <c r="T33" s="544"/>
      <c r="U33" s="392"/>
      <c r="V33" s="545"/>
      <c r="W33" s="545"/>
      <c r="X33" s="757">
        <f t="shared" si="7"/>
        <v>6</v>
      </c>
      <c r="Y33" s="545"/>
      <c r="Z33" s="545"/>
      <c r="AA33" s="546"/>
      <c r="AB33" s="517"/>
      <c r="AC33" s="537">
        <f t="shared" si="10"/>
        <v>3</v>
      </c>
      <c r="AD33" s="538">
        <f t="shared" si="8"/>
        <v>0</v>
      </c>
      <c r="AE33" s="539">
        <f t="shared" si="9"/>
        <v>9.8000000000000007</v>
      </c>
      <c r="AF33" s="517"/>
      <c r="AG33" s="517">
        <f>IF(P33="ja",1,0)</f>
        <v>0</v>
      </c>
      <c r="AH33" s="535"/>
    </row>
    <row r="34" spans="1:34" s="518" customFormat="1" ht="12" customHeight="1">
      <c r="A34" s="542">
        <f t="shared" si="4"/>
        <v>7</v>
      </c>
      <c r="B34" s="543" t="s">
        <v>258</v>
      </c>
      <c r="C34" s="438">
        <v>4</v>
      </c>
      <c r="D34" s="740">
        <v>9.32</v>
      </c>
      <c r="E34" s="725">
        <f>IF(C34="","",SUMPRODUCT(($Y$1:$Y$28250)*($U$1:$U$28250=C34)))</f>
        <v>0</v>
      </c>
      <c r="F34" s="802">
        <f>IF(E34="","",IF(SUMPRODUCT(($AD$1:$AD$28250)*($AC$1:$AC$28250=C34))-E34&lt;verzamelblad!$AG$7,"&lt; " &amp; verzamelblad!$AG$7 &amp; " m², geen VG",SUMPRODUCT(($AD$1:$AD$28250)*($AC$1:$AC$28250=C34))-E34))</f>
        <v>9.32</v>
      </c>
      <c r="G34" s="802"/>
      <c r="H34" s="756">
        <f t="shared" si="5"/>
        <v>0</v>
      </c>
      <c r="I34" s="439"/>
      <c r="J34" s="803">
        <f t="shared" si="6"/>
        <v>7</v>
      </c>
      <c r="K34" s="803"/>
      <c r="L34" s="440" t="s">
        <v>1132</v>
      </c>
      <c r="M34" s="440"/>
      <c r="N34" s="804">
        <v>9.32</v>
      </c>
      <c r="O34" s="804"/>
      <c r="P34" s="441"/>
      <c r="Q34" s="404"/>
      <c r="R34" s="404"/>
      <c r="S34" s="404"/>
      <c r="T34" s="544"/>
      <c r="U34" s="392"/>
      <c r="V34" s="545"/>
      <c r="W34" s="545"/>
      <c r="X34" s="757">
        <f t="shared" si="7"/>
        <v>7</v>
      </c>
      <c r="Y34" s="545"/>
      <c r="Z34" s="545"/>
      <c r="AA34" s="546"/>
      <c r="AB34" s="517"/>
      <c r="AC34" s="537">
        <f t="shared" si="10"/>
        <v>4</v>
      </c>
      <c r="AD34" s="538">
        <f t="shared" si="8"/>
        <v>9.32</v>
      </c>
      <c r="AE34" s="539">
        <f t="shared" si="9"/>
        <v>9.32</v>
      </c>
      <c r="AF34" s="517"/>
      <c r="AG34" s="517">
        <f>IF(P34="ja",1,0)</f>
        <v>0</v>
      </c>
      <c r="AH34" s="535"/>
    </row>
    <row r="35" spans="1:34" ht="12" customHeight="1">
      <c r="A35" s="492"/>
      <c r="B35" s="492"/>
      <c r="C35" s="442"/>
      <c r="D35" s="443"/>
      <c r="E35" s="443"/>
      <c r="F35" s="443"/>
      <c r="G35" s="444"/>
      <c r="H35" s="444"/>
      <c r="I35" s="444"/>
      <c r="J35" s="444"/>
      <c r="K35" s="445"/>
      <c r="L35" s="445"/>
      <c r="M35" s="445"/>
      <c r="N35" s="445"/>
      <c r="O35" s="445"/>
      <c r="P35" s="445"/>
      <c r="Q35" s="547"/>
      <c r="R35" s="516"/>
      <c r="S35" s="515"/>
      <c r="T35" s="532"/>
      <c r="U35" s="507"/>
      <c r="V35" s="508"/>
      <c r="W35" s="508"/>
      <c r="X35" s="508"/>
      <c r="Y35" s="508"/>
      <c r="Z35" s="508"/>
      <c r="AA35" s="508"/>
      <c r="AB35" s="508"/>
      <c r="AC35" s="524"/>
      <c r="AD35" s="508"/>
      <c r="AE35" s="517"/>
      <c r="AF35" s="508"/>
      <c r="AG35" s="508"/>
    </row>
    <row r="36" spans="1:34" ht="12" customHeight="1">
      <c r="A36" s="492"/>
      <c r="B36" s="492"/>
      <c r="C36" s="446" t="s">
        <v>16</v>
      </c>
      <c r="D36" s="728">
        <f>SUM(D24:D35)</f>
        <v>86</v>
      </c>
      <c r="E36" s="447"/>
      <c r="F36" s="808">
        <f>SUM(F24:F35)</f>
        <v>86</v>
      </c>
      <c r="G36" s="808"/>
      <c r="H36" s="448"/>
      <c r="I36" s="448"/>
      <c r="J36" s="728"/>
      <c r="K36" s="449"/>
      <c r="L36" s="450"/>
      <c r="M36" s="404"/>
      <c r="N36" s="728">
        <f>SUM(N24:N35)</f>
        <v>91.289999999999992</v>
      </c>
      <c r="O36" s="451"/>
      <c r="P36" s="452"/>
      <c r="Q36" s="452"/>
      <c r="R36" s="516"/>
      <c r="S36" s="515"/>
      <c r="T36" s="532"/>
      <c r="U36" s="507"/>
      <c r="V36" s="508"/>
      <c r="W36" s="508"/>
      <c r="X36" s="508"/>
      <c r="Y36" s="508"/>
      <c r="Z36" s="508"/>
      <c r="AA36" s="508"/>
      <c r="AB36" s="508"/>
      <c r="AC36" s="524"/>
      <c r="AD36" s="508"/>
      <c r="AE36" s="517"/>
      <c r="AF36" s="508"/>
      <c r="AG36" s="508"/>
      <c r="AH36" s="508"/>
    </row>
    <row r="37" spans="1:34" ht="12" customHeight="1">
      <c r="A37" s="492"/>
      <c r="B37" s="492"/>
      <c r="C37" s="453"/>
      <c r="D37" s="454"/>
      <c r="E37" s="454"/>
      <c r="F37" s="454"/>
      <c r="G37" s="455"/>
      <c r="H37" s="455"/>
      <c r="I37" s="455"/>
      <c r="J37" s="455"/>
      <c r="K37" s="456"/>
      <c r="L37" s="456"/>
      <c r="M37" s="456"/>
      <c r="N37" s="456"/>
      <c r="O37" s="456"/>
      <c r="P37" s="456"/>
      <c r="Q37" s="547"/>
      <c r="R37" s="516"/>
      <c r="S37" s="515"/>
      <c r="T37" s="532"/>
      <c r="U37" s="507"/>
      <c r="V37" s="508"/>
      <c r="W37" s="508"/>
      <c r="X37" s="508"/>
      <c r="Y37" s="508"/>
      <c r="Z37" s="508"/>
      <c r="AA37" s="508"/>
      <c r="AB37" s="508"/>
      <c r="AC37" s="524"/>
      <c r="AD37" s="508"/>
      <c r="AE37" s="517"/>
      <c r="AF37" s="508"/>
      <c r="AG37" s="508"/>
    </row>
    <row r="38" spans="1:34" s="518" customFormat="1" ht="15" customHeight="1">
      <c r="A38" s="515"/>
      <c r="B38" s="515"/>
      <c r="C38" s="457" t="s">
        <v>1083</v>
      </c>
      <c r="D38" s="457"/>
      <c r="E38" s="457"/>
      <c r="F38" s="457"/>
      <c r="G38" s="457"/>
      <c r="H38" s="457"/>
      <c r="I38" s="457"/>
      <c r="J38" s="457"/>
      <c r="K38" s="457"/>
      <c r="L38" s="457"/>
      <c r="M38" s="457"/>
      <c r="N38" s="457"/>
      <c r="O38" s="457"/>
      <c r="P38" s="457"/>
      <c r="Q38" s="522"/>
      <c r="R38" s="516"/>
      <c r="S38" s="516"/>
      <c r="T38" s="516"/>
      <c r="U38" s="516"/>
      <c r="V38" s="517"/>
      <c r="W38" s="548"/>
      <c r="X38" s="548"/>
      <c r="Y38" s="548"/>
      <c r="Z38" s="517"/>
      <c r="AA38" s="517"/>
      <c r="AB38" s="517"/>
      <c r="AC38" s="524"/>
      <c r="AD38" s="517"/>
      <c r="AE38" s="517"/>
      <c r="AF38" s="517"/>
      <c r="AG38" s="517"/>
    </row>
    <row r="39" spans="1:34" s="518" customFormat="1" ht="12.75" hidden="1" customHeight="1">
      <c r="A39" s="515"/>
      <c r="B39" s="515"/>
      <c r="C39" s="458"/>
      <c r="D39" s="458"/>
      <c r="E39" s="458"/>
      <c r="F39" s="458"/>
      <c r="G39" s="458"/>
      <c r="H39" s="459"/>
      <c r="I39" s="459"/>
      <c r="J39" s="459"/>
      <c r="K39" s="459"/>
      <c r="L39" s="459"/>
      <c r="M39" s="459"/>
      <c r="N39" s="459"/>
      <c r="O39" s="459"/>
      <c r="P39" s="459"/>
      <c r="Q39" s="522"/>
      <c r="R39" s="516"/>
      <c r="S39" s="516"/>
      <c r="T39" s="516"/>
      <c r="U39" s="516"/>
      <c r="V39" s="548"/>
      <c r="W39" s="548"/>
      <c r="X39" s="548"/>
      <c r="Y39" s="548"/>
      <c r="Z39" s="517"/>
      <c r="AA39" s="517"/>
      <c r="AB39" s="517"/>
      <c r="AC39" s="524"/>
      <c r="AD39" s="517"/>
      <c r="AE39" s="517"/>
      <c r="AF39" s="517"/>
      <c r="AG39" s="517"/>
      <c r="AH39" s="517"/>
    </row>
    <row r="40" spans="1:34" ht="15" customHeight="1">
      <c r="A40" s="492"/>
      <c r="B40" s="492"/>
      <c r="C40" s="736" t="s">
        <v>133</v>
      </c>
      <c r="D40" s="809" t="s">
        <v>134</v>
      </c>
      <c r="E40" s="809"/>
      <c r="F40" s="460" t="s">
        <v>135</v>
      </c>
      <c r="G40" s="460" t="s">
        <v>1101</v>
      </c>
      <c r="H40" s="460" t="s">
        <v>655</v>
      </c>
      <c r="I40" s="460" t="s">
        <v>1094</v>
      </c>
      <c r="J40" s="460" t="s">
        <v>1095</v>
      </c>
      <c r="K40" s="461" t="s">
        <v>1102</v>
      </c>
      <c r="L40" s="460" t="s">
        <v>1103</v>
      </c>
      <c r="M40" s="460" t="s">
        <v>1104</v>
      </c>
      <c r="N40" s="460" t="s">
        <v>1105</v>
      </c>
      <c r="O40" s="460" t="s">
        <v>16</v>
      </c>
      <c r="P40" s="460" t="s">
        <v>662</v>
      </c>
      <c r="Q40" s="507"/>
      <c r="R40" s="507"/>
      <c r="S40" s="507"/>
      <c r="T40" s="507"/>
      <c r="U40" s="507"/>
      <c r="V40" s="508"/>
      <c r="W40" s="508"/>
      <c r="X40" s="508"/>
      <c r="Y40" s="508"/>
      <c r="Z40" s="508"/>
      <c r="AA40" s="508"/>
      <c r="AB40" s="508"/>
      <c r="AC40" s="534"/>
      <c r="AD40" s="508"/>
      <c r="AE40" s="508"/>
      <c r="AF40" s="508"/>
      <c r="AG40" s="508"/>
      <c r="AH40" s="508"/>
    </row>
    <row r="41" spans="1:34" ht="12.75" customHeight="1">
      <c r="A41" s="492"/>
      <c r="B41" s="492"/>
      <c r="C41" s="462"/>
      <c r="D41" s="810"/>
      <c r="E41" s="810"/>
      <c r="F41" s="810"/>
      <c r="G41" s="456"/>
      <c r="H41" s="463"/>
      <c r="I41" s="463"/>
      <c r="J41" s="456"/>
      <c r="K41" s="456"/>
      <c r="L41" s="456"/>
      <c r="M41" s="456"/>
      <c r="N41" s="456"/>
      <c r="O41" s="456"/>
      <c r="P41" s="456"/>
      <c r="Q41" s="507"/>
      <c r="R41" s="507"/>
      <c r="S41" s="507"/>
      <c r="T41" s="507" t="str">
        <f>IF($B41&gt;0,$B41,"")</f>
        <v/>
      </c>
      <c r="U41" s="507"/>
      <c r="V41" s="508"/>
      <c r="W41" s="508"/>
      <c r="X41" s="508"/>
      <c r="Y41" s="508"/>
      <c r="Z41" s="508"/>
      <c r="AA41" s="508"/>
      <c r="AB41" s="508"/>
      <c r="AC41" s="524"/>
      <c r="AD41" s="508"/>
      <c r="AE41" s="517"/>
      <c r="AF41" s="508"/>
      <c r="AG41" s="508"/>
      <c r="AH41" s="508"/>
    </row>
    <row r="42" spans="1:34" s="518" customFormat="1" ht="12" customHeight="1">
      <c r="A42" s="515"/>
      <c r="B42" s="515"/>
      <c r="C42" s="464" t="str">
        <f>L28</f>
        <v>woonkamer / eetkamer</v>
      </c>
      <c r="D42" s="811" t="s">
        <v>1150</v>
      </c>
      <c r="E42" s="811"/>
      <c r="F42" s="657">
        <v>1</v>
      </c>
      <c r="G42" s="465">
        <v>2.4900000000000002</v>
      </c>
      <c r="H42" s="466">
        <v>90</v>
      </c>
      <c r="I42" s="466">
        <v>20</v>
      </c>
      <c r="J42" s="466">
        <v>25</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9">
        <f>ROUND(F42*G42*L42*M42,2)</f>
        <v>1.92</v>
      </c>
      <c r="O42" s="470"/>
      <c r="P42" s="404"/>
      <c r="Q42" s="525" t="str">
        <f t="shared" ref="Q42:Q46" si="11">IF(G42=0,"verbergen","")</f>
        <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49"/>
      <c r="B43" s="515"/>
      <c r="C43" s="464" t="str">
        <f>L28</f>
        <v>woonkamer / eetkamer</v>
      </c>
      <c r="D43" s="811" t="s">
        <v>1151</v>
      </c>
      <c r="E43" s="811"/>
      <c r="F43" s="657">
        <v>2</v>
      </c>
      <c r="G43" s="465">
        <v>0.89</v>
      </c>
      <c r="H43" s="466">
        <v>90</v>
      </c>
      <c r="I43" s="466">
        <v>31</v>
      </c>
      <c r="J43" s="466">
        <v>30</v>
      </c>
      <c r="K43" s="467" t="s">
        <v>737</v>
      </c>
      <c r="L43" s="467">
        <v>1</v>
      </c>
      <c r="M43" s="468">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0.67</v>
      </c>
      <c r="N43" s="469">
        <f>ROUND(F43*G43*L43*M43,2)</f>
        <v>1.19</v>
      </c>
      <c r="O43" s="470"/>
      <c r="P43" s="471"/>
      <c r="Q43" s="525" t="str">
        <f t="shared" si="11"/>
        <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20"/>
      <c r="B44" s="515"/>
      <c r="C44" s="464" t="str">
        <f>L28</f>
        <v>woonkamer / eetkamer</v>
      </c>
      <c r="D44" s="811" t="s">
        <v>1152</v>
      </c>
      <c r="E44" s="811"/>
      <c r="F44" s="657">
        <v>2</v>
      </c>
      <c r="G44" s="465">
        <v>0.89</v>
      </c>
      <c r="H44" s="466">
        <v>90</v>
      </c>
      <c r="I44" s="466">
        <v>31</v>
      </c>
      <c r="J44" s="466">
        <v>30</v>
      </c>
      <c r="K44" s="467" t="s">
        <v>737</v>
      </c>
      <c r="L44" s="467">
        <v>1</v>
      </c>
      <c r="M44" s="468">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0.67</v>
      </c>
      <c r="N44" s="469">
        <f>ROUND(F44*G44*L44*M44,2)</f>
        <v>1.19</v>
      </c>
      <c r="O44" s="470"/>
      <c r="P44" s="471"/>
      <c r="Q44" s="525" t="str">
        <f t="shared" si="11"/>
        <v/>
      </c>
      <c r="R44" s="516"/>
      <c r="S44" s="516"/>
      <c r="T44" s="507"/>
      <c r="U44" s="507">
        <v>1</v>
      </c>
      <c r="V44" s="508"/>
      <c r="W44" s="508"/>
      <c r="X44" s="508"/>
      <c r="Y44" s="508"/>
      <c r="Z44" s="508"/>
      <c r="AA44" s="508"/>
      <c r="AB44" s="508"/>
      <c r="AC44" s="524"/>
      <c r="AD44" s="517"/>
      <c r="AE44" s="517"/>
      <c r="AF44" s="517"/>
      <c r="AG44" s="517"/>
      <c r="AH44" s="517"/>
    </row>
    <row r="45" spans="1:34" s="518" customFormat="1" ht="12" hidden="1" customHeight="1">
      <c r="A45" s="520"/>
      <c r="B45" s="515"/>
      <c r="C45" s="464" t="s">
        <v>252</v>
      </c>
      <c r="D45" s="811" t="s">
        <v>251</v>
      </c>
      <c r="E45" s="811"/>
      <c r="F45" s="657">
        <v>1</v>
      </c>
      <c r="G45" s="465">
        <v>0</v>
      </c>
      <c r="H45" s="466">
        <v>90</v>
      </c>
      <c r="I45" s="466">
        <v>20</v>
      </c>
      <c r="J45" s="466">
        <v>0</v>
      </c>
      <c r="K45" s="467" t="s">
        <v>737</v>
      </c>
      <c r="L45" s="467">
        <v>1</v>
      </c>
      <c r="M45" s="468">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69">
        <f>ROUND(F45*G45*L45*M45,2)</f>
        <v>0</v>
      </c>
      <c r="O45" s="470"/>
      <c r="P45" s="471"/>
      <c r="Q45" s="525" t="str">
        <f t="shared" si="11"/>
        <v>verbergen</v>
      </c>
      <c r="R45" s="516"/>
      <c r="S45" s="516"/>
      <c r="T45" s="507"/>
      <c r="U45" s="507">
        <v>1</v>
      </c>
      <c r="V45" s="508"/>
      <c r="W45" s="508"/>
      <c r="X45" s="508"/>
      <c r="Y45" s="508"/>
      <c r="Z45" s="508"/>
      <c r="AA45" s="508"/>
      <c r="AB45" s="508"/>
      <c r="AC45" s="524"/>
      <c r="AD45" s="517"/>
      <c r="AE45" s="517"/>
      <c r="AF45" s="517"/>
      <c r="AG45" s="517"/>
      <c r="AH45" s="517"/>
    </row>
    <row r="46" spans="1:34" s="518" customFormat="1" ht="12" hidden="1" customHeight="1">
      <c r="A46" s="550"/>
      <c r="B46" s="551"/>
      <c r="C46" s="472" t="s">
        <v>252</v>
      </c>
      <c r="D46" s="812" t="s">
        <v>251</v>
      </c>
      <c r="E46" s="812"/>
      <c r="F46" s="727">
        <v>1</v>
      </c>
      <c r="G46" s="473">
        <v>0</v>
      </c>
      <c r="H46" s="474">
        <v>90</v>
      </c>
      <c r="I46" s="474">
        <v>20</v>
      </c>
      <c r="J46" s="474">
        <v>0</v>
      </c>
      <c r="K46" s="475" t="s">
        <v>737</v>
      </c>
      <c r="L46" s="475">
        <v>1</v>
      </c>
      <c r="M46" s="476">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77">
        <f>ROUND(F46*G46*L46*M46,2)</f>
        <v>0</v>
      </c>
      <c r="O46" s="478"/>
      <c r="P46" s="479"/>
      <c r="Q46" s="525" t="str">
        <f t="shared" si="11"/>
        <v>verbergen</v>
      </c>
      <c r="R46" s="516"/>
      <c r="S46" s="516"/>
      <c r="T46" s="507"/>
      <c r="U46" s="507">
        <v>1</v>
      </c>
      <c r="V46" s="508"/>
      <c r="W46" s="508"/>
      <c r="X46" s="508"/>
      <c r="Y46" s="508"/>
      <c r="Z46" s="508"/>
      <c r="AA46" s="508"/>
      <c r="AB46" s="508"/>
      <c r="AC46" s="524"/>
      <c r="AD46" s="517"/>
      <c r="AE46" s="517"/>
      <c r="AF46" s="517"/>
      <c r="AG46" s="517"/>
      <c r="AH46" s="517"/>
    </row>
    <row r="47" spans="1:34" s="518" customFormat="1" ht="12" customHeight="1">
      <c r="A47" s="552"/>
      <c r="B47" s="553">
        <v>1</v>
      </c>
      <c r="C47" s="480">
        <f>B47</f>
        <v>1</v>
      </c>
      <c r="D47" s="481">
        <f>IF(O47&gt;P47,P47*10,O47*10)</f>
        <v>28.450000000000003</v>
      </c>
      <c r="E47" s="813" t="str">
        <f>IF(O47&lt;P47,(P47*10)-(O47*10),"(voldoet)")</f>
        <v>(voldoet)</v>
      </c>
      <c r="F47" s="813"/>
      <c r="G47" s="813"/>
      <c r="H47" s="482"/>
      <c r="I47" s="482"/>
      <c r="J47" s="483"/>
      <c r="K47" s="484"/>
      <c r="L47" s="485"/>
      <c r="M47" s="485"/>
      <c r="N47" s="485"/>
      <c r="O47" s="486">
        <f>SUM(N42:N47)</f>
        <v>4.3</v>
      </c>
      <c r="P47" s="486">
        <f>SUMPRODUCT(($AD$1:$AD$28232)*($AC$1:$AC$28232=B47))*verzamelblad!$Y$7/100</f>
        <v>2.8450000000000002</v>
      </c>
      <c r="Q47" s="554"/>
      <c r="R47" s="554"/>
      <c r="S47" s="554"/>
      <c r="T47" s="554"/>
      <c r="U47" s="507">
        <v>1</v>
      </c>
      <c r="V47" s="508"/>
      <c r="W47" s="508"/>
      <c r="X47" s="508"/>
      <c r="Y47" s="555">
        <f>IF(E47="(voldoet)",0,IF(E47="(voldoet niet)",D47,E47))</f>
        <v>0</v>
      </c>
      <c r="Z47" s="508"/>
      <c r="AA47" s="508"/>
      <c r="AB47" s="508"/>
      <c r="AC47" s="517"/>
      <c r="AD47" s="517"/>
      <c r="AE47" s="508"/>
      <c r="AF47" s="517"/>
      <c r="AG47" s="517"/>
      <c r="AH47" s="517"/>
    </row>
    <row r="48" spans="1:34" ht="12" customHeight="1">
      <c r="A48" s="492"/>
      <c r="B48" s="492"/>
      <c r="C48" s="487"/>
      <c r="D48" s="487"/>
      <c r="E48" s="487"/>
      <c r="F48" s="463"/>
      <c r="G48" s="463"/>
      <c r="H48" s="456"/>
      <c r="I48" s="456"/>
      <c r="J48" s="456"/>
      <c r="K48" s="456"/>
      <c r="L48" s="456"/>
      <c r="M48" s="456"/>
      <c r="N48" s="456"/>
      <c r="O48" s="488"/>
      <c r="P48" s="489"/>
      <c r="Q48" s="507"/>
      <c r="R48" s="507"/>
      <c r="S48" s="507"/>
      <c r="T48" s="507"/>
      <c r="U48" s="507">
        <v>1</v>
      </c>
      <c r="V48" s="508"/>
      <c r="W48" s="508"/>
      <c r="X48" s="508"/>
      <c r="Y48" s="508"/>
      <c r="Z48" s="508"/>
      <c r="AA48" s="508"/>
      <c r="AB48" s="508"/>
      <c r="AC48" s="524"/>
      <c r="AD48" s="508"/>
      <c r="AE48" s="508"/>
      <c r="AF48" s="508"/>
      <c r="AG48" s="508"/>
      <c r="AH48" s="508"/>
    </row>
    <row r="49" spans="1:34" s="541" customFormat="1" ht="12" customHeight="1">
      <c r="A49" s="543"/>
      <c r="B49" s="543"/>
      <c r="C49" s="464" t="str">
        <f>L29</f>
        <v>keuken</v>
      </c>
      <c r="D49" s="811" t="s">
        <v>1153</v>
      </c>
      <c r="E49" s="811"/>
      <c r="F49" s="657">
        <v>1</v>
      </c>
      <c r="G49" s="465">
        <v>4.95</v>
      </c>
      <c r="H49" s="466">
        <v>90</v>
      </c>
      <c r="I49" s="466">
        <v>20</v>
      </c>
      <c r="J49" s="466">
        <v>66</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0.39</v>
      </c>
      <c r="N49" s="469">
        <f>ROUND(F49*G49*L49*M49,2)</f>
        <v>1.93</v>
      </c>
      <c r="O49" s="470"/>
      <c r="P49" s="404"/>
      <c r="Q49" s="729" t="str">
        <f>IF(G49=0,"verbergen","")</f>
        <v/>
      </c>
      <c r="R49" s="404"/>
      <c r="S49" s="404"/>
      <c r="T49" s="392"/>
      <c r="U49" s="547">
        <f>U48+1</f>
        <v>2</v>
      </c>
      <c r="V49" s="547"/>
      <c r="W49" s="547"/>
      <c r="X49" s="547"/>
      <c r="Y49" s="547"/>
      <c r="Z49" s="547"/>
      <c r="AA49" s="404"/>
      <c r="AB49" s="507"/>
      <c r="AC49" s="516"/>
      <c r="AD49" s="516"/>
      <c r="AE49" s="516"/>
      <c r="AF49" s="507"/>
      <c r="AG49" s="516"/>
      <c r="AH49" s="516"/>
    </row>
    <row r="50" spans="1:34" s="541" customFormat="1" ht="12" customHeight="1">
      <c r="A50" s="543"/>
      <c r="B50" s="543"/>
      <c r="C50" s="464" t="str">
        <f>L29</f>
        <v>keuken</v>
      </c>
      <c r="D50" s="811" t="s">
        <v>1154</v>
      </c>
      <c r="E50" s="811"/>
      <c r="F50" s="657">
        <v>1</v>
      </c>
      <c r="G50" s="465">
        <v>1.01</v>
      </c>
      <c r="H50" s="466">
        <v>90</v>
      </c>
      <c r="I50" s="466">
        <v>20</v>
      </c>
      <c r="J50" s="466">
        <v>39</v>
      </c>
      <c r="K50" s="467" t="s">
        <v>737</v>
      </c>
      <c r="L50" s="467">
        <v>1</v>
      </c>
      <c r="M50" s="468">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0.71</v>
      </c>
      <c r="N50" s="469">
        <f>ROUND(F50*G50*L50*M50,2)</f>
        <v>0.72</v>
      </c>
      <c r="O50" s="470"/>
      <c r="P50" s="471"/>
      <c r="Q50" s="729" t="str">
        <f>IF(G50=0,"verbergen","")</f>
        <v/>
      </c>
      <c r="R50" s="404"/>
      <c r="S50" s="404"/>
      <c r="T50" s="392"/>
      <c r="U50" s="547">
        <f t="shared" ref="U50:U55" si="12">U49</f>
        <v>2</v>
      </c>
      <c r="V50" s="547"/>
      <c r="W50" s="547"/>
      <c r="X50" s="547"/>
      <c r="Y50" s="547"/>
      <c r="Z50" s="547"/>
      <c r="AA50" s="404"/>
      <c r="AB50" s="507"/>
      <c r="AC50" s="516"/>
      <c r="AD50" s="516"/>
      <c r="AE50" s="516"/>
      <c r="AF50" s="507"/>
      <c r="AG50" s="516"/>
      <c r="AH50" s="516"/>
    </row>
    <row r="51" spans="1:34" s="541" customFormat="1" ht="12" customHeight="1">
      <c r="A51" s="543"/>
      <c r="B51" s="543"/>
      <c r="C51" s="464" t="str">
        <f>L30</f>
        <v>bijkeuken</v>
      </c>
      <c r="D51" s="811" t="s">
        <v>1152</v>
      </c>
      <c r="E51" s="811"/>
      <c r="F51" s="657">
        <v>2</v>
      </c>
      <c r="G51" s="465">
        <v>0.89</v>
      </c>
      <c r="H51" s="466">
        <v>90</v>
      </c>
      <c r="I51" s="466">
        <v>31</v>
      </c>
      <c r="J51" s="466">
        <v>30</v>
      </c>
      <c r="K51" s="467" t="s">
        <v>737</v>
      </c>
      <c r="L51" s="467">
        <v>1</v>
      </c>
      <c r="M51" s="468">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0.67</v>
      </c>
      <c r="N51" s="469">
        <f>ROUND(F51*G51*L51*M51,2)</f>
        <v>1.19</v>
      </c>
      <c r="O51" s="470"/>
      <c r="P51" s="471"/>
      <c r="Q51" s="729" t="str">
        <f>IF(G51=0,"verbergen","")</f>
        <v/>
      </c>
      <c r="R51" s="404"/>
      <c r="S51" s="404"/>
      <c r="T51" s="392"/>
      <c r="U51" s="547">
        <f t="shared" si="12"/>
        <v>2</v>
      </c>
      <c r="V51" s="547"/>
      <c r="W51" s="547"/>
      <c r="X51" s="547"/>
      <c r="Y51" s="547"/>
      <c r="Z51" s="547"/>
      <c r="AA51" s="404"/>
      <c r="AB51" s="507"/>
      <c r="AC51" s="516"/>
      <c r="AD51" s="516"/>
      <c r="AE51" s="516"/>
      <c r="AF51" s="507"/>
      <c r="AG51" s="516"/>
      <c r="AH51" s="516"/>
    </row>
    <row r="52" spans="1:34" s="541" customFormat="1" ht="12" hidden="1" customHeight="1">
      <c r="A52" s="543"/>
      <c r="B52" s="543"/>
      <c r="C52" s="464" t="s">
        <v>252</v>
      </c>
      <c r="D52" s="811" t="s">
        <v>251</v>
      </c>
      <c r="E52" s="811"/>
      <c r="F52" s="657">
        <v>1</v>
      </c>
      <c r="G52" s="465">
        <v>0</v>
      </c>
      <c r="H52" s="466">
        <v>90</v>
      </c>
      <c r="I52" s="466">
        <v>20</v>
      </c>
      <c r="J52" s="466">
        <v>0</v>
      </c>
      <c r="K52" s="467" t="s">
        <v>737</v>
      </c>
      <c r="L52" s="467">
        <v>1</v>
      </c>
      <c r="M52" s="468">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69">
        <f>ROUND(F52*G52*L52*M52,2)</f>
        <v>0</v>
      </c>
      <c r="O52" s="470"/>
      <c r="P52" s="471"/>
      <c r="Q52" s="729" t="str">
        <f>IF(G52=0,"verbergen","")</f>
        <v>verbergen</v>
      </c>
      <c r="R52" s="404"/>
      <c r="S52" s="404"/>
      <c r="T52" s="392"/>
      <c r="U52" s="547">
        <f t="shared" si="12"/>
        <v>2</v>
      </c>
      <c r="V52" s="547"/>
      <c r="W52" s="547"/>
      <c r="X52" s="547"/>
      <c r="Y52" s="547"/>
      <c r="Z52" s="547"/>
      <c r="AA52" s="404"/>
      <c r="AB52" s="507"/>
      <c r="AC52" s="516"/>
      <c r="AD52" s="516"/>
      <c r="AE52" s="516"/>
      <c r="AF52" s="507"/>
      <c r="AG52" s="516"/>
      <c r="AH52" s="516"/>
    </row>
    <row r="53" spans="1:34" s="541" customFormat="1" ht="12" hidden="1" customHeight="1">
      <c r="A53" s="543"/>
      <c r="B53" s="543"/>
      <c r="C53" s="464" t="s">
        <v>252</v>
      </c>
      <c r="D53" s="812" t="s">
        <v>251</v>
      </c>
      <c r="E53" s="812"/>
      <c r="F53" s="727">
        <v>1</v>
      </c>
      <c r="G53" s="473">
        <v>0</v>
      </c>
      <c r="H53" s="474">
        <v>90</v>
      </c>
      <c r="I53" s="474">
        <v>20</v>
      </c>
      <c r="J53" s="474">
        <v>0</v>
      </c>
      <c r="K53" s="475" t="s">
        <v>737</v>
      </c>
      <c r="L53" s="475">
        <v>1</v>
      </c>
      <c r="M53" s="476">
        <f>IF(H53&gt;80,(IF(J53&gt;75,0,IF(I53&gt;80,0,INDEX(verzamelblad!$A$81:$BK$158, MATCH((CEILING(IF(J53&gt;=75,75,J53),1)),verzamelblad!$A$81:$A$158,), MATCH((CEILING(IF(I53&lt;=20,20,IF(I53&gt;=80,80,I53)),1)),verzamelblad!$A$81:$BK$81,))))),IF(I53&gt;75,0,INDEX(verzamelblad!$A$164:$BM$245, MATCH((CEILING(IF(H53&gt;=80,80,H53),1)),verzamelblad!$A$164:$A$245,), MATCH((CEILING(IF(I53&lt;=1,1,IF(I53&gt;=75,75,I53)),1)),verzamelblad!$A$164:$BM$164,))))</f>
        <v>0.8</v>
      </c>
      <c r="N53" s="477">
        <f>ROUND(F53*G53*L53*M53,2)</f>
        <v>0</v>
      </c>
      <c r="O53" s="478"/>
      <c r="P53" s="479"/>
      <c r="Q53" s="729" t="str">
        <f>IF(G53=0,"verbergen","")</f>
        <v>verbergen</v>
      </c>
      <c r="R53" s="404"/>
      <c r="S53" s="404"/>
      <c r="T53" s="392"/>
      <c r="U53" s="547">
        <f t="shared" si="12"/>
        <v>2</v>
      </c>
      <c r="V53" s="547"/>
      <c r="W53" s="547"/>
      <c r="X53" s="547"/>
      <c r="Y53" s="547"/>
      <c r="Z53" s="547"/>
      <c r="AA53" s="404"/>
      <c r="AB53" s="507"/>
      <c r="AC53" s="516"/>
      <c r="AD53" s="516"/>
      <c r="AE53" s="516"/>
      <c r="AF53" s="507"/>
      <c r="AG53" s="516"/>
      <c r="AH53" s="516"/>
    </row>
    <row r="54" spans="1:34" s="404" customFormat="1" ht="12" customHeight="1">
      <c r="A54" s="542"/>
      <c r="B54" s="556">
        <f>B47+1</f>
        <v>2</v>
      </c>
      <c r="C54" s="480">
        <f>B54</f>
        <v>2</v>
      </c>
      <c r="D54" s="481">
        <f>IF(O54&gt;P54,P54*10,O54*10)</f>
        <v>22.37</v>
      </c>
      <c r="E54" s="813" t="str">
        <f>IF(O54&lt;P54,(P54*10)-(O54*10),"(voldoet)")</f>
        <v>(voldoet)</v>
      </c>
      <c r="F54" s="813"/>
      <c r="G54" s="813"/>
      <c r="H54" s="482"/>
      <c r="I54" s="482"/>
      <c r="J54" s="483"/>
      <c r="K54" s="484"/>
      <c r="L54" s="485"/>
      <c r="M54" s="485"/>
      <c r="N54" s="485"/>
      <c r="O54" s="486">
        <f>SUM(N49:N54)</f>
        <v>3.84</v>
      </c>
      <c r="P54" s="486">
        <f>SUMPRODUCT(($AD$1:$AD$28222)*($AC$1:$AC$28222=B54))*verzamelblad!$Y$7/100</f>
        <v>2.2370000000000001</v>
      </c>
      <c r="Q54" s="557"/>
      <c r="R54" s="557"/>
      <c r="S54" s="557"/>
      <c r="T54" s="558"/>
      <c r="U54" s="547">
        <f t="shared" si="12"/>
        <v>2</v>
      </c>
      <c r="V54" s="547"/>
      <c r="W54" s="547"/>
      <c r="X54" s="547"/>
      <c r="Y54" s="559">
        <f>IF(E54="(voldoet)",0,IF(E54="(voldoet niet)",D54,E54))</f>
        <v>0</v>
      </c>
      <c r="Z54" s="547"/>
      <c r="AB54" s="547"/>
      <c r="AC54" s="392"/>
      <c r="AD54" s="392"/>
      <c r="AE54" s="392"/>
      <c r="AF54" s="547"/>
      <c r="AG54" s="392"/>
      <c r="AH54" s="392"/>
    </row>
    <row r="55" spans="1:34" s="493" customFormat="1" ht="12" customHeight="1">
      <c r="A55" s="560"/>
      <c r="B55" s="560"/>
      <c r="C55" s="487"/>
      <c r="D55" s="487"/>
      <c r="E55" s="487"/>
      <c r="F55" s="463"/>
      <c r="G55" s="463"/>
      <c r="H55" s="456"/>
      <c r="I55" s="456"/>
      <c r="J55" s="456"/>
      <c r="K55" s="456"/>
      <c r="L55" s="456"/>
      <c r="M55" s="456"/>
      <c r="N55" s="456"/>
      <c r="O55" s="488"/>
      <c r="P55" s="489"/>
      <c r="Q55" s="451"/>
      <c r="R55" s="451"/>
      <c r="S55" s="451"/>
      <c r="T55" s="561"/>
      <c r="U55" s="547">
        <f t="shared" si="12"/>
        <v>2</v>
      </c>
      <c r="V55" s="547"/>
      <c r="W55" s="547"/>
      <c r="X55" s="547"/>
      <c r="Y55" s="547"/>
      <c r="Z55" s="547"/>
      <c r="AA55" s="451"/>
      <c r="AB55" s="507"/>
      <c r="AC55" s="507"/>
      <c r="AD55" s="507"/>
      <c r="AE55" s="507"/>
      <c r="AF55" s="507"/>
      <c r="AG55" s="507"/>
      <c r="AH55" s="507"/>
    </row>
    <row r="56" spans="1:34" s="541" customFormat="1" ht="12" customHeight="1">
      <c r="A56" s="543"/>
      <c r="B56" s="543"/>
      <c r="C56" s="464" t="str">
        <f>L31</f>
        <v>slaapkamer 1</v>
      </c>
      <c r="D56" s="811" t="s">
        <v>1155</v>
      </c>
      <c r="E56" s="811"/>
      <c r="F56" s="657">
        <v>1</v>
      </c>
      <c r="G56" s="465">
        <v>1.39</v>
      </c>
      <c r="H56" s="466">
        <v>90</v>
      </c>
      <c r="I56" s="466">
        <v>20</v>
      </c>
      <c r="J56" s="466">
        <v>33</v>
      </c>
      <c r="K56" s="467" t="s">
        <v>737</v>
      </c>
      <c r="L56" s="467">
        <v>1</v>
      </c>
      <c r="M56" s="468">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0.74</v>
      </c>
      <c r="N56" s="469">
        <f>ROUND(F56*G56*L56*M56,2)</f>
        <v>1.03</v>
      </c>
      <c r="O56" s="470"/>
      <c r="P56" s="404"/>
      <c r="Q56" s="729" t="str">
        <f>IF(G56=0,"verbergen","")</f>
        <v/>
      </c>
      <c r="R56" s="404"/>
      <c r="S56" s="404"/>
      <c r="T56" s="392"/>
      <c r="U56" s="547">
        <f>U55+1</f>
        <v>3</v>
      </c>
      <c r="V56" s="547"/>
      <c r="W56" s="547"/>
      <c r="X56" s="547"/>
      <c r="Y56" s="547"/>
      <c r="Z56" s="547"/>
      <c r="AA56" s="404"/>
      <c r="AB56" s="507"/>
      <c r="AC56" s="516"/>
      <c r="AD56" s="516"/>
      <c r="AE56" s="516"/>
      <c r="AF56" s="507"/>
      <c r="AG56" s="516"/>
      <c r="AH56" s="516"/>
    </row>
    <row r="57" spans="1:34" s="541" customFormat="1" ht="12" customHeight="1">
      <c r="A57" s="543"/>
      <c r="B57" s="543"/>
      <c r="C57" s="464" t="str">
        <f>L32</f>
        <v>slaapkamer 2</v>
      </c>
      <c r="D57" s="811" t="s">
        <v>1156</v>
      </c>
      <c r="E57" s="811"/>
      <c r="F57" s="657">
        <v>1</v>
      </c>
      <c r="G57" s="465">
        <v>1.36</v>
      </c>
      <c r="H57" s="466">
        <v>90</v>
      </c>
      <c r="I57" s="466">
        <v>20</v>
      </c>
      <c r="J57" s="466">
        <v>33</v>
      </c>
      <c r="K57" s="467" t="s">
        <v>737</v>
      </c>
      <c r="L57" s="467">
        <v>1</v>
      </c>
      <c r="M57" s="468">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0.74</v>
      </c>
      <c r="N57" s="469">
        <f>ROUND(F57*G57*L57*M57,2)</f>
        <v>1.01</v>
      </c>
      <c r="O57" s="470"/>
      <c r="P57" s="471"/>
      <c r="Q57" s="729" t="str">
        <f>IF(G57=0,"verbergen","")</f>
        <v/>
      </c>
      <c r="R57" s="404"/>
      <c r="S57" s="404"/>
      <c r="T57" s="392"/>
      <c r="U57" s="547">
        <f t="shared" ref="U57:U62" si="13">U56</f>
        <v>3</v>
      </c>
      <c r="V57" s="547"/>
      <c r="W57" s="547"/>
      <c r="X57" s="547"/>
      <c r="Y57" s="547"/>
      <c r="Z57" s="547"/>
      <c r="AA57" s="404"/>
      <c r="AB57" s="507"/>
      <c r="AC57" s="516"/>
      <c r="AD57" s="516"/>
      <c r="AE57" s="516"/>
      <c r="AF57" s="507"/>
      <c r="AG57" s="516"/>
      <c r="AH57" s="516"/>
    </row>
    <row r="58" spans="1:34" s="541" customFormat="1" ht="12" customHeight="1">
      <c r="A58" s="543"/>
      <c r="B58" s="543"/>
      <c r="C58" s="464" t="str">
        <f>L33</f>
        <v>studeerkamer</v>
      </c>
      <c r="D58" s="811" t="s">
        <v>1157</v>
      </c>
      <c r="E58" s="811"/>
      <c r="F58" s="657">
        <v>1</v>
      </c>
      <c r="G58" s="465">
        <v>1.59</v>
      </c>
      <c r="H58" s="466">
        <v>90</v>
      </c>
      <c r="I58" s="466">
        <v>20</v>
      </c>
      <c r="J58" s="466">
        <v>39</v>
      </c>
      <c r="K58" s="467" t="s">
        <v>737</v>
      </c>
      <c r="L58" s="467">
        <v>1</v>
      </c>
      <c r="M58" s="468">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0.71</v>
      </c>
      <c r="N58" s="469">
        <f>ROUND(F58*G58*L58*M58,2)</f>
        <v>1.1299999999999999</v>
      </c>
      <c r="O58" s="470"/>
      <c r="P58" s="471"/>
      <c r="Q58" s="729" t="str">
        <f>IF(G58=0,"verbergen","")</f>
        <v/>
      </c>
      <c r="R58" s="404"/>
      <c r="S58" s="404"/>
      <c r="T58" s="392"/>
      <c r="U58" s="547">
        <f t="shared" si="13"/>
        <v>3</v>
      </c>
      <c r="V58" s="547"/>
      <c r="W58" s="547"/>
      <c r="X58" s="547"/>
      <c r="Y58" s="547"/>
      <c r="Z58" s="547"/>
      <c r="AA58" s="404"/>
      <c r="AB58" s="507"/>
      <c r="AC58" s="516"/>
      <c r="AD58" s="516"/>
      <c r="AE58" s="516"/>
      <c r="AF58" s="507"/>
      <c r="AG58" s="516"/>
      <c r="AH58" s="516"/>
    </row>
    <row r="59" spans="1:34" s="541" customFormat="1" ht="12" hidden="1" customHeight="1">
      <c r="A59" s="543"/>
      <c r="B59" s="543"/>
      <c r="C59" s="464" t="s">
        <v>252</v>
      </c>
      <c r="D59" s="811" t="s">
        <v>251</v>
      </c>
      <c r="E59" s="811"/>
      <c r="F59" s="657">
        <v>1</v>
      </c>
      <c r="G59" s="465">
        <v>0</v>
      </c>
      <c r="H59" s="466">
        <v>90</v>
      </c>
      <c r="I59" s="466">
        <v>20</v>
      </c>
      <c r="J59" s="466">
        <v>0</v>
      </c>
      <c r="K59" s="467" t="s">
        <v>737</v>
      </c>
      <c r="L59" s="467">
        <v>1</v>
      </c>
      <c r="M59" s="468">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0.8</v>
      </c>
      <c r="N59" s="469">
        <f>ROUND(F59*G59*L59*M59,2)</f>
        <v>0</v>
      </c>
      <c r="O59" s="470"/>
      <c r="P59" s="471"/>
      <c r="Q59" s="729" t="str">
        <f>IF(G59=0,"verbergen","")</f>
        <v>verbergen</v>
      </c>
      <c r="R59" s="404"/>
      <c r="S59" s="404"/>
      <c r="T59" s="392"/>
      <c r="U59" s="547">
        <f t="shared" si="13"/>
        <v>3</v>
      </c>
      <c r="V59" s="547"/>
      <c r="W59" s="547"/>
      <c r="X59" s="547"/>
      <c r="Y59" s="547"/>
      <c r="Z59" s="547"/>
      <c r="AA59" s="404"/>
      <c r="AB59" s="507"/>
      <c r="AC59" s="516"/>
      <c r="AD59" s="516"/>
      <c r="AE59" s="516"/>
      <c r="AF59" s="507"/>
      <c r="AG59" s="516"/>
      <c r="AH59" s="516"/>
    </row>
    <row r="60" spans="1:34" s="541" customFormat="1" ht="12" hidden="1" customHeight="1">
      <c r="A60" s="543"/>
      <c r="B60" s="543"/>
      <c r="C60" s="472" t="s">
        <v>252</v>
      </c>
      <c r="D60" s="812" t="s">
        <v>251</v>
      </c>
      <c r="E60" s="812"/>
      <c r="F60" s="727">
        <v>1</v>
      </c>
      <c r="G60" s="473">
        <v>0</v>
      </c>
      <c r="H60" s="474">
        <v>90</v>
      </c>
      <c r="I60" s="474">
        <v>20</v>
      </c>
      <c r="J60" s="474">
        <v>0</v>
      </c>
      <c r="K60" s="475" t="s">
        <v>737</v>
      </c>
      <c r="L60" s="475">
        <v>1</v>
      </c>
      <c r="M60" s="476">
        <f>IF(H60&gt;80,(IF(J60&gt;75,0,IF(I60&gt;80,0,INDEX(verzamelblad!$A$81:$BK$158, MATCH((CEILING(IF(J60&gt;=75,75,J60),1)),verzamelblad!$A$81:$A$158,), MATCH((CEILING(IF(I60&lt;=20,20,IF(I60&gt;=80,80,I60)),1)),verzamelblad!$A$81:$BK$81,))))),IF(I60&gt;75,0,INDEX(verzamelblad!$A$164:$BM$245, MATCH((CEILING(IF(H60&gt;=80,80,H60),1)),verzamelblad!$A$164:$A$245,), MATCH((CEILING(IF(I60&lt;=1,1,IF(I60&gt;=75,75,I60)),1)),verzamelblad!$A$164:$BM$164,))))</f>
        <v>0.8</v>
      </c>
      <c r="N60" s="477">
        <f>ROUND(F60*G60*L60*M60,2)</f>
        <v>0</v>
      </c>
      <c r="O60" s="478"/>
      <c r="P60" s="479"/>
      <c r="Q60" s="729" t="str">
        <f>IF(G60=0,"verbergen","")</f>
        <v>verbergen</v>
      </c>
      <c r="R60" s="404"/>
      <c r="S60" s="404"/>
      <c r="T60" s="392"/>
      <c r="U60" s="547">
        <f t="shared" si="13"/>
        <v>3</v>
      </c>
      <c r="V60" s="547"/>
      <c r="W60" s="547"/>
      <c r="X60" s="547"/>
      <c r="Y60" s="547"/>
      <c r="Z60" s="547"/>
      <c r="AA60" s="404"/>
      <c r="AB60" s="507"/>
      <c r="AC60" s="516"/>
      <c r="AD60" s="516"/>
      <c r="AE60" s="516"/>
      <c r="AF60" s="507"/>
      <c r="AG60" s="516"/>
      <c r="AH60" s="516"/>
    </row>
    <row r="61" spans="1:34" s="404" customFormat="1" ht="12" customHeight="1">
      <c r="A61" s="542"/>
      <c r="B61" s="556">
        <f>B54+1</f>
        <v>3</v>
      </c>
      <c r="C61" s="480">
        <f>B61</f>
        <v>3</v>
      </c>
      <c r="D61" s="481">
        <f>IF(O61&gt;P61,P61*10,O61*10)</f>
        <v>25.860000000000003</v>
      </c>
      <c r="E61" s="813" t="str">
        <f>IF(O61&lt;P61,(P61*10)-(O61*10),"(voldoet)")</f>
        <v>(voldoet)</v>
      </c>
      <c r="F61" s="813"/>
      <c r="G61" s="813"/>
      <c r="H61" s="482"/>
      <c r="I61" s="482"/>
      <c r="J61" s="483"/>
      <c r="K61" s="484"/>
      <c r="L61" s="485"/>
      <c r="M61" s="485"/>
      <c r="N61" s="485"/>
      <c r="O61" s="486">
        <f>SUM(N56:N61)</f>
        <v>3.17</v>
      </c>
      <c r="P61" s="486">
        <f>SUMPRODUCT(($AD$1:$AD$28206)*($AC$1:$AC$28206=B61))*verzamelblad!$Y$7/100</f>
        <v>2.5860000000000003</v>
      </c>
      <c r="Q61" s="557"/>
      <c r="R61" s="557"/>
      <c r="S61" s="557"/>
      <c r="T61" s="558"/>
      <c r="U61" s="547">
        <f t="shared" si="13"/>
        <v>3</v>
      </c>
      <c r="V61" s="547"/>
      <c r="W61" s="547"/>
      <c r="X61" s="547"/>
      <c r="Y61" s="559">
        <f>IF(E61="(voldoet)",0,IF(E61="(voldoet niet)",D61,E61))</f>
        <v>0</v>
      </c>
      <c r="Z61" s="547"/>
      <c r="AB61" s="547"/>
      <c r="AC61" s="392"/>
      <c r="AD61" s="392"/>
      <c r="AE61" s="392"/>
      <c r="AF61" s="547"/>
      <c r="AG61" s="392"/>
      <c r="AH61" s="392"/>
    </row>
    <row r="62" spans="1:34" s="493" customFormat="1" ht="12" customHeight="1">
      <c r="A62" s="560"/>
      <c r="B62" s="560"/>
      <c r="C62" s="487"/>
      <c r="D62" s="487"/>
      <c r="E62" s="487"/>
      <c r="F62" s="463"/>
      <c r="G62" s="463"/>
      <c r="H62" s="456"/>
      <c r="I62" s="456"/>
      <c r="J62" s="456"/>
      <c r="K62" s="456"/>
      <c r="L62" s="456"/>
      <c r="M62" s="456"/>
      <c r="N62" s="456"/>
      <c r="O62" s="488"/>
      <c r="P62" s="489"/>
      <c r="Q62" s="451"/>
      <c r="R62" s="451"/>
      <c r="S62" s="451"/>
      <c r="T62" s="561"/>
      <c r="U62" s="547">
        <f t="shared" si="13"/>
        <v>3</v>
      </c>
      <c r="V62" s="547"/>
      <c r="W62" s="547"/>
      <c r="X62" s="547"/>
      <c r="Y62" s="547"/>
      <c r="Z62" s="547"/>
      <c r="AA62" s="451"/>
      <c r="AB62" s="507"/>
      <c r="AC62" s="507"/>
      <c r="AD62" s="507"/>
      <c r="AE62" s="507"/>
      <c r="AF62" s="507"/>
      <c r="AG62" s="507"/>
      <c r="AH62" s="507"/>
    </row>
    <row r="63" spans="1:34" s="541" customFormat="1" ht="12" customHeight="1">
      <c r="A63" s="543"/>
      <c r="B63" s="543"/>
      <c r="C63" s="464" t="str">
        <f>L34</f>
        <v>slaapkamer 3</v>
      </c>
      <c r="D63" s="811" t="s">
        <v>1155</v>
      </c>
      <c r="E63" s="811"/>
      <c r="F63" s="657">
        <v>1</v>
      </c>
      <c r="G63" s="465">
        <v>1.39</v>
      </c>
      <c r="H63" s="466">
        <v>90</v>
      </c>
      <c r="I63" s="466">
        <v>20</v>
      </c>
      <c r="J63" s="466">
        <v>33</v>
      </c>
      <c r="K63" s="467" t="s">
        <v>737</v>
      </c>
      <c r="L63" s="467">
        <v>1</v>
      </c>
      <c r="M63" s="468">
        <f>IF(H63&gt;80,(IF(J63&gt;75,0,IF(I63&gt;80,0,INDEX(verzamelblad!$A$81:$BK$158, MATCH((CEILING(IF(J63&gt;=75,75,J63),1)),verzamelblad!$A$81:$A$158,), MATCH((CEILING(IF(I63&lt;=20,20,IF(I63&gt;=80,80,I63)),1)),verzamelblad!$A$81:$BK$81,))))),IF(I63&gt;75,0,INDEX(verzamelblad!$A$164:$BM$245, MATCH((CEILING(IF(H63&gt;=80,80,H63),1)),verzamelblad!$A$164:$A$245,), MATCH((CEILING(IF(I63&lt;=1,1,IF(I63&gt;=75,75,I63)),1)),verzamelblad!$A$164:$BM$164,))))</f>
        <v>0.74</v>
      </c>
      <c r="N63" s="469">
        <f>ROUND(F63*G63*L63*M63,2)</f>
        <v>1.03</v>
      </c>
      <c r="O63" s="470"/>
      <c r="P63" s="404"/>
      <c r="Q63" s="729" t="str">
        <f>IF(G63=0,"verbergen","")</f>
        <v/>
      </c>
      <c r="R63" s="404"/>
      <c r="S63" s="404"/>
      <c r="T63" s="392"/>
      <c r="U63" s="547">
        <f>U62+1</f>
        <v>4</v>
      </c>
      <c r="V63" s="547"/>
      <c r="W63" s="547"/>
      <c r="X63" s="547"/>
      <c r="Y63" s="547"/>
      <c r="Z63" s="547"/>
      <c r="AA63" s="404"/>
      <c r="AB63" s="507"/>
      <c r="AC63" s="516"/>
      <c r="AD63" s="516"/>
      <c r="AE63" s="516"/>
      <c r="AF63" s="507"/>
      <c r="AG63" s="516"/>
      <c r="AH63" s="516"/>
    </row>
    <row r="64" spans="1:34" s="541" customFormat="1" ht="12" hidden="1" customHeight="1">
      <c r="A64" s="543"/>
      <c r="B64" s="543"/>
      <c r="C64" s="464" t="s">
        <v>252</v>
      </c>
      <c r="D64" s="811" t="s">
        <v>251</v>
      </c>
      <c r="E64" s="811"/>
      <c r="F64" s="657">
        <v>1</v>
      </c>
      <c r="G64" s="465">
        <v>0</v>
      </c>
      <c r="H64" s="466">
        <v>90</v>
      </c>
      <c r="I64" s="466">
        <v>20</v>
      </c>
      <c r="J64" s="466">
        <v>0</v>
      </c>
      <c r="K64" s="467" t="s">
        <v>737</v>
      </c>
      <c r="L64" s="467">
        <v>1</v>
      </c>
      <c r="M64" s="468">
        <f>IF(H64&gt;80,(IF(J64&gt;75,0,IF(I64&gt;80,0,INDEX(verzamelblad!$A$81:$BK$158, MATCH((CEILING(IF(J64&gt;=75,75,J64),1)),verzamelblad!$A$81:$A$158,), MATCH((CEILING(IF(I64&lt;=20,20,IF(I64&gt;=80,80,I64)),1)),verzamelblad!$A$81:$BK$81,))))),IF(I64&gt;75,0,INDEX(verzamelblad!$A$164:$BM$245, MATCH((CEILING(IF(H64&gt;=80,80,H64),1)),verzamelblad!$A$164:$A$245,), MATCH((CEILING(IF(I64&lt;=1,1,IF(I64&gt;=75,75,I64)),1)),verzamelblad!$A$164:$BM$164,))))</f>
        <v>0.8</v>
      </c>
      <c r="N64" s="469">
        <f>ROUND(F64*G64*L64*M64,2)</f>
        <v>0</v>
      </c>
      <c r="O64" s="470"/>
      <c r="P64" s="471"/>
      <c r="Q64" s="729" t="str">
        <f>IF(G64=0,"verbergen","")</f>
        <v>verbergen</v>
      </c>
      <c r="R64" s="404"/>
      <c r="S64" s="404"/>
      <c r="T64" s="392"/>
      <c r="U64" s="547">
        <f t="shared" ref="U64:U69" si="14">U63</f>
        <v>4</v>
      </c>
      <c r="V64" s="547"/>
      <c r="W64" s="547"/>
      <c r="X64" s="547"/>
      <c r="Y64" s="547"/>
      <c r="Z64" s="547"/>
      <c r="AA64" s="404"/>
      <c r="AB64" s="507"/>
      <c r="AC64" s="516"/>
      <c r="AD64" s="516"/>
      <c r="AE64" s="516"/>
      <c r="AF64" s="507"/>
      <c r="AG64" s="516"/>
      <c r="AH64" s="516"/>
    </row>
    <row r="65" spans="1:43" s="541" customFormat="1" ht="12" hidden="1" customHeight="1">
      <c r="A65" s="543"/>
      <c r="B65" s="543"/>
      <c r="C65" s="464" t="s">
        <v>252</v>
      </c>
      <c r="D65" s="811" t="s">
        <v>251</v>
      </c>
      <c r="E65" s="811"/>
      <c r="F65" s="657">
        <v>1</v>
      </c>
      <c r="G65" s="465">
        <v>0</v>
      </c>
      <c r="H65" s="466">
        <v>90</v>
      </c>
      <c r="I65" s="466">
        <v>20</v>
      </c>
      <c r="J65" s="466">
        <v>0</v>
      </c>
      <c r="K65" s="467" t="s">
        <v>737</v>
      </c>
      <c r="L65" s="467">
        <v>1</v>
      </c>
      <c r="M65" s="468">
        <f>IF(H65&gt;80,(IF(J65&gt;75,0,IF(I65&gt;80,0,INDEX(verzamelblad!$A$81:$BK$158, MATCH((CEILING(IF(J65&gt;=75,75,J65),1)),verzamelblad!$A$81:$A$158,), MATCH((CEILING(IF(I65&lt;=20,20,IF(I65&gt;=80,80,I65)),1)),verzamelblad!$A$81:$BK$81,))))),IF(I65&gt;75,0,INDEX(verzamelblad!$A$164:$BM$245, MATCH((CEILING(IF(H65&gt;=80,80,H65),1)),verzamelblad!$A$164:$A$245,), MATCH((CEILING(IF(I65&lt;=1,1,IF(I65&gt;=75,75,I65)),1)),verzamelblad!$A$164:$BM$164,))))</f>
        <v>0.8</v>
      </c>
      <c r="N65" s="469">
        <f>ROUND(F65*G65*L65*M65,2)</f>
        <v>0</v>
      </c>
      <c r="O65" s="470"/>
      <c r="P65" s="471"/>
      <c r="Q65" s="729" t="str">
        <f>IF(G65=0,"verbergen","")</f>
        <v>verbergen</v>
      </c>
      <c r="R65" s="404"/>
      <c r="S65" s="404"/>
      <c r="T65" s="392"/>
      <c r="U65" s="547">
        <f t="shared" si="14"/>
        <v>4</v>
      </c>
      <c r="V65" s="547"/>
      <c r="W65" s="547"/>
      <c r="X65" s="547"/>
      <c r="Y65" s="547"/>
      <c r="Z65" s="547"/>
      <c r="AA65" s="404"/>
      <c r="AB65" s="507"/>
      <c r="AC65" s="516"/>
      <c r="AD65" s="516"/>
      <c r="AE65" s="516"/>
      <c r="AF65" s="507"/>
      <c r="AG65" s="516"/>
      <c r="AH65" s="516"/>
    </row>
    <row r="66" spans="1:43" s="541" customFormat="1" ht="12" hidden="1" customHeight="1">
      <c r="A66" s="543"/>
      <c r="B66" s="543"/>
      <c r="C66" s="464" t="s">
        <v>252</v>
      </c>
      <c r="D66" s="811" t="s">
        <v>251</v>
      </c>
      <c r="E66" s="811"/>
      <c r="F66" s="657">
        <v>1</v>
      </c>
      <c r="G66" s="465">
        <v>0</v>
      </c>
      <c r="H66" s="466">
        <v>90</v>
      </c>
      <c r="I66" s="466">
        <v>20</v>
      </c>
      <c r="J66" s="466">
        <v>0</v>
      </c>
      <c r="K66" s="467" t="s">
        <v>737</v>
      </c>
      <c r="L66" s="467">
        <v>1</v>
      </c>
      <c r="M66" s="468">
        <f>IF(H66&gt;80,(IF(J66&gt;75,0,IF(I66&gt;80,0,INDEX(verzamelblad!$A$81:$BK$158, MATCH((CEILING(IF(J66&gt;=75,75,J66),1)),verzamelblad!$A$81:$A$158,), MATCH((CEILING(IF(I66&lt;=20,20,IF(I66&gt;=80,80,I66)),1)),verzamelblad!$A$81:$BK$81,))))),IF(I66&gt;75,0,INDEX(verzamelblad!$A$164:$BM$245, MATCH((CEILING(IF(H66&gt;=80,80,H66),1)),verzamelblad!$A$164:$A$245,), MATCH((CEILING(IF(I66&lt;=1,1,IF(I66&gt;=75,75,I66)),1)),verzamelblad!$A$164:$BM$164,))))</f>
        <v>0.8</v>
      </c>
      <c r="N66" s="469">
        <f>ROUND(F66*G66*L66*M66,2)</f>
        <v>0</v>
      </c>
      <c r="O66" s="470"/>
      <c r="P66" s="471"/>
      <c r="Q66" s="729" t="str">
        <f>IF(G66=0,"verbergen","")</f>
        <v>verbergen</v>
      </c>
      <c r="R66" s="404"/>
      <c r="S66" s="404"/>
      <c r="T66" s="392"/>
      <c r="U66" s="547">
        <f t="shared" si="14"/>
        <v>4</v>
      </c>
      <c r="V66" s="547"/>
      <c r="W66" s="547"/>
      <c r="X66" s="547"/>
      <c r="Y66" s="547"/>
      <c r="Z66" s="547"/>
      <c r="AA66" s="404"/>
      <c r="AB66" s="507"/>
      <c r="AC66" s="516"/>
      <c r="AD66" s="516"/>
      <c r="AE66" s="516"/>
      <c r="AF66" s="507"/>
      <c r="AG66" s="516"/>
      <c r="AH66" s="516"/>
    </row>
    <row r="67" spans="1:43" s="541" customFormat="1" ht="12" hidden="1" customHeight="1">
      <c r="A67" s="543"/>
      <c r="B67" s="543"/>
      <c r="C67" s="472" t="s">
        <v>252</v>
      </c>
      <c r="D67" s="812" t="s">
        <v>251</v>
      </c>
      <c r="E67" s="812"/>
      <c r="F67" s="727">
        <v>1</v>
      </c>
      <c r="G67" s="473">
        <v>0</v>
      </c>
      <c r="H67" s="474">
        <v>90</v>
      </c>
      <c r="I67" s="474">
        <v>20</v>
      </c>
      <c r="J67" s="474">
        <v>0</v>
      </c>
      <c r="K67" s="475" t="s">
        <v>737</v>
      </c>
      <c r="L67" s="475">
        <v>1</v>
      </c>
      <c r="M67" s="476">
        <f>IF(H67&gt;80,(IF(J67&gt;75,0,IF(I67&gt;80,0,INDEX(verzamelblad!$A$81:$BK$158, MATCH((CEILING(IF(J67&gt;=75,75,J67),1)),verzamelblad!$A$81:$A$158,), MATCH((CEILING(IF(I67&lt;=20,20,IF(I67&gt;=80,80,I67)),1)),verzamelblad!$A$81:$BK$81,))))),IF(I67&gt;75,0,INDEX(verzamelblad!$A$164:$BM$245, MATCH((CEILING(IF(H67&gt;=80,80,H67),1)),verzamelblad!$A$164:$A$245,), MATCH((CEILING(IF(I67&lt;=1,1,IF(I67&gt;=75,75,I67)),1)),verzamelblad!$A$164:$BM$164,))))</f>
        <v>0.8</v>
      </c>
      <c r="N67" s="477">
        <f>ROUND(F67*G67*L67*M67,2)</f>
        <v>0</v>
      </c>
      <c r="O67" s="478"/>
      <c r="P67" s="479"/>
      <c r="Q67" s="729" t="str">
        <f>IF(G67=0,"verbergen","")</f>
        <v>verbergen</v>
      </c>
      <c r="R67" s="404"/>
      <c r="S67" s="404"/>
      <c r="T67" s="392"/>
      <c r="U67" s="547">
        <f t="shared" si="14"/>
        <v>4</v>
      </c>
      <c r="V67" s="547"/>
      <c r="W67" s="547"/>
      <c r="X67" s="547"/>
      <c r="Y67" s="547"/>
      <c r="Z67" s="547"/>
      <c r="AA67" s="404"/>
      <c r="AB67" s="507"/>
      <c r="AC67" s="516"/>
      <c r="AD67" s="516"/>
      <c r="AE67" s="516"/>
      <c r="AF67" s="507"/>
      <c r="AG67" s="516"/>
      <c r="AH67" s="516"/>
    </row>
    <row r="68" spans="1:43" s="404" customFormat="1" ht="12" customHeight="1">
      <c r="A68" s="542"/>
      <c r="B68" s="556">
        <f>B61+1</f>
        <v>4</v>
      </c>
      <c r="C68" s="480">
        <f>B68</f>
        <v>4</v>
      </c>
      <c r="D68" s="481">
        <f>IF(O68&gt;P68,P68*10,O68*10)</f>
        <v>9.32</v>
      </c>
      <c r="E68" s="813" t="str">
        <f>IF(O68&lt;P68,(P68*10)-(O68*10),"(voldoet)")</f>
        <v>(voldoet)</v>
      </c>
      <c r="F68" s="813"/>
      <c r="G68" s="813"/>
      <c r="H68" s="482"/>
      <c r="I68" s="482"/>
      <c r="J68" s="483"/>
      <c r="K68" s="484"/>
      <c r="L68" s="485"/>
      <c r="M68" s="485"/>
      <c r="N68" s="485"/>
      <c r="O68" s="486">
        <f>SUM(N63:N68)</f>
        <v>1.03</v>
      </c>
      <c r="P68" s="486">
        <f>SUMPRODUCT(($AD$1:$AD$28178)*($AC$1:$AC$28178=B68))*verzamelblad!$Y$7/100</f>
        <v>0.93200000000000005</v>
      </c>
      <c r="Q68" s="557"/>
      <c r="R68" s="557"/>
      <c r="S68" s="557"/>
      <c r="T68" s="558"/>
      <c r="U68" s="547">
        <f t="shared" si="14"/>
        <v>4</v>
      </c>
      <c r="V68" s="547"/>
      <c r="W68" s="547"/>
      <c r="X68" s="547"/>
      <c r="Y68" s="559">
        <f>IF(E68="(voldoet)",0,IF(E68="(voldoet niet)",D68,E68))</f>
        <v>0</v>
      </c>
      <c r="Z68" s="547"/>
      <c r="AB68" s="547"/>
      <c r="AC68" s="392"/>
      <c r="AD68" s="392"/>
      <c r="AE68" s="392"/>
      <c r="AF68" s="547"/>
      <c r="AG68" s="392"/>
      <c r="AH68" s="392"/>
    </row>
    <row r="69" spans="1:43" s="493" customFormat="1" ht="12" customHeight="1">
      <c r="A69" s="560"/>
      <c r="B69" s="560"/>
      <c r="C69" s="487"/>
      <c r="D69" s="487"/>
      <c r="E69" s="487"/>
      <c r="F69" s="463"/>
      <c r="G69" s="463"/>
      <c r="H69" s="456"/>
      <c r="I69" s="456"/>
      <c r="J69" s="456"/>
      <c r="K69" s="456"/>
      <c r="L69" s="456"/>
      <c r="M69" s="456"/>
      <c r="N69" s="456"/>
      <c r="O69" s="488"/>
      <c r="P69" s="489"/>
      <c r="Q69" s="451"/>
      <c r="R69" s="451"/>
      <c r="S69" s="451"/>
      <c r="T69" s="561"/>
      <c r="U69" s="547">
        <f t="shared" si="14"/>
        <v>4</v>
      </c>
      <c r="V69" s="547"/>
      <c r="W69" s="547"/>
      <c r="X69" s="547"/>
      <c r="Y69" s="547"/>
      <c r="Z69" s="547"/>
      <c r="AA69" s="451"/>
      <c r="AB69" s="507"/>
      <c r="AC69" s="507"/>
      <c r="AD69" s="507"/>
      <c r="AE69" s="507"/>
      <c r="AF69" s="507"/>
      <c r="AG69" s="507"/>
      <c r="AH69" s="507"/>
    </row>
    <row r="70" spans="1:43" ht="12" customHeight="1">
      <c r="A70" s="492"/>
      <c r="B70" s="492"/>
      <c r="C70" s="463"/>
      <c r="D70" s="463"/>
      <c r="E70" s="451"/>
      <c r="F70" s="463"/>
      <c r="G70" s="463"/>
      <c r="H70" s="456"/>
      <c r="I70" s="456"/>
      <c r="J70" s="456"/>
      <c r="K70" s="490"/>
      <c r="L70" s="491"/>
      <c r="M70" s="456"/>
      <c r="N70" s="456"/>
      <c r="O70" s="488"/>
      <c r="P70" s="489"/>
      <c r="Q70" s="507"/>
      <c r="R70" s="507"/>
      <c r="S70" s="507"/>
      <c r="T70" s="507"/>
      <c r="U70" s="507"/>
      <c r="V70" s="508"/>
      <c r="W70" s="508"/>
      <c r="X70" s="508"/>
      <c r="Y70" s="508"/>
      <c r="Z70" s="508"/>
      <c r="AA70" s="508"/>
      <c r="AB70" s="508"/>
      <c r="AC70" s="524"/>
      <c r="AD70" s="508"/>
      <c r="AE70" s="508"/>
      <c r="AF70" s="508"/>
      <c r="AG70" s="508"/>
      <c r="AH70" s="508"/>
    </row>
    <row r="71" spans="1:43" s="518" customFormat="1" ht="15" customHeight="1">
      <c r="A71" s="515"/>
      <c r="B71" s="515"/>
      <c r="C71" s="457" t="s">
        <v>1084</v>
      </c>
      <c r="D71" s="457"/>
      <c r="E71" s="457"/>
      <c r="F71" s="457"/>
      <c r="G71" s="457"/>
      <c r="H71" s="457"/>
      <c r="I71" s="457"/>
      <c r="J71" s="457"/>
      <c r="K71" s="457"/>
      <c r="L71" s="457"/>
      <c r="M71" s="457"/>
      <c r="N71" s="457"/>
      <c r="O71" s="457"/>
      <c r="P71" s="457"/>
      <c r="Q71" s="522"/>
      <c r="R71" s="562"/>
      <c r="S71" s="516"/>
      <c r="T71" s="521"/>
      <c r="U71" s="516"/>
      <c r="V71" s="548"/>
      <c r="W71" s="548"/>
      <c r="X71" s="548"/>
      <c r="Y71" s="548"/>
      <c r="Z71" s="517"/>
      <c r="AA71" s="517"/>
      <c r="AB71" s="517"/>
      <c r="AC71" s="524"/>
      <c r="AD71" s="517"/>
      <c r="AE71" s="517"/>
      <c r="AF71" s="517"/>
      <c r="AG71" s="517"/>
      <c r="AH71" s="517"/>
    </row>
    <row r="72" spans="1:43" s="518" customFormat="1" ht="12" customHeight="1">
      <c r="A72" s="543"/>
      <c r="B72" s="543"/>
      <c r="C72" s="563" t="s">
        <v>1019</v>
      </c>
      <c r="D72" s="814" t="s">
        <v>743</v>
      </c>
      <c r="E72" s="814"/>
      <c r="F72" s="814"/>
      <c r="G72" s="814"/>
      <c r="H72" s="566"/>
      <c r="I72" s="566"/>
      <c r="J72" s="566"/>
      <c r="K72" s="566"/>
      <c r="L72" s="566"/>
      <c r="M72" s="566"/>
      <c r="N72" s="566"/>
      <c r="O72" s="566"/>
      <c r="P72" s="566"/>
      <c r="Q72" s="459"/>
      <c r="Y72" s="517"/>
      <c r="Z72" s="517"/>
      <c r="AA72" s="517"/>
      <c r="AB72" s="517"/>
      <c r="AC72" s="517"/>
      <c r="AD72" s="517"/>
      <c r="AE72" s="517"/>
      <c r="AF72" s="517"/>
      <c r="AG72" s="517"/>
      <c r="AH72" s="517"/>
    </row>
    <row r="73" spans="1:43" s="518" customFormat="1" ht="12" customHeight="1">
      <c r="A73" s="543"/>
      <c r="B73" s="543"/>
      <c r="C73" s="563"/>
      <c r="D73" s="464"/>
      <c r="E73" s="464"/>
      <c r="F73" s="464"/>
      <c r="G73" s="464"/>
      <c r="H73" s="566"/>
      <c r="I73" s="566"/>
      <c r="J73" s="566"/>
      <c r="K73" s="566"/>
      <c r="L73" s="566"/>
      <c r="M73" s="566"/>
      <c r="N73" s="566"/>
      <c r="O73" s="566"/>
      <c r="P73" s="566"/>
      <c r="Q73" s="459"/>
      <c r="Y73" s="517"/>
      <c r="Z73" s="517"/>
      <c r="AA73" s="517"/>
      <c r="AB73" s="517"/>
      <c r="AC73" s="517"/>
      <c r="AD73" s="517"/>
      <c r="AE73" s="517"/>
      <c r="AF73" s="517"/>
      <c r="AG73" s="517"/>
      <c r="AH73" s="517"/>
    </row>
    <row r="74" spans="1:43" s="518" customFormat="1" ht="12" customHeight="1">
      <c r="A74" s="543"/>
      <c r="B74" s="546"/>
      <c r="C74" s="563" t="s">
        <v>726</v>
      </c>
      <c r="D74" s="814" t="s">
        <v>724</v>
      </c>
      <c r="E74" s="814"/>
      <c r="F74" s="814"/>
      <c r="G74" s="814"/>
      <c r="H74" s="566"/>
      <c r="I74" s="566"/>
      <c r="J74" s="566"/>
      <c r="K74" s="566"/>
      <c r="L74" s="566"/>
      <c r="M74" s="566"/>
      <c r="N74" s="566"/>
      <c r="O74" s="566"/>
      <c r="P74" s="566"/>
      <c r="Q74" s="459"/>
      <c r="Y74" s="517"/>
      <c r="Z74" s="517"/>
      <c r="AA74" s="517"/>
      <c r="AB74" s="517"/>
      <c r="AC74" s="517"/>
      <c r="AD74" s="517"/>
      <c r="AE74" s="517"/>
      <c r="AF74" s="517"/>
      <c r="AG74" s="517"/>
      <c r="AH74" s="517"/>
    </row>
    <row r="75" spans="1:43" s="518" customFormat="1" ht="12" hidden="1" customHeight="1">
      <c r="A75" s="543"/>
      <c r="B75" s="546"/>
      <c r="C75" s="563" t="s">
        <v>718</v>
      </c>
      <c r="D75" s="814" t="s">
        <v>720</v>
      </c>
      <c r="E75" s="814"/>
      <c r="F75" s="814"/>
      <c r="G75" s="814"/>
      <c r="H75" s="566"/>
      <c r="I75" s="566"/>
      <c r="J75" s="566"/>
      <c r="K75" s="566"/>
      <c r="L75" s="566"/>
      <c r="M75" s="566"/>
      <c r="N75" s="566"/>
      <c r="O75" s="566"/>
      <c r="P75" s="566"/>
      <c r="Q75" s="459" t="str">
        <f>IF(D74="systeem D - mechanische toevoer &amp; afvoer","verbergen","")</f>
        <v>verbergen</v>
      </c>
      <c r="Y75" s="517"/>
      <c r="Z75" s="517"/>
      <c r="AA75" s="517"/>
      <c r="AB75" s="517"/>
      <c r="AC75" s="517"/>
      <c r="AD75" s="517"/>
      <c r="AE75" s="517"/>
      <c r="AF75" s="517"/>
      <c r="AG75" s="517"/>
      <c r="AH75" s="517"/>
      <c r="AQ75" s="517"/>
    </row>
    <row r="76" spans="1:43" s="518" customFormat="1" ht="12" customHeight="1">
      <c r="A76" s="543"/>
      <c r="B76" s="546"/>
      <c r="C76" s="563"/>
      <c r="D76" s="730"/>
      <c r="E76" s="730"/>
      <c r="F76" s="730"/>
      <c r="G76" s="730"/>
      <c r="H76" s="566"/>
      <c r="I76" s="566"/>
      <c r="J76" s="566"/>
      <c r="K76" s="566"/>
      <c r="L76" s="566"/>
      <c r="M76" s="566"/>
      <c r="N76" s="566"/>
      <c r="O76" s="567"/>
      <c r="P76" s="564"/>
      <c r="Q76" s="459"/>
      <c r="Y76" s="517"/>
      <c r="Z76" s="517"/>
      <c r="AA76" s="517"/>
      <c r="AB76" s="517"/>
      <c r="AC76" s="517"/>
      <c r="AD76" s="517"/>
      <c r="AE76" s="517"/>
      <c r="AF76" s="517"/>
      <c r="AG76" s="517"/>
      <c r="AH76" s="517"/>
      <c r="AQ76" s="517"/>
    </row>
    <row r="77" spans="1:43" s="518" customFormat="1" ht="12" customHeight="1">
      <c r="A77" s="543"/>
      <c r="B77" s="546"/>
      <c r="C77" s="563" t="s">
        <v>746</v>
      </c>
      <c r="D77" s="730" t="s">
        <v>737</v>
      </c>
      <c r="E77" s="730"/>
      <c r="F77" s="730"/>
      <c r="G77" s="730"/>
      <c r="H77" s="568" t="str">
        <f>IF(D77="n.v.t.","","minimale luchtverversing, privaatrechterlijke eisen in 'hoogstand':")</f>
        <v/>
      </c>
      <c r="I77" s="546"/>
      <c r="J77" s="773"/>
      <c r="K77" s="569"/>
      <c r="L77" s="570"/>
      <c r="M77" s="404"/>
      <c r="N77" s="566" t="str">
        <f>IF(D77="n.v.t.","",N74+G139)</f>
        <v/>
      </c>
      <c r="O77" s="567" t="str">
        <f>IF(D77="n.v.t.","",N77*3.6)</f>
        <v/>
      </c>
      <c r="P77" s="564"/>
      <c r="Q77" s="459"/>
      <c r="Y77" s="517"/>
      <c r="Z77" s="517"/>
      <c r="AA77" s="517"/>
      <c r="AB77" s="517"/>
      <c r="AC77" s="517"/>
      <c r="AD77" s="517"/>
      <c r="AE77" s="517"/>
      <c r="AF77" s="517"/>
      <c r="AG77" s="517"/>
      <c r="AH77" s="517"/>
      <c r="AQ77" s="517"/>
    </row>
    <row r="78" spans="1:43" s="518" customFormat="1" ht="12" customHeight="1">
      <c r="A78" s="543"/>
      <c r="B78" s="546"/>
      <c r="C78" s="563"/>
      <c r="D78" s="730"/>
      <c r="E78" s="730"/>
      <c r="F78" s="730"/>
      <c r="G78" s="730"/>
      <c r="H78" s="766" t="s">
        <v>1133</v>
      </c>
      <c r="I78" s="774"/>
      <c r="J78" s="767"/>
      <c r="K78" s="767"/>
      <c r="L78" s="768"/>
      <c r="M78" s="769"/>
      <c r="N78" s="770"/>
      <c r="O78" s="771"/>
      <c r="P78" s="772"/>
      <c r="Q78" s="459"/>
      <c r="Y78" s="517"/>
      <c r="Z78" s="517"/>
      <c r="AA78" s="517"/>
      <c r="AB78" s="517"/>
      <c r="AC78" s="517"/>
      <c r="AD78" s="517"/>
      <c r="AE78" s="517"/>
      <c r="AF78" s="517"/>
      <c r="AG78" s="517"/>
      <c r="AH78" s="517"/>
      <c r="AQ78" s="517"/>
    </row>
    <row r="79" spans="1:43" s="518" customFormat="1" ht="12" customHeight="1">
      <c r="A79" s="543"/>
      <c r="B79" s="546"/>
      <c r="C79" s="563"/>
      <c r="D79" s="730"/>
      <c r="E79" s="730"/>
      <c r="F79" s="730"/>
      <c r="G79" s="730"/>
      <c r="H79" s="766" t="s">
        <v>1134</v>
      </c>
      <c r="I79" s="774"/>
      <c r="J79" s="775"/>
      <c r="K79" s="775"/>
      <c r="L79" s="768"/>
      <c r="M79" s="769"/>
      <c r="N79" s="770"/>
      <c r="O79" s="771"/>
      <c r="P79" s="772"/>
      <c r="Q79" s="459"/>
      <c r="Y79" s="517"/>
      <c r="Z79" s="517"/>
      <c r="AA79" s="517"/>
      <c r="AB79" s="517"/>
      <c r="AC79" s="517"/>
      <c r="AD79" s="517"/>
      <c r="AE79" s="517"/>
      <c r="AF79" s="517"/>
      <c r="AG79" s="517"/>
      <c r="AH79" s="517"/>
      <c r="AQ79" s="517"/>
    </row>
    <row r="80" spans="1:43" s="518" customFormat="1" ht="12" customHeight="1">
      <c r="A80" s="543"/>
      <c r="B80" s="543"/>
      <c r="C80" s="571" t="str">
        <f>IF(A42:A80=TRUE,"* vanwege het niet direct grenzen van ramen aan grens VG is op basis van gelijkwaardigheid een groter fictief oppervlak aan VG toegekend (zie ook toelichting rapport)","")</f>
        <v/>
      </c>
      <c r="D80" s="572"/>
      <c r="E80" s="572"/>
      <c r="F80" s="572"/>
      <c r="G80" s="572"/>
      <c r="H80" s="572"/>
      <c r="I80" s="572"/>
      <c r="J80" s="468"/>
      <c r="K80" s="490"/>
      <c r="L80" s="422"/>
      <c r="M80" s="471"/>
      <c r="N80" s="470"/>
      <c r="O80" s="573"/>
      <c r="P80" s="574"/>
      <c r="Q80" s="525"/>
      <c r="Y80" s="508"/>
      <c r="Z80" s="508"/>
      <c r="AA80" s="508"/>
      <c r="AB80" s="508"/>
      <c r="AC80" s="517"/>
      <c r="AD80" s="517"/>
      <c r="AE80" s="517"/>
      <c r="AF80" s="517"/>
      <c r="AG80" s="517"/>
      <c r="AH80" s="517"/>
    </row>
    <row r="81" spans="1:38" s="518" customFormat="1" ht="15" customHeight="1">
      <c r="A81" s="515"/>
      <c r="B81" s="515"/>
      <c r="C81" s="457" t="s">
        <v>1085</v>
      </c>
      <c r="D81" s="575"/>
      <c r="E81" s="575"/>
      <c r="F81" s="817"/>
      <c r="G81" s="817"/>
      <c r="H81" s="817"/>
      <c r="I81" s="575"/>
      <c r="J81" s="575"/>
      <c r="K81" s="575"/>
      <c r="L81" s="575"/>
      <c r="M81" s="575"/>
      <c r="N81" s="575"/>
      <c r="O81" s="575"/>
      <c r="P81" s="575"/>
      <c r="Q81" s="522"/>
      <c r="R81" s="516"/>
      <c r="S81" s="516"/>
      <c r="T81" s="521"/>
      <c r="U81" s="516"/>
      <c r="V81" s="548"/>
      <c r="W81" s="548"/>
      <c r="X81" s="548"/>
      <c r="Y81" s="548"/>
      <c r="Z81" s="517"/>
      <c r="AA81" s="517"/>
      <c r="AB81" s="517"/>
      <c r="AC81" s="524"/>
      <c r="AD81" s="517"/>
      <c r="AE81" s="517"/>
      <c r="AF81" s="517"/>
      <c r="AG81" s="517"/>
      <c r="AH81" s="517"/>
    </row>
    <row r="82" spans="1:38" s="518" customFormat="1" ht="12.75" hidden="1" customHeight="1">
      <c r="A82" s="515"/>
      <c r="B82" s="515"/>
      <c r="C82" s="576"/>
      <c r="D82" s="576"/>
      <c r="E82" s="576"/>
      <c r="F82" s="576"/>
      <c r="G82" s="576"/>
      <c r="H82" s="577"/>
      <c r="I82" s="577"/>
      <c r="J82" s="577"/>
      <c r="K82" s="577"/>
      <c r="L82" s="577"/>
      <c r="M82" s="577"/>
      <c r="N82" s="577"/>
      <c r="O82" s="577"/>
      <c r="P82" s="577"/>
      <c r="Q82" s="522"/>
      <c r="R82" s="516"/>
      <c r="S82" s="516"/>
      <c r="T82" s="521"/>
      <c r="U82" s="516"/>
      <c r="V82" s="548"/>
      <c r="W82" s="548"/>
      <c r="X82" s="548"/>
      <c r="Y82" s="548"/>
      <c r="Z82" s="517"/>
      <c r="AA82" s="517"/>
      <c r="AB82" s="517"/>
      <c r="AC82" s="524"/>
      <c r="AD82" s="517"/>
      <c r="AE82" s="517"/>
      <c r="AF82" s="517"/>
    </row>
    <row r="83" spans="1:38" ht="35.25" customHeight="1">
      <c r="A83" s="492"/>
      <c r="B83" s="492"/>
      <c r="C83" s="736" t="s">
        <v>133</v>
      </c>
      <c r="D83" s="460" t="s">
        <v>1106</v>
      </c>
      <c r="E83" s="578" t="s">
        <v>1066</v>
      </c>
      <c r="F83" s="809" t="str">
        <f>IF(S16=3,"","advies toevoercapaciteit")</f>
        <v>advies toevoercapaciteit</v>
      </c>
      <c r="G83" s="809"/>
      <c r="H83" s="809"/>
      <c r="I83" s="809" t="str">
        <f>IF(S16=1,"kozijnmerk","")</f>
        <v/>
      </c>
      <c r="J83" s="809"/>
      <c r="K83" s="579" t="str">
        <f>IF(S16=1,"roostermaat","")</f>
        <v/>
      </c>
      <c r="L83" s="818" t="str">
        <f>IF(AND(S16=1,S17=1),"benodigde capaciteit","")</f>
        <v/>
      </c>
      <c r="M83" s="818"/>
      <c r="N83" s="579" t="str">
        <f>IF(AND(S16=1,S17=2),"type","")</f>
        <v/>
      </c>
      <c r="O83" s="580"/>
      <c r="P83" s="581" t="str">
        <f>IF(AND(S16=1,S17=2),"maximale roostercapaciteit","")</f>
        <v/>
      </c>
      <c r="Q83" s="582"/>
      <c r="R83" s="582"/>
      <c r="S83" s="583"/>
      <c r="T83" s="532"/>
      <c r="U83" s="507"/>
      <c r="V83" s="508"/>
      <c r="W83" s="508"/>
      <c r="X83" s="508"/>
      <c r="Y83" s="508"/>
      <c r="Z83" s="508"/>
      <c r="AA83" s="508"/>
      <c r="AB83" s="508"/>
      <c r="AC83" s="534"/>
      <c r="AD83" s="508"/>
      <c r="AE83" s="508"/>
      <c r="AF83" s="508"/>
    </row>
    <row r="84" spans="1:38" s="541" customFormat="1" ht="12" customHeight="1">
      <c r="B84" s="515"/>
      <c r="C84" s="464" t="str">
        <f>L28</f>
        <v>woonkamer / eetkamer</v>
      </c>
      <c r="D84" s="733">
        <f>IF(F84="intern","",SUMPRODUCT(($AE$1:$AE$28098)*($L$1:$L$28098=C84)))</f>
        <v>28.45</v>
      </c>
      <c r="E84" s="566">
        <f>IF(F84="intern","",IF(D84=0,0,(IF(verzamelblad!$K$7*D84&gt;verzamelblad!$P$7,CEILING(verzamelblad!$K$7*D84,0.1),verzamelblad!$P$7))))</f>
        <v>20</v>
      </c>
      <c r="F84" s="584" t="str">
        <f>IF($S$16=1,"NT","MT")</f>
        <v>MT</v>
      </c>
      <c r="G84" s="731" t="s">
        <v>140</v>
      </c>
      <c r="H84" s="565">
        <v>21</v>
      </c>
      <c r="I84" s="811" t="s">
        <v>251</v>
      </c>
      <c r="J84" s="811"/>
      <c r="K84" s="585">
        <v>0</v>
      </c>
      <c r="L84" s="819" t="str">
        <f>IF(AND(S$16=1,S$17=2),"",IF(S$16=2,"",IF(K84=0,"",H84/(K84/1000))))</f>
        <v/>
      </c>
      <c r="M84" s="819"/>
      <c r="N84" s="816" t="s">
        <v>268</v>
      </c>
      <c r="O84" s="816"/>
      <c r="P84" s="586" t="str">
        <f>IF(K84=0,"-",INDEX('data roosters'!F:J,MATCH(N84,'data roosters'!F:F,0),2)*(K84/1000))</f>
        <v>-</v>
      </c>
      <c r="Q84" s="525" t="str">
        <f>IF(AND($S$16=1,$S$17=2),IF(OR(E84&lt;&gt;0,H84&lt;&gt;0,P84&lt;&gt;"-"),"","verbergen"),IF(OR(E84&lt;&gt;0,H84&lt;&gt;0),"","verbergen"))</f>
        <v/>
      </c>
      <c r="R84" s="587"/>
      <c r="S84" s="529"/>
      <c r="T84" s="516"/>
      <c r="U84" s="516"/>
      <c r="V84" s="507">
        <v>1</v>
      </c>
      <c r="W84" s="516"/>
      <c r="X84" s="516"/>
      <c r="Y84" s="516"/>
      <c r="Z84" s="516"/>
      <c r="AB84" s="516"/>
      <c r="AC84" s="516"/>
      <c r="AD84" s="516"/>
      <c r="AE84" s="516"/>
      <c r="AF84" s="515" t="str">
        <f>IF(E84&gt;0,"x","")</f>
        <v>x</v>
      </c>
      <c r="AG84" s="516"/>
      <c r="AH84" s="516"/>
    </row>
    <row r="85" spans="1:38" s="541" customFormat="1" ht="12" customHeight="1">
      <c r="B85" s="515"/>
      <c r="C85" s="464" t="str">
        <f>L28</f>
        <v>woonkamer / eetkamer</v>
      </c>
      <c r="D85" s="733" t="str">
        <f>IF(F85="intern","",SUMPRODUCT(($AE$1:$AE$28098)*($L$1:$L$28098=C85)))</f>
        <v/>
      </c>
      <c r="E85" s="566" t="str">
        <f>IF(F85="intern","",IF(D85=0,0,(IF(verzamelblad!$K$7*D85&gt;verzamelblad!$P$7,CEILING(verzamelblad!$K$7*D85,0.1),verzamelblad!$P$7))))</f>
        <v/>
      </c>
      <c r="F85" s="584" t="s">
        <v>725</v>
      </c>
      <c r="G85" s="731" t="s">
        <v>1158</v>
      </c>
      <c r="H85" s="565">
        <v>7</v>
      </c>
      <c r="I85" s="811" t="s">
        <v>251</v>
      </c>
      <c r="J85" s="811"/>
      <c r="K85" s="585">
        <v>0</v>
      </c>
      <c r="M85" s="564"/>
      <c r="N85" s="816" t="s">
        <v>268</v>
      </c>
      <c r="O85" s="816"/>
      <c r="P85" s="586" t="str">
        <f>IF(K85=0,"-",INDEX('data roosters'!F:J,MATCH(N85,'data roosters'!F:F,0),2)*(K85/1000))</f>
        <v>-</v>
      </c>
      <c r="Q85" s="525" t="str">
        <f t="shared" ref="Q85:Q88" si="15">IF(AND($S$16=1,$S$17=2),IF(OR(E85&lt;&gt;0,H85&lt;&gt;0,P85&lt;&gt;"-"),"","verbergen"),IF(OR(E85&lt;&gt;0,H85&lt;&gt;0),"","verbergen"))</f>
        <v/>
      </c>
      <c r="R85" s="588"/>
      <c r="S85" s="529"/>
      <c r="T85" s="516"/>
      <c r="U85" s="516"/>
      <c r="V85" s="507">
        <v>1</v>
      </c>
      <c r="W85" s="516"/>
      <c r="X85" s="516"/>
      <c r="Y85" s="516"/>
      <c r="Z85" s="516"/>
      <c r="AB85" s="516"/>
      <c r="AC85" s="516"/>
      <c r="AD85" s="516"/>
      <c r="AE85" s="516"/>
      <c r="AF85" s="515" t="str">
        <f>IF(E85&gt;0,"x","")</f>
        <v>x</v>
      </c>
      <c r="AG85" s="516"/>
      <c r="AH85" s="516"/>
      <c r="AJ85" s="815"/>
      <c r="AK85" s="815"/>
      <c r="AL85" s="815"/>
    </row>
    <row r="86" spans="1:38" s="541" customFormat="1" ht="12" hidden="1" customHeight="1">
      <c r="B86" s="515"/>
      <c r="C86" s="464" t="s">
        <v>252</v>
      </c>
      <c r="D86" s="733">
        <f>IF(F86="intern","",SUMPRODUCT(($AE$1:$AE$28098)*($L$1:$L$28098=C86)))</f>
        <v>0</v>
      </c>
      <c r="E86" s="566">
        <f>IF(F86="intern","",IF(D86=0,0,(IF(verzamelblad!$K$7*D86&gt;verzamelblad!$P$7,CEILING(verzamelblad!$K$7*D86,0.1),verzamelblad!$P$7))))</f>
        <v>0</v>
      </c>
      <c r="F86" s="584" t="str">
        <f>IF($S$16=1,"NT","MT")</f>
        <v>MT</v>
      </c>
      <c r="G86" s="731" t="s">
        <v>140</v>
      </c>
      <c r="H86" s="565">
        <v>0</v>
      </c>
      <c r="I86" s="811" t="s">
        <v>251</v>
      </c>
      <c r="J86" s="811"/>
      <c r="K86" s="585">
        <v>0</v>
      </c>
      <c r="L86" s="564" t="str">
        <f>IF(AND(S$16=1,S$17=2),"",IF(S$16=2,"",IF(K86=0,"",H86/(K86/1000))))</f>
        <v/>
      </c>
      <c r="M86" s="564"/>
      <c r="N86" s="816" t="s">
        <v>268</v>
      </c>
      <c r="O86" s="816"/>
      <c r="P86" s="586" t="str">
        <f>IF(K86=0,"-",INDEX('data roosters'!F:J,MATCH(N86,'data roosters'!F:F,0),2)*(K86/1000))</f>
        <v>-</v>
      </c>
      <c r="Q86" s="525" t="str">
        <f t="shared" si="15"/>
        <v>verbergen</v>
      </c>
      <c r="R86" s="589"/>
      <c r="S86" s="529"/>
      <c r="T86" s="516"/>
      <c r="U86" s="516"/>
      <c r="V86" s="507">
        <v>1</v>
      </c>
      <c r="W86" s="516"/>
      <c r="X86" s="516"/>
      <c r="Y86" s="516"/>
      <c r="Z86" s="516"/>
      <c r="AB86" s="516"/>
      <c r="AC86" s="516"/>
      <c r="AD86" s="516"/>
      <c r="AE86" s="516"/>
      <c r="AF86" s="515" t="str">
        <f>IF(E86&gt;0,"x","")</f>
        <v/>
      </c>
      <c r="AG86" s="516"/>
      <c r="AH86" s="516"/>
      <c r="AJ86" s="815"/>
      <c r="AK86" s="815"/>
      <c r="AL86" s="815"/>
    </row>
    <row r="87" spans="1:38" s="541" customFormat="1" ht="12" hidden="1" customHeight="1">
      <c r="B87" s="515"/>
      <c r="C87" s="464" t="s">
        <v>252</v>
      </c>
      <c r="D87" s="733">
        <f>IF(F87="intern","",SUMPRODUCT(($AE$1:$AE$28098)*($L$1:$L$28098=C87)))</f>
        <v>0</v>
      </c>
      <c r="E87" s="566">
        <f>IF(F87="intern","",IF(D87=0,0,(IF(verzamelblad!$K$7*D87&gt;verzamelblad!$P$7,CEILING(verzamelblad!$K$7*D87,0.1),verzamelblad!$P$7))))</f>
        <v>0</v>
      </c>
      <c r="F87" s="584" t="str">
        <f>IF($S$16=1,"NT","MT")</f>
        <v>MT</v>
      </c>
      <c r="G87" s="731" t="s">
        <v>140</v>
      </c>
      <c r="H87" s="565">
        <v>0</v>
      </c>
      <c r="I87" s="811" t="s">
        <v>251</v>
      </c>
      <c r="J87" s="811"/>
      <c r="K87" s="585">
        <v>0</v>
      </c>
      <c r="L87" s="564" t="str">
        <f>IF(AND(S$16=1,S$17=2),"",IF(S$16=2,"",IF(K87=0,"",H87/(K87/1000))))</f>
        <v/>
      </c>
      <c r="M87" s="564"/>
      <c r="N87" s="816" t="s">
        <v>268</v>
      </c>
      <c r="O87" s="816"/>
      <c r="P87" s="586" t="str">
        <f>IF(K87=0,"-",INDEX('data roosters'!F:J,MATCH(N87,'data roosters'!F:F,0),2)*(K87/1000))</f>
        <v>-</v>
      </c>
      <c r="Q87" s="525" t="str">
        <f t="shared" si="15"/>
        <v>verbergen</v>
      </c>
      <c r="R87" s="589"/>
      <c r="S87" s="529"/>
      <c r="T87" s="516"/>
      <c r="U87" s="516"/>
      <c r="V87" s="507">
        <v>1</v>
      </c>
      <c r="W87" s="516"/>
      <c r="X87" s="516"/>
      <c r="Y87" s="516"/>
      <c r="Z87" s="516"/>
      <c r="AB87" s="516"/>
      <c r="AC87" s="516"/>
      <c r="AD87" s="516"/>
      <c r="AE87" s="516"/>
      <c r="AF87" s="515" t="str">
        <f>IF(E87&gt;0,"x","")</f>
        <v/>
      </c>
      <c r="AG87" s="516"/>
      <c r="AH87" s="516"/>
      <c r="AJ87" s="815"/>
      <c r="AK87" s="815"/>
      <c r="AL87" s="815"/>
    </row>
    <row r="88" spans="1:38" s="541" customFormat="1" ht="12" hidden="1" customHeight="1">
      <c r="B88" s="515"/>
      <c r="C88" s="464" t="s">
        <v>252</v>
      </c>
      <c r="D88" s="733">
        <f>IF(F88="intern","",SUMPRODUCT(($AE$1:$AE$28098)*($L$1:$L$28098=C88)))</f>
        <v>0</v>
      </c>
      <c r="E88" s="566">
        <f>IF(F88="intern","",IF(D88=0,0,(IF(verzamelblad!$K$7*D88&gt;verzamelblad!$P$7,CEILING(verzamelblad!$K$7*D88,0.1),verzamelblad!$P$7))))</f>
        <v>0</v>
      </c>
      <c r="F88" s="584" t="str">
        <f>IF($S$16=1,"NT","MT")</f>
        <v>MT</v>
      </c>
      <c r="G88" s="731" t="s">
        <v>140</v>
      </c>
      <c r="H88" s="565">
        <v>0</v>
      </c>
      <c r="I88" s="811" t="s">
        <v>251</v>
      </c>
      <c r="J88" s="811"/>
      <c r="K88" s="585">
        <v>0</v>
      </c>
      <c r="L88" s="564"/>
      <c r="M88" s="564"/>
      <c r="N88" s="816" t="s">
        <v>268</v>
      </c>
      <c r="O88" s="816"/>
      <c r="P88" s="586" t="str">
        <f>IF(K88=0,"-",INDEX('data roosters'!F:J,MATCH(N88,'data roosters'!F:F,0),2)*(K88/1000))</f>
        <v>-</v>
      </c>
      <c r="Q88" s="525" t="str">
        <f t="shared" si="15"/>
        <v>verbergen</v>
      </c>
      <c r="R88" s="589"/>
      <c r="S88" s="529"/>
      <c r="T88" s="516"/>
      <c r="U88" s="516"/>
      <c r="V88" s="507">
        <v>1</v>
      </c>
      <c r="W88" s="516"/>
      <c r="X88" s="516"/>
      <c r="Y88" s="516"/>
      <c r="Z88" s="516"/>
      <c r="AB88" s="516"/>
      <c r="AC88" s="516"/>
      <c r="AD88" s="516"/>
      <c r="AE88" s="516"/>
      <c r="AF88" s="515" t="str">
        <f>IF(E88&gt;0,"x","")</f>
        <v/>
      </c>
      <c r="AG88" s="516"/>
      <c r="AH88" s="516"/>
      <c r="AJ88" s="815"/>
      <c r="AK88" s="815"/>
      <c r="AL88" s="815"/>
    </row>
    <row r="89" spans="1:38" s="541" customFormat="1" ht="12" customHeight="1">
      <c r="B89" s="590">
        <v>1</v>
      </c>
      <c r="C89" s="480">
        <f>B89</f>
        <v>1</v>
      </c>
      <c r="D89" s="481">
        <f>SUMPRODUCT(($AD$1:$AD$50054)*($AC$1:$AC$50054=B89))</f>
        <v>28.45</v>
      </c>
      <c r="E89" s="591">
        <f>IF(D89=0,0,(IF(verzamelblad!$E$7*D89&gt;verzamelblad!$J$7,CEILING(verzamelblad!$E$7*D89,0.1),verzamelblad!$J$7)))</f>
        <v>25.700000000000003</v>
      </c>
      <c r="F89" s="820" t="str">
        <f>IF(SUM(H84:H88)&lt;E89,"voldoet niet op VG-niveau","totaal: "&amp;SUM(H84:H88) &amp; " dm³/s ")</f>
        <v xml:space="preserve">totaal: 28 dm³/s </v>
      </c>
      <c r="G89" s="820"/>
      <c r="H89" s="820"/>
      <c r="I89" s="592"/>
      <c r="J89" s="593"/>
      <c r="K89" s="594"/>
      <c r="L89" s="595"/>
      <c r="M89" s="821"/>
      <c r="N89" s="821"/>
      <c r="O89" s="596"/>
      <c r="P89" s="597"/>
      <c r="Q89" s="459"/>
      <c r="R89" s="589"/>
      <c r="S89" s="529"/>
      <c r="T89" s="516"/>
      <c r="U89" s="516"/>
      <c r="V89" s="547">
        <v>1</v>
      </c>
      <c r="W89" s="516"/>
      <c r="X89" s="516"/>
      <c r="Y89" s="516"/>
      <c r="Z89" s="516"/>
      <c r="AB89" s="516"/>
      <c r="AC89" s="516"/>
      <c r="AD89" s="516"/>
      <c r="AE89" s="516"/>
      <c r="AF89" s="515" t="str">
        <f>IF(B89&gt;0,"ja")</f>
        <v>ja</v>
      </c>
      <c r="AG89" s="516"/>
      <c r="AH89" s="516"/>
    </row>
    <row r="90" spans="1:38" s="541" customFormat="1" ht="12" customHeight="1">
      <c r="B90" s="515"/>
      <c r="C90" s="598"/>
      <c r="D90" s="422"/>
      <c r="E90" s="422"/>
      <c r="F90" s="422"/>
      <c r="G90" s="422"/>
      <c r="H90" s="599"/>
      <c r="I90" s="599"/>
      <c r="J90" s="530"/>
      <c r="K90" s="600"/>
      <c r="L90" s="600"/>
      <c r="M90" s="600"/>
      <c r="N90" s="600"/>
      <c r="O90" s="600"/>
      <c r="P90" s="600"/>
      <c r="Q90" s="459"/>
      <c r="R90" s="589"/>
      <c r="S90" s="529"/>
      <c r="T90" s="516"/>
      <c r="U90" s="516"/>
      <c r="V90" s="507">
        <v>1</v>
      </c>
      <c r="W90" s="516"/>
      <c r="X90" s="516"/>
      <c r="Y90" s="516"/>
      <c r="Z90" s="516"/>
      <c r="AB90" s="516"/>
      <c r="AC90" s="516"/>
      <c r="AD90" s="516"/>
      <c r="AE90" s="516"/>
      <c r="AF90" s="515"/>
      <c r="AG90" s="516"/>
      <c r="AH90" s="516"/>
    </row>
    <row r="91" spans="1:38" s="541" customFormat="1" ht="12" customHeight="1">
      <c r="A91" s="404"/>
      <c r="B91" s="543"/>
      <c r="C91" s="464" t="str">
        <f>L29</f>
        <v>keuken</v>
      </c>
      <c r="D91" s="733">
        <f>IF(F91="intern","",SUMPRODUCT(($AE$1:$AE$28098)*($L$1:$L$28098=C91)))</f>
        <v>16.100000000000001</v>
      </c>
      <c r="E91" s="566">
        <f>IF(F91="intern","",IF(D91=0,0,(IF(verzamelblad!$K$7*D91&gt;verzamelblad!$P$7,CEILING(verzamelblad!$K$7*D91,0.1),verzamelblad!$P$7))))</f>
        <v>11.3</v>
      </c>
      <c r="F91" s="584" t="str">
        <f>IF($S$16=1,"NT","MT")</f>
        <v>MT</v>
      </c>
      <c r="G91" s="731" t="s">
        <v>140</v>
      </c>
      <c r="H91" s="565">
        <v>7</v>
      </c>
      <c r="I91" s="811" t="s">
        <v>251</v>
      </c>
      <c r="J91" s="811"/>
      <c r="K91" s="585">
        <v>0</v>
      </c>
      <c r="L91" s="819" t="str">
        <f>IF(AND(S$16=1,S$17=2),"",IF(S$16=2,"",IF(K91=0,"",H91/(K91/1000))))</f>
        <v/>
      </c>
      <c r="M91" s="819"/>
      <c r="N91" s="816" t="s">
        <v>268</v>
      </c>
      <c r="O91" s="816"/>
      <c r="P91" s="586" t="str">
        <f>IF(K91=0,"-",INDEX('data roosters'!F:J,MATCH(N91,'data roosters'!F:F,0),2)*(K91/1000))</f>
        <v>-</v>
      </c>
      <c r="Q91" s="729" t="str">
        <f>IF(AND($S$16=1,$S$17=2),IF(OR(E91&lt;&gt;0,H91&lt;&gt;0,P91&lt;&gt;"-"),"","verbergen"),IF(OR(E91&lt;&gt;0,H91&lt;&gt;0),"","verbergen"))</f>
        <v/>
      </c>
      <c r="R91" s="601"/>
      <c r="S91" s="602"/>
      <c r="T91" s="392"/>
      <c r="U91" s="392"/>
      <c r="V91" s="547">
        <f>V90+1</f>
        <v>2</v>
      </c>
      <c r="W91" s="392"/>
      <c r="X91" s="392"/>
      <c r="Y91" s="392"/>
      <c r="Z91" s="392"/>
      <c r="AA91" s="404"/>
      <c r="AB91" s="516"/>
      <c r="AC91" s="516"/>
      <c r="AD91" s="516"/>
      <c r="AE91" s="516"/>
      <c r="AF91" s="515" t="str">
        <f>IF(E91&gt;0,"x","")</f>
        <v>x</v>
      </c>
      <c r="AG91" s="516"/>
      <c r="AH91" s="516"/>
    </row>
    <row r="92" spans="1:38" s="541" customFormat="1" ht="12" customHeight="1">
      <c r="A92" s="404"/>
      <c r="B92" s="543"/>
      <c r="C92" s="464" t="str">
        <f>L29</f>
        <v>keuken</v>
      </c>
      <c r="D92" s="733" t="str">
        <f>IF(F92="intern","",SUMPRODUCT(($AE$1:$AE$28066)*($L$1:$L$28066=C92)))</f>
        <v/>
      </c>
      <c r="E92" s="566" t="str">
        <f>IF(F92="intern","",IF(D92=0,0,(IF(verzamelblad!$K$7*D92&gt;verzamelblad!$P$7,CEILING(verzamelblad!$K$7*D92,0.1),verzamelblad!$P$7))))</f>
        <v/>
      </c>
      <c r="F92" s="584" t="s">
        <v>725</v>
      </c>
      <c r="G92" s="731" t="s">
        <v>1158</v>
      </c>
      <c r="H92" s="565">
        <v>7</v>
      </c>
      <c r="I92" s="811" t="s">
        <v>251</v>
      </c>
      <c r="J92" s="811"/>
      <c r="K92" s="585">
        <v>0</v>
      </c>
      <c r="L92" s="819" t="str">
        <f>IF(AND(S$16=1,S$17=2),"",IF(S$16=2,"",IF(K92=0,"",H92/(K92/1000))))</f>
        <v/>
      </c>
      <c r="M92" s="819"/>
      <c r="N92" s="816" t="s">
        <v>268</v>
      </c>
      <c r="O92" s="816"/>
      <c r="P92" s="586" t="str">
        <f>IF(K92=0,"-",INDEX('data roosters'!F:J,MATCH(N92,'data roosters'!F:F,0),2)*(K92/1000))</f>
        <v>-</v>
      </c>
      <c r="Q92" s="729" t="str">
        <f t="shared" ref="Q92:Q95" si="16">IF(AND($S$16=1,$S$17=2),IF(OR(E92&lt;&gt;0,H92&lt;&gt;0,P92&lt;&gt;"-"),"","verbergen"),IF(OR(E92&lt;&gt;0,H92&lt;&gt;0),"","verbergen"))</f>
        <v/>
      </c>
      <c r="R92" s="418"/>
      <c r="S92" s="602"/>
      <c r="T92" s="392"/>
      <c r="U92" s="392"/>
      <c r="V92" s="547">
        <f t="shared" ref="V92:V97" si="17">V91</f>
        <v>2</v>
      </c>
      <c r="W92" s="392"/>
      <c r="X92" s="392"/>
      <c r="Y92" s="392"/>
      <c r="Z92" s="392"/>
      <c r="AA92" s="404"/>
      <c r="AB92" s="516"/>
      <c r="AC92" s="516"/>
      <c r="AD92" s="516"/>
      <c r="AE92" s="516"/>
      <c r="AF92" s="515" t="str">
        <f>IF(E92&gt;0,"x","")</f>
        <v>x</v>
      </c>
      <c r="AG92" s="516"/>
      <c r="AH92" s="516"/>
    </row>
    <row r="93" spans="1:38" s="541" customFormat="1" ht="12" customHeight="1">
      <c r="A93" s="404"/>
      <c r="B93" s="543"/>
      <c r="C93" s="464" t="str">
        <f>L30</f>
        <v>bijkeuken</v>
      </c>
      <c r="D93" s="733">
        <f>IF(F93="intern","",SUMPRODUCT(($AE$1:$AE$28098)*($L$1:$L$28098=C93)))</f>
        <v>5.96</v>
      </c>
      <c r="E93" s="566">
        <f>IF(F93="intern","",IF(D93=0,0,(IF(verzamelblad!$K$7*D93&gt;verzamelblad!$P$7,CEILING(verzamelblad!$K$7*D93,0.1),verzamelblad!$P$7))))</f>
        <v>7</v>
      </c>
      <c r="F93" s="584" t="str">
        <f>IF($S$16=1,"NT","MT")</f>
        <v>MT</v>
      </c>
      <c r="G93" s="731" t="s">
        <v>140</v>
      </c>
      <c r="H93" s="565">
        <v>7</v>
      </c>
      <c r="I93" s="811" t="s">
        <v>251</v>
      </c>
      <c r="J93" s="811"/>
      <c r="K93" s="585">
        <v>0</v>
      </c>
      <c r="L93" s="819" t="str">
        <f>IF(AND(S$16=1,S$17=2),"",IF(S$16=2,"",IF(K93=0,"",H93/(K93/1000))))</f>
        <v/>
      </c>
      <c r="M93" s="819"/>
      <c r="N93" s="816" t="s">
        <v>268</v>
      </c>
      <c r="O93" s="816"/>
      <c r="P93" s="586" t="str">
        <f>IF(K93=0,"-",INDEX('data roosters'!F:J,MATCH(N93,'data roosters'!F:F,0),2)*(K93/1000))</f>
        <v>-</v>
      </c>
      <c r="Q93" s="729" t="str">
        <f t="shared" si="16"/>
        <v/>
      </c>
      <c r="R93" s="603"/>
      <c r="S93" s="602"/>
      <c r="T93" s="392"/>
      <c r="U93" s="392"/>
      <c r="V93" s="547">
        <f t="shared" si="17"/>
        <v>2</v>
      </c>
      <c r="W93" s="392"/>
      <c r="X93" s="392"/>
      <c r="Y93" s="392"/>
      <c r="Z93" s="392"/>
      <c r="AA93" s="404"/>
      <c r="AB93" s="516"/>
      <c r="AC93" s="516"/>
      <c r="AD93" s="516"/>
      <c r="AE93" s="516"/>
      <c r="AF93" s="515" t="str">
        <f>IF(E93&gt;0,"x","")</f>
        <v>x</v>
      </c>
      <c r="AG93" s="516"/>
      <c r="AH93" s="516"/>
    </row>
    <row r="94" spans="1:38" s="541" customFormat="1" ht="12" hidden="1" customHeight="1">
      <c r="A94" s="404"/>
      <c r="B94" s="543"/>
      <c r="C94" s="464" t="s">
        <v>252</v>
      </c>
      <c r="D94" s="733">
        <f>IF(F94="intern","",SUMPRODUCT(($AE$1:$AE$28066)*($L$1:$L$28066=C94)))</f>
        <v>0</v>
      </c>
      <c r="E94" s="566">
        <f>IF(F94="intern","",IF(D94=0,0,(IF(verzamelblad!$K$7*D94&gt;verzamelblad!$P$7,CEILING(verzamelblad!$K$7*D94,0.1),verzamelblad!$P$7))))</f>
        <v>0</v>
      </c>
      <c r="F94" s="584" t="str">
        <f>IF($S$16=1,"NT","MT")</f>
        <v>MT</v>
      </c>
      <c r="G94" s="731" t="s">
        <v>140</v>
      </c>
      <c r="H94" s="565">
        <v>0</v>
      </c>
      <c r="I94" s="811" t="s">
        <v>251</v>
      </c>
      <c r="J94" s="811"/>
      <c r="K94" s="585">
        <v>0</v>
      </c>
      <c r="L94" s="819" t="str">
        <f>IF(AND(S$16=1,S$17=2),"",IF(S$16=2,"",IF(K94=0,"",H94/(K94/1000))))</f>
        <v/>
      </c>
      <c r="M94" s="819"/>
      <c r="N94" s="816" t="s">
        <v>268</v>
      </c>
      <c r="O94" s="816"/>
      <c r="P94" s="586" t="str">
        <f>IF(K94=0,"-",INDEX('data roosters'!F:J,MATCH(N94,'data roosters'!F:F,0),2)*(K94/1000))</f>
        <v>-</v>
      </c>
      <c r="Q94" s="729" t="str">
        <f t="shared" si="16"/>
        <v>verbergen</v>
      </c>
      <c r="R94" s="603"/>
      <c r="S94" s="602"/>
      <c r="T94" s="392"/>
      <c r="U94" s="392"/>
      <c r="V94" s="547">
        <f t="shared" si="17"/>
        <v>2</v>
      </c>
      <c r="W94" s="392"/>
      <c r="X94" s="392"/>
      <c r="Y94" s="392"/>
      <c r="Z94" s="392"/>
      <c r="AA94" s="404"/>
      <c r="AB94" s="516"/>
      <c r="AC94" s="516"/>
      <c r="AD94" s="516"/>
      <c r="AE94" s="516"/>
      <c r="AF94" s="515" t="str">
        <f>IF(E94&gt;0,"x","")</f>
        <v/>
      </c>
      <c r="AG94" s="516"/>
      <c r="AH94" s="516"/>
    </row>
    <row r="95" spans="1:38" s="541" customFormat="1" ht="12" hidden="1" customHeight="1">
      <c r="A95" s="404"/>
      <c r="B95" s="543"/>
      <c r="C95" s="464" t="s">
        <v>252</v>
      </c>
      <c r="D95" s="737">
        <f>IF(F95="intern","",SUMPRODUCT(($AE$1:$AE$28066)*($L$1:$L$28066=C95)))</f>
        <v>0</v>
      </c>
      <c r="E95" s="604">
        <f>IF(F95="intern","",IF(D95=0,0,(IF(verzamelblad!$K$7*D95&gt;verzamelblad!$P$7,CEILING(verzamelblad!$K$7*D95,0.1),verzamelblad!$P$7))))</f>
        <v>0</v>
      </c>
      <c r="F95" s="605" t="str">
        <f>IF($S$16=1,"NT","MT")</f>
        <v>MT</v>
      </c>
      <c r="G95" s="606" t="s">
        <v>140</v>
      </c>
      <c r="H95" s="607">
        <v>0</v>
      </c>
      <c r="I95" s="812" t="s">
        <v>251</v>
      </c>
      <c r="J95" s="812"/>
      <c r="K95" s="608">
        <v>0</v>
      </c>
      <c r="L95" s="822" t="str">
        <f>IF(AND(S$16=1,S$17=2),"",IF(S$16=2,"",IF(K95=0,"",H95/(K95/1000))))</f>
        <v/>
      </c>
      <c r="M95" s="822"/>
      <c r="N95" s="823" t="s">
        <v>268</v>
      </c>
      <c r="O95" s="823"/>
      <c r="P95" s="609" t="str">
        <f>IF(K95=0,"-",INDEX('data roosters'!F:J,MATCH(N95,'data roosters'!F:F,0),2)*(K95/1000))</f>
        <v>-</v>
      </c>
      <c r="Q95" s="729" t="str">
        <f t="shared" si="16"/>
        <v>verbergen</v>
      </c>
      <c r="R95" s="603"/>
      <c r="S95" s="602"/>
      <c r="T95" s="392"/>
      <c r="U95" s="392"/>
      <c r="V95" s="547">
        <f t="shared" si="17"/>
        <v>2</v>
      </c>
      <c r="W95" s="392"/>
      <c r="X95" s="392"/>
      <c r="Y95" s="392"/>
      <c r="Z95" s="392"/>
      <c r="AA95" s="404"/>
      <c r="AB95" s="516"/>
      <c r="AC95" s="516"/>
      <c r="AD95" s="516"/>
      <c r="AE95" s="516"/>
      <c r="AF95" s="515" t="str">
        <f>IF(E95&gt;0,"x","")</f>
        <v/>
      </c>
      <c r="AG95" s="516"/>
      <c r="AH95" s="516"/>
    </row>
    <row r="96" spans="1:38" s="541" customFormat="1" ht="12" customHeight="1">
      <c r="A96" s="404"/>
      <c r="B96" s="556">
        <f>B89+1</f>
        <v>2</v>
      </c>
      <c r="C96" s="480">
        <f>B96</f>
        <v>2</v>
      </c>
      <c r="D96" s="481">
        <f>SUMPRODUCT(($AD$1:$AD$50108)*($AC$1:$AC$50108=B96))</f>
        <v>22.37</v>
      </c>
      <c r="E96" s="591">
        <f>IF(D96=0,0,(IF(verzamelblad!$E$7*D96&gt;verzamelblad!$J$7,CEILING(verzamelblad!$E$7*D96,0.1),verzamelblad!$J$7)))</f>
        <v>20.200000000000003</v>
      </c>
      <c r="F96" s="824" t="str">
        <f>IF(SUM(H91:H95)&lt;E96,"voldoet niet op VG-niveau","totaal: "&amp;SUM(H91:H95) &amp; " dm³/s ")</f>
        <v xml:space="preserve">totaal: 21 dm³/s </v>
      </c>
      <c r="G96" s="824"/>
      <c r="H96" s="824"/>
      <c r="I96" s="592"/>
      <c r="J96" s="593"/>
      <c r="K96" s="594"/>
      <c r="L96" s="595"/>
      <c r="M96" s="821"/>
      <c r="N96" s="821"/>
      <c r="O96" s="596"/>
      <c r="P96" s="597"/>
      <c r="Q96" s="403"/>
      <c r="R96" s="603"/>
      <c r="S96" s="602"/>
      <c r="T96" s="392"/>
      <c r="U96" s="392"/>
      <c r="V96" s="547">
        <f t="shared" si="17"/>
        <v>2</v>
      </c>
      <c r="W96" s="392"/>
      <c r="X96" s="392"/>
      <c r="Y96" s="392"/>
      <c r="Z96" s="392"/>
      <c r="AA96" s="404"/>
      <c r="AB96" s="516"/>
      <c r="AC96" s="516"/>
      <c r="AD96" s="516"/>
      <c r="AE96" s="516"/>
      <c r="AF96" s="515" t="str">
        <f>IF(B96&gt;0,"ja")</f>
        <v>ja</v>
      </c>
      <c r="AG96" s="516"/>
      <c r="AH96" s="516"/>
    </row>
    <row r="97" spans="1:34" s="541" customFormat="1" ht="12" customHeight="1">
      <c r="A97" s="543"/>
      <c r="B97" s="543"/>
      <c r="C97" s="598"/>
      <c r="D97" s="422"/>
      <c r="E97" s="422"/>
      <c r="F97" s="422"/>
      <c r="G97" s="422"/>
      <c r="H97" s="599"/>
      <c r="I97" s="599"/>
      <c r="J97" s="530"/>
      <c r="K97" s="600"/>
      <c r="L97" s="600"/>
      <c r="M97" s="600"/>
      <c r="N97" s="600"/>
      <c r="O97" s="600"/>
      <c r="P97" s="600"/>
      <c r="Q97" s="403"/>
      <c r="R97" s="603"/>
      <c r="S97" s="602"/>
      <c r="T97" s="392"/>
      <c r="U97" s="392"/>
      <c r="V97" s="547">
        <f t="shared" si="17"/>
        <v>2</v>
      </c>
      <c r="W97" s="392"/>
      <c r="X97" s="392"/>
      <c r="Y97" s="392"/>
      <c r="Z97" s="392"/>
      <c r="AA97" s="404"/>
      <c r="AB97" s="516"/>
      <c r="AC97" s="516"/>
      <c r="AD97" s="516"/>
      <c r="AE97" s="516"/>
      <c r="AF97" s="516"/>
      <c r="AG97" s="516"/>
      <c r="AH97" s="516"/>
    </row>
    <row r="98" spans="1:34" s="541" customFormat="1" ht="12" customHeight="1">
      <c r="A98" s="404"/>
      <c r="B98" s="543"/>
      <c r="C98" s="464" t="str">
        <f>L31</f>
        <v>slaapkamer 1</v>
      </c>
      <c r="D98" s="733">
        <f>IF(F98="intern","",SUMPRODUCT(($AE$1:$AE$28050)*($L$1:$L$28050=C98)))</f>
        <v>10.88</v>
      </c>
      <c r="E98" s="566">
        <f>IF(F98="intern","",IF(D98=0,0,(IF(verzamelblad!$K$7*D98&gt;verzamelblad!$P$7,CEILING(verzamelblad!$K$7*D98,0.1),verzamelblad!$P$7))))</f>
        <v>7.7</v>
      </c>
      <c r="F98" s="584" t="str">
        <f>IF($S$16=1,"NT","MT")</f>
        <v>MT</v>
      </c>
      <c r="G98" s="731" t="s">
        <v>140</v>
      </c>
      <c r="H98" s="565">
        <v>14</v>
      </c>
      <c r="I98" s="811" t="s">
        <v>251</v>
      </c>
      <c r="J98" s="811"/>
      <c r="K98" s="585">
        <v>0</v>
      </c>
      <c r="L98" s="819" t="str">
        <f>IF(AND(S$16=1,S$17=2),"",IF(S$16=2,"",IF(K98=0,"",H98/(K98/1000))))</f>
        <v/>
      </c>
      <c r="M98" s="819"/>
      <c r="N98" s="816" t="s">
        <v>268</v>
      </c>
      <c r="O98" s="816"/>
      <c r="P98" s="586" t="str">
        <f>IF(K98=0,"-",INDEX('data roosters'!F:J,MATCH(N98,'data roosters'!F:F,0),2)*(K98/1000))</f>
        <v>-</v>
      </c>
      <c r="Q98" s="729" t="str">
        <f>IF(AND($S$16=1,$S$17=2),IF(OR(E98&lt;&gt;0,H98&lt;&gt;0,P98&lt;&gt;"-"),"","verbergen"),IF(OR(E98&lt;&gt;0,H98&lt;&gt;0),"","verbergen"))</f>
        <v/>
      </c>
      <c r="R98" s="601"/>
      <c r="S98" s="602"/>
      <c r="T98" s="392"/>
      <c r="U98" s="392"/>
      <c r="V98" s="547">
        <f>V97+1</f>
        <v>3</v>
      </c>
      <c r="W98" s="392"/>
      <c r="X98" s="392"/>
      <c r="Y98" s="392"/>
      <c r="Z98" s="392"/>
      <c r="AA98" s="404"/>
      <c r="AB98" s="516"/>
      <c r="AC98" s="516"/>
      <c r="AD98" s="516"/>
      <c r="AE98" s="516"/>
      <c r="AF98" s="515" t="str">
        <f>IF(E98&gt;0,"x","")</f>
        <v>x</v>
      </c>
      <c r="AG98" s="516"/>
      <c r="AH98" s="516"/>
    </row>
    <row r="99" spans="1:34" s="541" customFormat="1" ht="12" customHeight="1">
      <c r="A99" s="404"/>
      <c r="B99" s="543"/>
      <c r="C99" s="464" t="str">
        <f t="shared" ref="C99:C100" si="18">L32</f>
        <v>slaapkamer 2</v>
      </c>
      <c r="D99" s="733">
        <f>IF(F99="intern","",SUMPRODUCT(($AE$1:$AE$28050)*($L$1:$L$28050=C99)))</f>
        <v>10.78</v>
      </c>
      <c r="E99" s="566">
        <f>IF(F99="intern","",IF(D99=0,0,(IF(verzamelblad!$K$7*D99&gt;verzamelblad!$P$7,CEILING(verzamelblad!$K$7*D99,0.1),verzamelblad!$P$7))))</f>
        <v>7.6000000000000005</v>
      </c>
      <c r="F99" s="584" t="str">
        <f>IF($S$16=1,"NT","MT")</f>
        <v>MT</v>
      </c>
      <c r="G99" s="731" t="s">
        <v>140</v>
      </c>
      <c r="H99" s="565">
        <v>14</v>
      </c>
      <c r="I99" s="811" t="s">
        <v>251</v>
      </c>
      <c r="J99" s="811"/>
      <c r="K99" s="585">
        <v>0</v>
      </c>
      <c r="L99" s="819" t="str">
        <f>IF(AND(S$16=1,S$17=2),"",IF(S$16=2,"",IF(K99=0,"",H99/(K99/1000))))</f>
        <v/>
      </c>
      <c r="M99" s="819"/>
      <c r="N99" s="816" t="s">
        <v>268</v>
      </c>
      <c r="O99" s="816"/>
      <c r="P99" s="586" t="str">
        <f>IF(K99=0,"-",INDEX('data roosters'!F:J,MATCH(N99,'data roosters'!F:F,0),2)*(K99/1000))</f>
        <v>-</v>
      </c>
      <c r="Q99" s="729" t="str">
        <f t="shared" ref="Q99:Q102" si="19">IF(AND($S$16=1,$S$17=2),IF(OR(E99&lt;&gt;0,H99&lt;&gt;0,P99&lt;&gt;"-"),"","verbergen"),IF(OR(E99&lt;&gt;0,H99&lt;&gt;0),"","verbergen"))</f>
        <v/>
      </c>
      <c r="R99" s="418"/>
      <c r="S99" s="602"/>
      <c r="T99" s="392"/>
      <c r="U99" s="392"/>
      <c r="V99" s="547">
        <f t="shared" ref="V99:V104" si="20">V98</f>
        <v>3</v>
      </c>
      <c r="W99" s="392"/>
      <c r="X99" s="392"/>
      <c r="Y99" s="392"/>
      <c r="Z99" s="392"/>
      <c r="AA99" s="404"/>
      <c r="AB99" s="516"/>
      <c r="AC99" s="516"/>
      <c r="AD99" s="516"/>
      <c r="AE99" s="516"/>
      <c r="AF99" s="515" t="str">
        <f>IF(E99&gt;0,"x","")</f>
        <v>x</v>
      </c>
      <c r="AG99" s="516"/>
      <c r="AH99" s="516"/>
    </row>
    <row r="100" spans="1:34" s="541" customFormat="1" ht="12" customHeight="1">
      <c r="A100" s="404"/>
      <c r="B100" s="543"/>
      <c r="C100" s="464" t="str">
        <f t="shared" si="18"/>
        <v>studeerkamer</v>
      </c>
      <c r="D100" s="733">
        <f>IF(F100="intern","",SUMPRODUCT(($AE$1:$AE$28050)*($L$1:$L$28050=C100)))</f>
        <v>9.8000000000000007</v>
      </c>
      <c r="E100" s="566">
        <f>IF(F100="intern","",IF(D100=0,0,(IF(verzamelblad!$K$7*D100&gt;verzamelblad!$P$7,CEILING(verzamelblad!$K$7*D100,0.1),verzamelblad!$P$7))))</f>
        <v>7</v>
      </c>
      <c r="F100" s="584" t="str">
        <f>IF($S$16=1,"NT","MT")</f>
        <v>MT</v>
      </c>
      <c r="G100" s="731" t="s">
        <v>140</v>
      </c>
      <c r="H100" s="565">
        <v>14</v>
      </c>
      <c r="I100" s="811" t="s">
        <v>251</v>
      </c>
      <c r="J100" s="811"/>
      <c r="K100" s="585">
        <v>0</v>
      </c>
      <c r="L100" s="819" t="str">
        <f>IF(AND(S$16=1,S$17=2),"",IF(S$16=2,"",IF(K100=0,"",H100/(K100/1000))))</f>
        <v/>
      </c>
      <c r="M100" s="819"/>
      <c r="N100" s="816" t="s">
        <v>268</v>
      </c>
      <c r="O100" s="816"/>
      <c r="P100" s="586" t="str">
        <f>IF(K100=0,"-",INDEX('data roosters'!F:J,MATCH(N100,'data roosters'!F:F,0),2)*(K100/1000))</f>
        <v>-</v>
      </c>
      <c r="Q100" s="729" t="str">
        <f t="shared" si="19"/>
        <v/>
      </c>
      <c r="R100" s="603"/>
      <c r="S100" s="602"/>
      <c r="T100" s="392"/>
      <c r="U100" s="392"/>
      <c r="V100" s="547">
        <f t="shared" si="20"/>
        <v>3</v>
      </c>
      <c r="W100" s="392"/>
      <c r="X100" s="392"/>
      <c r="Y100" s="392"/>
      <c r="Z100" s="392"/>
      <c r="AA100" s="404"/>
      <c r="AB100" s="516"/>
      <c r="AC100" s="516"/>
      <c r="AD100" s="516"/>
      <c r="AE100" s="516"/>
      <c r="AF100" s="515" t="str">
        <f>IF(E100&gt;0,"x","")</f>
        <v>x</v>
      </c>
      <c r="AG100" s="516"/>
      <c r="AH100" s="516"/>
    </row>
    <row r="101" spans="1:34" s="541" customFormat="1" ht="12" hidden="1" customHeight="1">
      <c r="A101" s="404"/>
      <c r="B101" s="543"/>
      <c r="C101" s="464" t="s">
        <v>252</v>
      </c>
      <c r="D101" s="733">
        <f>IF(F101="intern","",SUMPRODUCT(($AE$1:$AE$28050)*($L$1:$L$28050=C101)))</f>
        <v>0</v>
      </c>
      <c r="E101" s="566">
        <f>IF(F101="intern","",IF(D101=0,0,(IF(verzamelblad!$K$7*D101&gt;verzamelblad!$P$7,CEILING(verzamelblad!$K$7*D101,0.1),verzamelblad!$P$7))))</f>
        <v>0</v>
      </c>
      <c r="F101" s="584" t="str">
        <f>IF($S$16=1,"NT","MT")</f>
        <v>MT</v>
      </c>
      <c r="G101" s="731" t="s">
        <v>140</v>
      </c>
      <c r="H101" s="565">
        <v>0</v>
      </c>
      <c r="I101" s="811" t="s">
        <v>251</v>
      </c>
      <c r="J101" s="811"/>
      <c r="K101" s="585">
        <v>0</v>
      </c>
      <c r="L101" s="819" t="str">
        <f>IF(AND(S$16=1,S$17=2),"",IF(S$16=2,"",IF(K101=0,"",H101/(K101/1000))))</f>
        <v/>
      </c>
      <c r="M101" s="819"/>
      <c r="N101" s="816" t="s">
        <v>268</v>
      </c>
      <c r="O101" s="816"/>
      <c r="P101" s="586" t="str">
        <f>IF(K101=0,"-",INDEX('data roosters'!F:J,MATCH(N101,'data roosters'!F:F,0),2)*(K101/1000))</f>
        <v>-</v>
      </c>
      <c r="Q101" s="729" t="str">
        <f t="shared" si="19"/>
        <v>verbergen</v>
      </c>
      <c r="R101" s="603"/>
      <c r="S101" s="602"/>
      <c r="T101" s="392"/>
      <c r="U101" s="392"/>
      <c r="V101" s="547">
        <f t="shared" si="20"/>
        <v>3</v>
      </c>
      <c r="W101" s="392"/>
      <c r="X101" s="392"/>
      <c r="Y101" s="392"/>
      <c r="Z101" s="392"/>
      <c r="AA101" s="404"/>
      <c r="AB101" s="516"/>
      <c r="AC101" s="516"/>
      <c r="AD101" s="516"/>
      <c r="AE101" s="516"/>
      <c r="AF101" s="515" t="str">
        <f>IF(E101&gt;0,"x","")</f>
        <v/>
      </c>
      <c r="AG101" s="516"/>
      <c r="AH101" s="516"/>
    </row>
    <row r="102" spans="1:34" s="541" customFormat="1" ht="12" hidden="1" customHeight="1">
      <c r="A102" s="404"/>
      <c r="B102" s="543"/>
      <c r="C102" s="472" t="s">
        <v>252</v>
      </c>
      <c r="D102" s="737">
        <f>IF(F102="intern","",SUMPRODUCT(($AE$1:$AE$28050)*($L$1:$L$28050=C102)))</f>
        <v>0</v>
      </c>
      <c r="E102" s="604">
        <f>IF(F102="intern","",IF(D102=0,0,(IF(verzamelblad!$K$7*D102&gt;verzamelblad!$P$7,CEILING(verzamelblad!$K$7*D102,0.1),verzamelblad!$P$7))))</f>
        <v>0</v>
      </c>
      <c r="F102" s="605" t="str">
        <f>IF($S$16=1,"NT","MT")</f>
        <v>MT</v>
      </c>
      <c r="G102" s="606" t="s">
        <v>140</v>
      </c>
      <c r="H102" s="607">
        <v>0</v>
      </c>
      <c r="I102" s="812" t="s">
        <v>251</v>
      </c>
      <c r="J102" s="812"/>
      <c r="K102" s="608">
        <v>0</v>
      </c>
      <c r="L102" s="822" t="str">
        <f>IF(AND(S$16=1,S$17=2),"",IF(S$16=2,"",IF(K102=0,"",H102/(K102/1000))))</f>
        <v/>
      </c>
      <c r="M102" s="822"/>
      <c r="N102" s="823" t="s">
        <v>268</v>
      </c>
      <c r="O102" s="823"/>
      <c r="P102" s="609" t="str">
        <f>IF(K102=0,"-",INDEX('data roosters'!F:J,MATCH(N102,'data roosters'!F:F,0),2)*(K102/1000))</f>
        <v>-</v>
      </c>
      <c r="Q102" s="729" t="str">
        <f t="shared" si="19"/>
        <v>verbergen</v>
      </c>
      <c r="R102" s="603"/>
      <c r="S102" s="602"/>
      <c r="T102" s="392"/>
      <c r="U102" s="392"/>
      <c r="V102" s="547">
        <f t="shared" si="20"/>
        <v>3</v>
      </c>
      <c r="W102" s="392"/>
      <c r="X102" s="392"/>
      <c r="Y102" s="392"/>
      <c r="Z102" s="392"/>
      <c r="AA102" s="404"/>
      <c r="AB102" s="516"/>
      <c r="AC102" s="516"/>
      <c r="AD102" s="516"/>
      <c r="AE102" s="516"/>
      <c r="AF102" s="515" t="str">
        <f>IF(E102&gt;0,"x","")</f>
        <v/>
      </c>
      <c r="AG102" s="516"/>
      <c r="AH102" s="516"/>
    </row>
    <row r="103" spans="1:34" s="541" customFormat="1" ht="12" customHeight="1">
      <c r="A103" s="404"/>
      <c r="B103" s="556">
        <f>B96+1</f>
        <v>3</v>
      </c>
      <c r="C103" s="480">
        <f>B103</f>
        <v>3</v>
      </c>
      <c r="D103" s="481">
        <f>SUMPRODUCT(($AD$1:$AD$50092)*($AC$1:$AC$50092=B103))</f>
        <v>25.86</v>
      </c>
      <c r="E103" s="591">
        <f>IF(D103=0,0,(IF(verzamelblad!$E$7*D103&gt;verzamelblad!$J$7,CEILING(verzamelblad!$E$7*D103,0.1),verzamelblad!$J$7)))</f>
        <v>23.3</v>
      </c>
      <c r="F103" s="824" t="str">
        <f>IF(SUM(H98:H102)&lt;E103,"voldoet niet op VG-niveau","totaal: "&amp;SUM(H98:H102) &amp; " dm³/s ")</f>
        <v xml:space="preserve">totaal: 42 dm³/s </v>
      </c>
      <c r="G103" s="824"/>
      <c r="H103" s="824"/>
      <c r="I103" s="592"/>
      <c r="J103" s="593"/>
      <c r="K103" s="594"/>
      <c r="L103" s="595"/>
      <c r="M103" s="821"/>
      <c r="N103" s="821"/>
      <c r="O103" s="596"/>
      <c r="P103" s="597"/>
      <c r="Q103" s="403"/>
      <c r="R103" s="603"/>
      <c r="S103" s="602"/>
      <c r="T103" s="392"/>
      <c r="U103" s="392"/>
      <c r="V103" s="547">
        <f t="shared" si="20"/>
        <v>3</v>
      </c>
      <c r="W103" s="392"/>
      <c r="X103" s="392"/>
      <c r="Y103" s="392"/>
      <c r="Z103" s="392"/>
      <c r="AA103" s="404"/>
      <c r="AB103" s="516"/>
      <c r="AC103" s="516"/>
      <c r="AD103" s="516"/>
      <c r="AE103" s="516"/>
      <c r="AF103" s="515" t="str">
        <f>IF(B103&gt;0,"ja")</f>
        <v>ja</v>
      </c>
      <c r="AG103" s="516"/>
      <c r="AH103" s="516"/>
    </row>
    <row r="104" spans="1:34" s="541" customFormat="1" ht="12" customHeight="1">
      <c r="A104" s="543"/>
      <c r="B104" s="543"/>
      <c r="C104" s="598"/>
      <c r="D104" s="422"/>
      <c r="E104" s="422"/>
      <c r="F104" s="422"/>
      <c r="G104" s="422"/>
      <c r="H104" s="599"/>
      <c r="I104" s="599"/>
      <c r="J104" s="530"/>
      <c r="K104" s="600"/>
      <c r="L104" s="600"/>
      <c r="M104" s="600"/>
      <c r="N104" s="600"/>
      <c r="O104" s="600"/>
      <c r="P104" s="600"/>
      <c r="Q104" s="403"/>
      <c r="R104" s="603"/>
      <c r="S104" s="602"/>
      <c r="T104" s="392"/>
      <c r="U104" s="392"/>
      <c r="V104" s="547">
        <f t="shared" si="20"/>
        <v>3</v>
      </c>
      <c r="W104" s="392"/>
      <c r="X104" s="392"/>
      <c r="Y104" s="392"/>
      <c r="Z104" s="392"/>
      <c r="AA104" s="404"/>
      <c r="AB104" s="516"/>
      <c r="AC104" s="516"/>
      <c r="AD104" s="516"/>
      <c r="AE104" s="516"/>
      <c r="AF104" s="516"/>
      <c r="AG104" s="516"/>
      <c r="AH104" s="516"/>
    </row>
    <row r="105" spans="1:34" s="541" customFormat="1" ht="12" customHeight="1">
      <c r="A105" s="404"/>
      <c r="B105" s="543"/>
      <c r="C105" s="464" t="str">
        <f>L34</f>
        <v>slaapkamer 3</v>
      </c>
      <c r="D105" s="733">
        <f>IF(F105="intern","",SUMPRODUCT(($AE$1:$AE$28022)*($L$1:$L$28022=C105)))</f>
        <v>9.32</v>
      </c>
      <c r="E105" s="566">
        <f>IF(F105="intern","",IF(D105=0,0,(IF(verzamelblad!$K$7*D105&gt;verzamelblad!$P$7,CEILING(verzamelblad!$K$7*D105,0.1),verzamelblad!$P$7))))</f>
        <v>7</v>
      </c>
      <c r="F105" s="584" t="str">
        <f>IF($S$16=1,"NT","MT")</f>
        <v>MT</v>
      </c>
      <c r="G105" s="731" t="s">
        <v>140</v>
      </c>
      <c r="H105" s="565">
        <v>14</v>
      </c>
      <c r="I105" s="811" t="s">
        <v>251</v>
      </c>
      <c r="J105" s="811"/>
      <c r="K105" s="585">
        <v>0</v>
      </c>
      <c r="L105" s="819" t="str">
        <f>IF(AND(S$16=1,S$17=2),"",IF(S$16=2,"",IF(K105=0,"",H105/(K105/1000))))</f>
        <v/>
      </c>
      <c r="M105" s="819"/>
      <c r="N105" s="816" t="s">
        <v>268</v>
      </c>
      <c r="O105" s="816"/>
      <c r="P105" s="586" t="str">
        <f>IF(K105=0,"-",INDEX('data roosters'!F:J,MATCH(N105,'data roosters'!F:F,0),2)*(K105/1000))</f>
        <v>-</v>
      </c>
      <c r="Q105" s="729" t="str">
        <f>IF(AND($S$16=1,$S$17=2),IF(OR(E105&lt;&gt;0,H105&lt;&gt;0,P105&lt;&gt;"-"),"","verbergen"),IF(OR(E105&lt;&gt;0,H105&lt;&gt;0),"","verbergen"))</f>
        <v/>
      </c>
      <c r="R105" s="601"/>
      <c r="S105" s="602"/>
      <c r="T105" s="392"/>
      <c r="U105" s="392"/>
      <c r="V105" s="547">
        <f>V104+1</f>
        <v>4</v>
      </c>
      <c r="W105" s="392"/>
      <c r="X105" s="392"/>
      <c r="Y105" s="392"/>
      <c r="Z105" s="392"/>
      <c r="AA105" s="404"/>
      <c r="AB105" s="516"/>
      <c r="AC105" s="516"/>
      <c r="AD105" s="516"/>
      <c r="AE105" s="516"/>
      <c r="AF105" s="515" t="str">
        <f>IF(E105&gt;0,"x","")</f>
        <v>x</v>
      </c>
      <c r="AG105" s="516"/>
      <c r="AH105" s="516"/>
    </row>
    <row r="106" spans="1:34" s="541" customFormat="1" ht="12" hidden="1" customHeight="1">
      <c r="A106" s="404"/>
      <c r="B106" s="543"/>
      <c r="C106" s="464" t="s">
        <v>252</v>
      </c>
      <c r="D106" s="733">
        <f>IF(F106="intern","",SUMPRODUCT(($AE$1:$AE$28022)*($L$1:$L$28022=C106)))</f>
        <v>0</v>
      </c>
      <c r="E106" s="566">
        <f>IF(F106="intern","",IF(D106=0,0,(IF(verzamelblad!$K$7*D106&gt;verzamelblad!$P$7,CEILING(verzamelblad!$K$7*D106,0.1),verzamelblad!$P$7))))</f>
        <v>0</v>
      </c>
      <c r="F106" s="584" t="str">
        <f>IF($S$16=1,"NT","MT")</f>
        <v>MT</v>
      </c>
      <c r="G106" s="731" t="s">
        <v>140</v>
      </c>
      <c r="H106" s="565">
        <v>0</v>
      </c>
      <c r="I106" s="811" t="s">
        <v>251</v>
      </c>
      <c r="J106" s="811"/>
      <c r="K106" s="585">
        <v>0</v>
      </c>
      <c r="L106" s="819" t="str">
        <f>IF(AND(S$16=1,S$17=2),"",IF(S$16=2,"",IF(K106=0,"",H106/(K106/1000))))</f>
        <v/>
      </c>
      <c r="M106" s="819"/>
      <c r="N106" s="816" t="s">
        <v>268</v>
      </c>
      <c r="O106" s="816"/>
      <c r="P106" s="586" t="str">
        <f>IF(K106=0,"-",INDEX('data roosters'!F:J,MATCH(N106,'data roosters'!F:F,0),2)*(K106/1000))</f>
        <v>-</v>
      </c>
      <c r="Q106" s="729" t="str">
        <f t="shared" ref="Q106:Q109" si="21">IF(AND($S$16=1,$S$17=2),IF(OR(E106&lt;&gt;0,H106&lt;&gt;0,P106&lt;&gt;"-"),"","verbergen"),IF(OR(E106&lt;&gt;0,H106&lt;&gt;0),"","verbergen"))</f>
        <v>verbergen</v>
      </c>
      <c r="R106" s="418"/>
      <c r="S106" s="602"/>
      <c r="T106" s="392"/>
      <c r="U106" s="392"/>
      <c r="V106" s="547">
        <f t="shared" ref="V106:V111" si="22">V105</f>
        <v>4</v>
      </c>
      <c r="W106" s="392"/>
      <c r="X106" s="392"/>
      <c r="Y106" s="392"/>
      <c r="Z106" s="392"/>
      <c r="AA106" s="404"/>
      <c r="AB106" s="516"/>
      <c r="AC106" s="516"/>
      <c r="AD106" s="516"/>
      <c r="AE106" s="516"/>
      <c r="AF106" s="515" t="str">
        <f>IF(E106&gt;0,"x","")</f>
        <v/>
      </c>
      <c r="AG106" s="516"/>
      <c r="AH106" s="516"/>
    </row>
    <row r="107" spans="1:34" s="541" customFormat="1" ht="12" hidden="1" customHeight="1">
      <c r="A107" s="404"/>
      <c r="B107" s="543"/>
      <c r="C107" s="464" t="s">
        <v>252</v>
      </c>
      <c r="D107" s="733">
        <f>IF(F107="intern","",SUMPRODUCT(($AE$1:$AE$28022)*($L$1:$L$28022=C107)))</f>
        <v>0</v>
      </c>
      <c r="E107" s="566">
        <f>IF(F107="intern","",IF(D107=0,0,(IF(verzamelblad!$K$7*D107&gt;verzamelblad!$P$7,CEILING(verzamelblad!$K$7*D107,0.1),verzamelblad!$P$7))))</f>
        <v>0</v>
      </c>
      <c r="F107" s="584" t="str">
        <f>IF($S$16=1,"NT","MT")</f>
        <v>MT</v>
      </c>
      <c r="G107" s="731" t="s">
        <v>140</v>
      </c>
      <c r="H107" s="565">
        <v>0</v>
      </c>
      <c r="I107" s="811" t="s">
        <v>251</v>
      </c>
      <c r="J107" s="811"/>
      <c r="K107" s="585">
        <v>0</v>
      </c>
      <c r="L107" s="819" t="str">
        <f>IF(AND(S$16=1,S$17=2),"",IF(S$16=2,"",IF(K107=0,"",H107/(K107/1000))))</f>
        <v/>
      </c>
      <c r="M107" s="819"/>
      <c r="N107" s="816" t="s">
        <v>268</v>
      </c>
      <c r="O107" s="816"/>
      <c r="P107" s="586" t="str">
        <f>IF(K107=0,"-",INDEX('data roosters'!F:J,MATCH(N107,'data roosters'!F:F,0),2)*(K107/1000))</f>
        <v>-</v>
      </c>
      <c r="Q107" s="729" t="str">
        <f t="shared" si="21"/>
        <v>verbergen</v>
      </c>
      <c r="R107" s="603"/>
      <c r="S107" s="602"/>
      <c r="T107" s="392"/>
      <c r="U107" s="392"/>
      <c r="V107" s="547">
        <f t="shared" si="22"/>
        <v>4</v>
      </c>
      <c r="W107" s="392"/>
      <c r="X107" s="392"/>
      <c r="Y107" s="392"/>
      <c r="Z107" s="392"/>
      <c r="AA107" s="404"/>
      <c r="AB107" s="516"/>
      <c r="AC107" s="516"/>
      <c r="AD107" s="516"/>
      <c r="AE107" s="516"/>
      <c r="AF107" s="515" t="str">
        <f>IF(E107&gt;0,"x","")</f>
        <v/>
      </c>
      <c r="AG107" s="516"/>
      <c r="AH107" s="516"/>
    </row>
    <row r="108" spans="1:34" s="541" customFormat="1" ht="12" hidden="1" customHeight="1">
      <c r="A108" s="404"/>
      <c r="B108" s="543"/>
      <c r="C108" s="464" t="s">
        <v>252</v>
      </c>
      <c r="D108" s="733">
        <f>IF(F108="intern","",SUMPRODUCT(($AE$1:$AE$28022)*($L$1:$L$28022=C108)))</f>
        <v>0</v>
      </c>
      <c r="E108" s="566">
        <f>IF(F108="intern","",IF(D108=0,0,(IF(verzamelblad!$K$7*D108&gt;verzamelblad!$P$7,CEILING(verzamelblad!$K$7*D108,0.1),verzamelblad!$P$7))))</f>
        <v>0</v>
      </c>
      <c r="F108" s="584" t="str">
        <f>IF($S$16=1,"NT","MT")</f>
        <v>MT</v>
      </c>
      <c r="G108" s="731" t="s">
        <v>140</v>
      </c>
      <c r="H108" s="565">
        <v>0</v>
      </c>
      <c r="I108" s="811" t="s">
        <v>251</v>
      </c>
      <c r="J108" s="811"/>
      <c r="K108" s="585">
        <v>0</v>
      </c>
      <c r="L108" s="819" t="str">
        <f>IF(AND(S$16=1,S$17=2),"",IF(S$16=2,"",IF(K108=0,"",H108/(K108/1000))))</f>
        <v/>
      </c>
      <c r="M108" s="819"/>
      <c r="N108" s="816" t="s">
        <v>268</v>
      </c>
      <c r="O108" s="816"/>
      <c r="P108" s="586" t="str">
        <f>IF(K108=0,"-",INDEX('data roosters'!F:J,MATCH(N108,'data roosters'!F:F,0),2)*(K108/1000))</f>
        <v>-</v>
      </c>
      <c r="Q108" s="729" t="str">
        <f t="shared" si="21"/>
        <v>verbergen</v>
      </c>
      <c r="R108" s="603"/>
      <c r="S108" s="602"/>
      <c r="T108" s="392"/>
      <c r="U108" s="392"/>
      <c r="V108" s="547">
        <f t="shared" si="22"/>
        <v>4</v>
      </c>
      <c r="W108" s="392"/>
      <c r="X108" s="392"/>
      <c r="Y108" s="392"/>
      <c r="Z108" s="392"/>
      <c r="AA108" s="404"/>
      <c r="AB108" s="516"/>
      <c r="AC108" s="516"/>
      <c r="AD108" s="516"/>
      <c r="AE108" s="516"/>
      <c r="AF108" s="515" t="str">
        <f>IF(E108&gt;0,"x","")</f>
        <v/>
      </c>
      <c r="AG108" s="516"/>
      <c r="AH108" s="516"/>
    </row>
    <row r="109" spans="1:34" s="541" customFormat="1" ht="12" hidden="1" customHeight="1">
      <c r="A109" s="404"/>
      <c r="B109" s="543"/>
      <c r="C109" s="472" t="s">
        <v>252</v>
      </c>
      <c r="D109" s="737">
        <f>IF(F109="intern","",SUMPRODUCT(($AE$1:$AE$28022)*($L$1:$L$28022=C109)))</f>
        <v>0</v>
      </c>
      <c r="E109" s="604">
        <f>IF(F109="intern","",IF(D109=0,0,(IF(verzamelblad!$K$7*D109&gt;verzamelblad!$P$7,CEILING(verzamelblad!$K$7*D109,0.1),verzamelblad!$P$7))))</f>
        <v>0</v>
      </c>
      <c r="F109" s="605" t="str">
        <f>IF($S$16=1,"NT","MT")</f>
        <v>MT</v>
      </c>
      <c r="G109" s="606" t="s">
        <v>140</v>
      </c>
      <c r="H109" s="607">
        <v>0</v>
      </c>
      <c r="I109" s="812" t="s">
        <v>251</v>
      </c>
      <c r="J109" s="812"/>
      <c r="K109" s="608">
        <v>0</v>
      </c>
      <c r="L109" s="822" t="str">
        <f>IF(AND(S$16=1,S$17=2),"",IF(S$16=2,"",IF(K109=0,"",H109/(K109/1000))))</f>
        <v/>
      </c>
      <c r="M109" s="822"/>
      <c r="N109" s="823" t="s">
        <v>268</v>
      </c>
      <c r="O109" s="823"/>
      <c r="P109" s="609" t="str">
        <f>IF(K109=0,"-",INDEX('data roosters'!F:J,MATCH(N109,'data roosters'!F:F,0),2)*(K109/1000))</f>
        <v>-</v>
      </c>
      <c r="Q109" s="729" t="str">
        <f t="shared" si="21"/>
        <v>verbergen</v>
      </c>
      <c r="R109" s="603"/>
      <c r="S109" s="602"/>
      <c r="T109" s="392"/>
      <c r="U109" s="392"/>
      <c r="V109" s="547">
        <f t="shared" si="22"/>
        <v>4</v>
      </c>
      <c r="W109" s="392"/>
      <c r="X109" s="392"/>
      <c r="Y109" s="392"/>
      <c r="Z109" s="392"/>
      <c r="AA109" s="404"/>
      <c r="AB109" s="516"/>
      <c r="AC109" s="516"/>
      <c r="AD109" s="516"/>
      <c r="AE109" s="516"/>
      <c r="AF109" s="515" t="str">
        <f>IF(E109&gt;0,"x","")</f>
        <v/>
      </c>
      <c r="AG109" s="516"/>
      <c r="AH109" s="516"/>
    </row>
    <row r="110" spans="1:34" s="541" customFormat="1" ht="12" customHeight="1">
      <c r="A110" s="404"/>
      <c r="B110" s="556">
        <f>B103+1</f>
        <v>4</v>
      </c>
      <c r="C110" s="480">
        <f>B110</f>
        <v>4</v>
      </c>
      <c r="D110" s="481">
        <f>SUMPRODUCT(($AD$1:$AD$50064)*($AC$1:$AC$50064=B110))</f>
        <v>9.32</v>
      </c>
      <c r="E110" s="591">
        <f>IF(D110=0,0,(IF(verzamelblad!$E$7*D110&gt;verzamelblad!$J$7,CEILING(verzamelblad!$E$7*D110,0.1),verzamelblad!$J$7)))</f>
        <v>8.4</v>
      </c>
      <c r="F110" s="824" t="str">
        <f>IF(SUM(H105:H109)&lt;E110,"voldoet niet op VG-niveau","totaal: "&amp;SUM(H105:H109) &amp; " dm³/s ")</f>
        <v xml:space="preserve">totaal: 14 dm³/s </v>
      </c>
      <c r="G110" s="824"/>
      <c r="H110" s="824"/>
      <c r="I110" s="592"/>
      <c r="J110" s="593"/>
      <c r="K110" s="594"/>
      <c r="L110" s="595"/>
      <c r="M110" s="821"/>
      <c r="N110" s="821"/>
      <c r="O110" s="596"/>
      <c r="P110" s="597"/>
      <c r="Q110" s="403"/>
      <c r="R110" s="603"/>
      <c r="S110" s="602"/>
      <c r="T110" s="392"/>
      <c r="U110" s="392"/>
      <c r="V110" s="547">
        <f t="shared" si="22"/>
        <v>4</v>
      </c>
      <c r="W110" s="392"/>
      <c r="X110" s="392"/>
      <c r="Y110" s="392"/>
      <c r="Z110" s="392"/>
      <c r="AA110" s="404"/>
      <c r="AB110" s="516"/>
      <c r="AC110" s="516"/>
      <c r="AD110" s="516"/>
      <c r="AE110" s="516"/>
      <c r="AF110" s="515" t="str">
        <f>IF(B110&gt;0,"ja")</f>
        <v>ja</v>
      </c>
      <c r="AG110" s="516"/>
      <c r="AH110" s="516"/>
    </row>
    <row r="111" spans="1:34" s="541" customFormat="1" ht="12" customHeight="1">
      <c r="A111" s="543"/>
      <c r="B111" s="543"/>
      <c r="C111" s="598"/>
      <c r="D111" s="422"/>
      <c r="E111" s="422"/>
      <c r="F111" s="422"/>
      <c r="G111" s="422"/>
      <c r="H111" s="599"/>
      <c r="I111" s="599"/>
      <c r="J111" s="530"/>
      <c r="K111" s="600"/>
      <c r="L111" s="600"/>
      <c r="M111" s="600"/>
      <c r="N111" s="600"/>
      <c r="O111" s="600"/>
      <c r="P111" s="600"/>
      <c r="Q111" s="403"/>
      <c r="R111" s="603"/>
      <c r="S111" s="602"/>
      <c r="T111" s="392"/>
      <c r="U111" s="392"/>
      <c r="V111" s="547">
        <f t="shared" si="22"/>
        <v>4</v>
      </c>
      <c r="W111" s="392"/>
      <c r="X111" s="392"/>
      <c r="Y111" s="392"/>
      <c r="Z111" s="392"/>
      <c r="AA111" s="404"/>
      <c r="AB111" s="516"/>
      <c r="AC111" s="516"/>
      <c r="AD111" s="516"/>
      <c r="AE111" s="516"/>
      <c r="AF111" s="516"/>
      <c r="AG111" s="516"/>
      <c r="AH111" s="516"/>
    </row>
    <row r="112" spans="1:34" s="541" customFormat="1" ht="12" customHeight="1">
      <c r="A112" s="515"/>
      <c r="B112" s="515"/>
      <c r="C112" s="610" t="s">
        <v>745</v>
      </c>
      <c r="D112" s="422"/>
      <c r="E112" s="611" t="str">
        <f>IF(SUM(H112:H116)=0,"n.v.t.","")</f>
        <v>n.v.t.</v>
      </c>
      <c r="F112" s="422"/>
      <c r="G112" s="422"/>
      <c r="H112" s="599"/>
      <c r="I112" s="599"/>
      <c r="J112" s="530"/>
      <c r="K112" s="600"/>
      <c r="L112" s="600"/>
      <c r="M112" s="600"/>
      <c r="N112" s="600"/>
      <c r="O112" s="600"/>
      <c r="P112" s="600"/>
      <c r="Q112" s="459"/>
      <c r="R112" s="589"/>
      <c r="S112" s="529"/>
      <c r="T112" s="516"/>
      <c r="U112" s="516"/>
      <c r="V112" s="507"/>
      <c r="W112" s="516"/>
      <c r="X112" s="516"/>
      <c r="Y112" s="516"/>
      <c r="Z112" s="516"/>
      <c r="AB112" s="516"/>
      <c r="AC112" s="516"/>
      <c r="AD112" s="516"/>
      <c r="AE112" s="516"/>
      <c r="AF112" s="516"/>
      <c r="AG112" s="516"/>
      <c r="AH112" s="516"/>
    </row>
    <row r="113" spans="1:34" s="541" customFormat="1" ht="12" hidden="1" customHeight="1">
      <c r="B113" s="515"/>
      <c r="C113" s="464" t="s">
        <v>140</v>
      </c>
      <c r="D113" s="733"/>
      <c r="E113" s="566"/>
      <c r="F113" s="584" t="str">
        <f>IF($S$16=1,"NT","MT")</f>
        <v>MT</v>
      </c>
      <c r="G113" s="731" t="s">
        <v>140</v>
      </c>
      <c r="H113" s="565">
        <v>0</v>
      </c>
      <c r="I113" s="811" t="s">
        <v>251</v>
      </c>
      <c r="J113" s="811"/>
      <c r="K113" s="585">
        <v>0</v>
      </c>
      <c r="L113" s="819" t="str">
        <f>IF(AND(S$16=1,S$17=2),"",IF(S$16=2,"",IF(K113=0,"",H113/(K113/1000))))</f>
        <v/>
      </c>
      <c r="M113" s="819"/>
      <c r="N113" s="816" t="s">
        <v>268</v>
      </c>
      <c r="O113" s="816"/>
      <c r="P113" s="586" t="str">
        <f>IF(K113=0,"-",INDEX('data roosters'!F:J,MATCH(N113,'data roosters'!F:F,0),2)*(K113/1000))</f>
        <v>-</v>
      </c>
      <c r="Q113" s="525" t="str">
        <f>IF(AND($S$16=1,$S$17=2),IF(OR(H113&lt;&gt;0,P113&lt;&gt;"-"),"","verbergen"),IF(H113&lt;&gt;0,"","verbergen"))</f>
        <v>verbergen</v>
      </c>
      <c r="R113" s="612"/>
      <c r="S113" s="529"/>
      <c r="T113" s="516"/>
      <c r="U113" s="516"/>
      <c r="V113" s="507"/>
      <c r="W113" s="516"/>
      <c r="X113" s="516"/>
      <c r="Y113" s="516"/>
      <c r="Z113" s="516"/>
      <c r="AB113" s="516"/>
      <c r="AC113" s="516"/>
      <c r="AD113" s="516"/>
      <c r="AE113" s="516"/>
      <c r="AF113" s="515"/>
      <c r="AG113" s="516"/>
      <c r="AH113" s="516"/>
    </row>
    <row r="114" spans="1:34" s="541" customFormat="1" ht="12" hidden="1" customHeight="1">
      <c r="B114" s="515"/>
      <c r="C114" s="464" t="s">
        <v>140</v>
      </c>
      <c r="D114" s="733"/>
      <c r="E114" s="566"/>
      <c r="F114" s="584" t="str">
        <f>IF($S$16=1,"NT","MT")</f>
        <v>MT</v>
      </c>
      <c r="G114" s="731" t="s">
        <v>140</v>
      </c>
      <c r="H114" s="565">
        <v>0</v>
      </c>
      <c r="I114" s="811" t="s">
        <v>251</v>
      </c>
      <c r="J114" s="811"/>
      <c r="K114" s="585">
        <v>0</v>
      </c>
      <c r="L114" s="819" t="str">
        <f>IF(AND(S$16=1,S$17=2),"",IF(S$16=2,"",IF(K114=0,"",H114/(K114/1000))))</f>
        <v/>
      </c>
      <c r="M114" s="819"/>
      <c r="N114" s="816" t="s">
        <v>268</v>
      </c>
      <c r="O114" s="816"/>
      <c r="P114" s="586" t="str">
        <f>IF(K114=0,"-",INDEX('data roosters'!F:J,MATCH(N114,'data roosters'!F:F,0),2)*(K114/1000))</f>
        <v>-</v>
      </c>
      <c r="Q114" s="525" t="str">
        <f t="shared" ref="Q114:Q116" si="23">IF(AND($S$16=1,$S$17=2),IF(OR(H114&lt;&gt;0,P114&lt;&gt;"-"),"","verbergen"),IF(H114&lt;&gt;0,"","verbergen"))</f>
        <v>verbergen</v>
      </c>
      <c r="R114" s="589"/>
      <c r="S114" s="529"/>
      <c r="T114" s="516"/>
      <c r="U114" s="516"/>
      <c r="V114" s="507"/>
      <c r="W114" s="516"/>
      <c r="X114" s="516"/>
      <c r="Y114" s="516"/>
      <c r="Z114" s="516"/>
      <c r="AB114" s="516"/>
      <c r="AC114" s="516"/>
      <c r="AD114" s="516"/>
      <c r="AE114" s="516"/>
      <c r="AF114" s="515"/>
      <c r="AG114" s="516"/>
      <c r="AH114" s="516"/>
    </row>
    <row r="115" spans="1:34" s="541" customFormat="1" ht="12" hidden="1" customHeight="1">
      <c r="B115" s="515"/>
      <c r="C115" s="464" t="s">
        <v>140</v>
      </c>
      <c r="D115" s="733"/>
      <c r="E115" s="566"/>
      <c r="F115" s="584" t="str">
        <f>IF($S$16=1,"NT","MT")</f>
        <v>MT</v>
      </c>
      <c r="G115" s="731" t="s">
        <v>140</v>
      </c>
      <c r="H115" s="565">
        <v>0</v>
      </c>
      <c r="I115" s="811" t="s">
        <v>251</v>
      </c>
      <c r="J115" s="811"/>
      <c r="K115" s="585">
        <v>0</v>
      </c>
      <c r="L115" s="819" t="str">
        <f>IF(AND(S$16=1,S$17=2),"",IF(S$16=2,"",IF(K115=0,"",H115/(K115/1000))))</f>
        <v/>
      </c>
      <c r="M115" s="819"/>
      <c r="N115" s="816" t="s">
        <v>268</v>
      </c>
      <c r="O115" s="816"/>
      <c r="P115" s="586" t="str">
        <f>IF(K115=0,"-",INDEX('data roosters'!F:J,MATCH(N115,'data roosters'!F:F,0),2)*(K115/1000))</f>
        <v>-</v>
      </c>
      <c r="Q115" s="525" t="str">
        <f t="shared" si="23"/>
        <v>verbergen</v>
      </c>
      <c r="R115" s="589"/>
      <c r="S115" s="529"/>
      <c r="T115" s="516"/>
      <c r="U115" s="516"/>
      <c r="V115" s="507"/>
      <c r="W115" s="516"/>
      <c r="X115" s="516"/>
      <c r="Y115" s="516"/>
      <c r="Z115" s="516"/>
      <c r="AB115" s="516"/>
      <c r="AC115" s="516"/>
      <c r="AD115" s="516"/>
      <c r="AE115" s="516"/>
      <c r="AF115" s="515"/>
      <c r="AG115" s="516"/>
      <c r="AH115" s="516"/>
    </row>
    <row r="116" spans="1:34" s="541" customFormat="1" ht="12" hidden="1" customHeight="1">
      <c r="B116" s="515"/>
      <c r="C116" s="464" t="s">
        <v>140</v>
      </c>
      <c r="D116" s="733"/>
      <c r="E116" s="566"/>
      <c r="F116" s="584" t="str">
        <f>IF($S$16=1,"NT","MT")</f>
        <v>MT</v>
      </c>
      <c r="G116" s="731" t="s">
        <v>140</v>
      </c>
      <c r="H116" s="565">
        <v>0</v>
      </c>
      <c r="I116" s="811" t="s">
        <v>251</v>
      </c>
      <c r="J116" s="811"/>
      <c r="K116" s="585">
        <v>0</v>
      </c>
      <c r="L116" s="819" t="str">
        <f>IF(AND(S$16=1,S$17=2),"",IF(S$16=2,"",IF(K116=0,"",H116/(K116/1000))))</f>
        <v/>
      </c>
      <c r="M116" s="819"/>
      <c r="N116" s="816" t="s">
        <v>268</v>
      </c>
      <c r="O116" s="816"/>
      <c r="P116" s="586" t="str">
        <f>IF(K116=0,"-",INDEX('data roosters'!F:J,MATCH(N116,'data roosters'!F:F,0),2)*(K116/1000))</f>
        <v>-</v>
      </c>
      <c r="Q116" s="525" t="str">
        <f t="shared" si="23"/>
        <v>verbergen</v>
      </c>
      <c r="R116" s="589"/>
      <c r="S116" s="529"/>
      <c r="T116" s="516"/>
      <c r="U116" s="516"/>
      <c r="V116" s="507"/>
      <c r="W116" s="516"/>
      <c r="X116" s="516"/>
      <c r="Y116" s="516"/>
      <c r="Z116" s="516"/>
      <c r="AB116" s="516"/>
      <c r="AC116" s="516"/>
      <c r="AD116" s="516"/>
      <c r="AE116" s="516"/>
      <c r="AF116" s="515"/>
      <c r="AG116" s="516"/>
      <c r="AH116" s="516"/>
    </row>
    <row r="117" spans="1:34" s="541" customFormat="1" ht="12" customHeight="1">
      <c r="B117" s="590"/>
      <c r="C117" s="610"/>
      <c r="D117" s="733"/>
      <c r="E117" s="566"/>
      <c r="F117" s="825"/>
      <c r="G117" s="825"/>
      <c r="H117" s="825"/>
      <c r="I117" s="404"/>
      <c r="J117" s="613"/>
      <c r="K117" s="422"/>
      <c r="L117" s="614"/>
      <c r="M117" s="826"/>
      <c r="N117" s="826"/>
      <c r="O117" s="565"/>
      <c r="P117" s="615"/>
      <c r="Q117" s="459"/>
      <c r="R117" s="589"/>
      <c r="S117" s="529"/>
      <c r="T117" s="516"/>
      <c r="U117" s="516"/>
      <c r="V117" s="547"/>
      <c r="W117" s="516"/>
      <c r="X117" s="516"/>
      <c r="Y117" s="516"/>
      <c r="Z117" s="516"/>
      <c r="AB117" s="516"/>
      <c r="AC117" s="516"/>
      <c r="AD117" s="516"/>
      <c r="AE117" s="516"/>
      <c r="AF117" s="515"/>
      <c r="AG117" s="516"/>
      <c r="AH117" s="516"/>
    </row>
    <row r="118" spans="1:34" s="518" customFormat="1" ht="15" customHeight="1">
      <c r="A118" s="515"/>
      <c r="B118" s="515"/>
      <c r="C118" s="457" t="s">
        <v>1086</v>
      </c>
      <c r="D118" s="575"/>
      <c r="E118" s="575"/>
      <c r="F118" s="575"/>
      <c r="G118" s="575"/>
      <c r="H118" s="575"/>
      <c r="I118" s="575"/>
      <c r="J118" s="575"/>
      <c r="K118" s="575"/>
      <c r="L118" s="575"/>
      <c r="M118" s="575"/>
      <c r="N118" s="575"/>
      <c r="O118" s="575"/>
      <c r="P118" s="575"/>
      <c r="Q118" s="516"/>
      <c r="R118" s="616"/>
      <c r="S118" s="516"/>
      <c r="T118" s="521"/>
      <c r="U118" s="516"/>
      <c r="V118" s="517"/>
      <c r="W118" s="517"/>
      <c r="X118" s="517"/>
      <c r="Y118" s="517"/>
      <c r="Z118" s="517"/>
      <c r="AA118" s="517"/>
      <c r="AB118" s="517"/>
      <c r="AC118" s="524"/>
      <c r="AD118" s="517"/>
      <c r="AE118" s="517"/>
      <c r="AF118" s="517"/>
    </row>
    <row r="119" spans="1:34" s="518" customFormat="1" ht="12.75" hidden="1" customHeight="1">
      <c r="A119" s="515"/>
      <c r="B119" s="515"/>
      <c r="C119" s="576"/>
      <c r="D119" s="576"/>
      <c r="E119" s="576"/>
      <c r="F119" s="576"/>
      <c r="G119" s="576"/>
      <c r="H119" s="577"/>
      <c r="I119" s="577"/>
      <c r="J119" s="577"/>
      <c r="K119" s="577"/>
      <c r="L119" s="577"/>
      <c r="M119" s="577"/>
      <c r="N119" s="577"/>
      <c r="O119" s="577"/>
      <c r="P119" s="577"/>
      <c r="Q119" s="522"/>
      <c r="R119" s="516"/>
      <c r="S119" s="516"/>
      <c r="T119" s="521"/>
      <c r="U119" s="516"/>
      <c r="V119" s="548"/>
      <c r="W119" s="548"/>
      <c r="X119" s="548"/>
      <c r="Y119" s="548"/>
      <c r="Z119" s="517"/>
      <c r="AA119" s="517"/>
      <c r="AB119" s="517"/>
      <c r="AC119" s="524"/>
      <c r="AD119" s="517"/>
      <c r="AE119" s="517"/>
      <c r="AF119" s="517"/>
    </row>
    <row r="120" spans="1:34" ht="15" customHeight="1">
      <c r="A120" s="492"/>
      <c r="B120" s="492"/>
      <c r="C120" s="579" t="s">
        <v>133</v>
      </c>
      <c r="D120" s="580"/>
      <c r="E120" s="580"/>
      <c r="F120" s="460" t="s">
        <v>653</v>
      </c>
      <c r="G120" s="736" t="s">
        <v>34</v>
      </c>
      <c r="H120" s="736" t="s">
        <v>1135</v>
      </c>
      <c r="I120" s="580"/>
      <c r="J120" s="580"/>
      <c r="K120" s="580"/>
      <c r="L120" s="580"/>
      <c r="M120" s="580"/>
      <c r="N120" s="580"/>
      <c r="O120" s="580"/>
      <c r="P120" s="580"/>
      <c r="Q120" s="507"/>
      <c r="R120" s="507"/>
      <c r="S120" s="507"/>
      <c r="T120" s="532"/>
      <c r="U120" s="507"/>
      <c r="V120" s="508"/>
      <c r="W120" s="508"/>
      <c r="X120" s="508"/>
      <c r="Y120" s="508"/>
      <c r="Z120" s="508"/>
      <c r="AA120" s="508"/>
      <c r="AB120" s="508"/>
      <c r="AC120" s="534"/>
      <c r="AD120" s="508"/>
      <c r="AE120" s="508"/>
      <c r="AF120" s="508"/>
    </row>
    <row r="121" spans="1:34" s="518" customFormat="1" ht="12" customHeight="1">
      <c r="A121" s="515"/>
      <c r="B121" s="515"/>
      <c r="C121" s="617" t="s">
        <v>728</v>
      </c>
      <c r="D121" s="404"/>
      <c r="E121" s="404"/>
      <c r="F121" s="618">
        <v>2</v>
      </c>
      <c r="G121" s="619">
        <f>F121*7</f>
        <v>14</v>
      </c>
      <c r="H121" s="620">
        <v>28</v>
      </c>
      <c r="I121" s="621"/>
      <c r="J121" s="622"/>
      <c r="K121" s="827"/>
      <c r="L121" s="827"/>
      <c r="M121" s="827"/>
      <c r="N121" s="827"/>
      <c r="O121" s="827"/>
      <c r="P121" s="827"/>
      <c r="Q121" s="525" t="str">
        <f t="shared" ref="Q121:Q126" si="24">IF(H121&gt;0,"","verbergen")</f>
        <v/>
      </c>
      <c r="R121" s="589"/>
      <c r="S121" s="529"/>
      <c r="T121" s="516"/>
      <c r="U121" s="516"/>
      <c r="V121" s="508"/>
      <c r="W121" s="517"/>
      <c r="X121" s="517"/>
      <c r="Y121" s="517"/>
      <c r="Z121" s="517"/>
      <c r="AA121" s="517"/>
      <c r="AB121" s="517"/>
      <c r="AC121" s="517"/>
      <c r="AD121" s="517"/>
      <c r="AE121" s="517"/>
      <c r="AF121" s="517"/>
      <c r="AG121" s="517"/>
      <c r="AH121" s="517"/>
    </row>
    <row r="122" spans="1:34" s="518" customFormat="1" ht="12" customHeight="1">
      <c r="A122" s="515"/>
      <c r="B122" s="590"/>
      <c r="C122" s="617" t="s">
        <v>729</v>
      </c>
      <c r="D122" s="404"/>
      <c r="E122" s="404"/>
      <c r="F122" s="618">
        <v>1</v>
      </c>
      <c r="G122" s="619">
        <f>F122*14</f>
        <v>14</v>
      </c>
      <c r="H122" s="620">
        <v>21</v>
      </c>
      <c r="I122" s="621"/>
      <c r="J122" s="622"/>
      <c r="K122" s="827"/>
      <c r="L122" s="827"/>
      <c r="M122" s="827"/>
      <c r="N122" s="827"/>
      <c r="O122" s="827"/>
      <c r="P122" s="827"/>
      <c r="Q122" s="525" t="str">
        <f t="shared" si="24"/>
        <v/>
      </c>
      <c r="R122" s="623"/>
      <c r="S122" s="624"/>
      <c r="T122" s="516"/>
      <c r="U122" s="516"/>
      <c r="V122" s="508"/>
      <c r="W122" s="517"/>
      <c r="X122" s="517"/>
      <c r="Y122" s="517"/>
      <c r="Z122" s="517"/>
      <c r="AA122" s="517"/>
      <c r="AB122" s="517"/>
      <c r="AC122" s="517"/>
      <c r="AD122" s="517"/>
      <c r="AE122" s="517"/>
      <c r="AF122" s="517"/>
    </row>
    <row r="123" spans="1:34" s="518" customFormat="1" ht="12" customHeight="1">
      <c r="A123" s="515"/>
      <c r="B123" s="515"/>
      <c r="C123" s="617" t="s">
        <v>727</v>
      </c>
      <c r="D123" s="404"/>
      <c r="E123" s="404"/>
      <c r="F123" s="618">
        <v>1</v>
      </c>
      <c r="G123" s="619">
        <f>F123*21</f>
        <v>21</v>
      </c>
      <c r="H123" s="620">
        <v>28</v>
      </c>
      <c r="I123" s="621"/>
      <c r="J123" s="622"/>
      <c r="K123" s="827"/>
      <c r="L123" s="827"/>
      <c r="M123" s="827"/>
      <c r="N123" s="827"/>
      <c r="O123" s="827"/>
      <c r="P123" s="827"/>
      <c r="Q123" s="525" t="str">
        <f t="shared" si="24"/>
        <v/>
      </c>
      <c r="R123" s="625"/>
      <c r="S123" s="624"/>
      <c r="T123" s="516"/>
      <c r="U123" s="516"/>
      <c r="V123" s="508"/>
      <c r="W123" s="517"/>
      <c r="X123" s="517"/>
      <c r="Y123" s="517"/>
      <c r="Z123" s="517"/>
      <c r="AA123" s="517"/>
      <c r="AB123" s="517"/>
      <c r="AC123" s="517"/>
      <c r="AD123" s="517"/>
      <c r="AE123" s="517"/>
      <c r="AF123" s="517"/>
    </row>
    <row r="124" spans="1:34" s="518" customFormat="1" ht="12" hidden="1" customHeight="1">
      <c r="A124" s="515"/>
      <c r="B124" s="515"/>
      <c r="C124" s="617" t="s">
        <v>140</v>
      </c>
      <c r="D124" s="404"/>
      <c r="E124" s="404"/>
      <c r="F124" s="626"/>
      <c r="G124" s="619" t="s">
        <v>268</v>
      </c>
      <c r="H124" s="620"/>
      <c r="I124" s="621"/>
      <c r="J124" s="622"/>
      <c r="K124" s="827"/>
      <c r="L124" s="827"/>
      <c r="M124" s="827"/>
      <c r="N124" s="827"/>
      <c r="O124" s="827"/>
      <c r="P124" s="827"/>
      <c r="Q124" s="525" t="str">
        <f t="shared" si="24"/>
        <v>verbergen</v>
      </c>
      <c r="R124" s="625"/>
      <c r="S124" s="624"/>
      <c r="T124" s="516"/>
      <c r="U124" s="516"/>
      <c r="V124" s="508"/>
      <c r="W124" s="517"/>
      <c r="X124" s="517"/>
      <c r="Y124" s="517"/>
      <c r="Z124" s="517"/>
      <c r="AA124" s="517"/>
      <c r="AB124" s="517"/>
      <c r="AC124" s="517"/>
      <c r="AD124" s="517"/>
      <c r="AE124" s="517"/>
      <c r="AF124" s="517"/>
    </row>
    <row r="125" spans="1:34" s="518" customFormat="1" ht="12" hidden="1" customHeight="1">
      <c r="A125" s="515"/>
      <c r="B125" s="515"/>
      <c r="C125" s="617" t="s">
        <v>140</v>
      </c>
      <c r="D125" s="404"/>
      <c r="E125" s="404"/>
      <c r="F125" s="626"/>
      <c r="G125" s="619" t="s">
        <v>268</v>
      </c>
      <c r="H125" s="620"/>
      <c r="I125" s="621"/>
      <c r="J125" s="622"/>
      <c r="K125" s="827"/>
      <c r="L125" s="827"/>
      <c r="M125" s="827"/>
      <c r="N125" s="827"/>
      <c r="O125" s="827"/>
      <c r="P125" s="827"/>
      <c r="Q125" s="525" t="str">
        <f t="shared" si="24"/>
        <v>verbergen</v>
      </c>
      <c r="R125" s="625"/>
      <c r="S125" s="624"/>
      <c r="T125" s="516"/>
      <c r="U125" s="516"/>
      <c r="V125" s="508"/>
      <c r="W125" s="517"/>
      <c r="X125" s="517"/>
      <c r="Y125" s="517"/>
      <c r="Z125" s="517"/>
      <c r="AA125" s="517"/>
      <c r="AB125" s="517"/>
      <c r="AC125" s="517"/>
      <c r="AD125" s="517"/>
      <c r="AE125" s="517"/>
      <c r="AF125" s="517"/>
    </row>
    <row r="126" spans="1:34" s="518" customFormat="1" ht="12" hidden="1" customHeight="1">
      <c r="A126" s="515"/>
      <c r="B126" s="515"/>
      <c r="C126" s="627" t="s">
        <v>140</v>
      </c>
      <c r="D126" s="628"/>
      <c r="E126" s="628"/>
      <c r="F126" s="629"/>
      <c r="G126" s="630" t="s">
        <v>268</v>
      </c>
      <c r="H126" s="631"/>
      <c r="I126" s="632"/>
      <c r="J126" s="633"/>
      <c r="K126" s="828"/>
      <c r="L126" s="828"/>
      <c r="M126" s="828"/>
      <c r="N126" s="828"/>
      <c r="O126" s="828"/>
      <c r="P126" s="828"/>
      <c r="Q126" s="525" t="str">
        <f t="shared" si="24"/>
        <v>verbergen</v>
      </c>
      <c r="R126" s="625"/>
      <c r="S126" s="624"/>
      <c r="T126" s="516"/>
      <c r="U126" s="516"/>
      <c r="V126" s="508"/>
      <c r="W126" s="517"/>
      <c r="X126" s="517"/>
      <c r="Y126" s="517"/>
      <c r="Z126" s="517"/>
      <c r="AA126" s="517"/>
      <c r="AB126" s="517"/>
      <c r="AC126" s="517"/>
      <c r="AD126" s="517"/>
      <c r="AE126" s="517"/>
      <c r="AF126" s="517"/>
    </row>
    <row r="127" spans="1:34" s="518" customFormat="1" ht="12" customHeight="1">
      <c r="A127" s="515"/>
      <c r="B127" s="515"/>
      <c r="C127" s="634" t="s">
        <v>16</v>
      </c>
      <c r="D127" s="592"/>
      <c r="E127" s="592"/>
      <c r="F127" s="635"/>
      <c r="G127" s="636">
        <f>SUM(G121:G126)</f>
        <v>49</v>
      </c>
      <c r="H127" s="636">
        <f>SUM(H121:H126)</f>
        <v>77</v>
      </c>
      <c r="I127" s="637"/>
      <c r="J127" s="732" t="str">
        <f>IF(M127="","","toe- en afvoer niet in balans")</f>
        <v/>
      </c>
      <c r="K127" s="638"/>
      <c r="L127" s="639"/>
      <c r="M127" s="829" t="str">
        <f>IF(SUMIF(F83:F117,R127,H83:H117)-H127-H139=0,"",SUMIF(F83:F117,R127,H83:H117)-H127-H139)</f>
        <v/>
      </c>
      <c r="N127" s="830"/>
      <c r="O127" s="830"/>
      <c r="P127" s="830"/>
      <c r="Q127" s="525"/>
      <c r="R127" s="625" t="str">
        <f>IF(OR(RIGHT(LEFT(D74,9),1)="A",RIGHT(LEFT(D74,9),1)="C"),"NT","MT")</f>
        <v>MT</v>
      </c>
      <c r="S127" s="624"/>
      <c r="T127" s="516"/>
      <c r="U127" s="516"/>
      <c r="V127" s="508"/>
      <c r="W127" s="517"/>
      <c r="X127" s="517"/>
      <c r="Y127" s="517"/>
      <c r="Z127" s="517"/>
      <c r="AA127" s="517"/>
      <c r="AB127" s="517"/>
      <c r="AC127" s="517"/>
      <c r="AD127" s="517"/>
      <c r="AE127" s="517"/>
      <c r="AF127" s="517"/>
    </row>
    <row r="128" spans="1:34" s="518" customFormat="1" ht="12" customHeight="1">
      <c r="A128" s="515"/>
      <c r="B128" s="515"/>
      <c r="C128" s="640"/>
      <c r="D128" s="831"/>
      <c r="E128" s="831"/>
      <c r="F128" s="641"/>
      <c r="G128" s="642">
        <f>G127*3.6</f>
        <v>176.4</v>
      </c>
      <c r="H128" s="642">
        <f>H127*3.6</f>
        <v>277.2</v>
      </c>
      <c r="I128" s="643"/>
      <c r="J128" s="404"/>
      <c r="K128" s="422"/>
      <c r="L128" s="614"/>
      <c r="M128" s="826"/>
      <c r="N128" s="826"/>
      <c r="O128" s="565"/>
      <c r="P128" s="615"/>
      <c r="Q128" s="525"/>
      <c r="R128" s="625"/>
      <c r="S128" s="624"/>
      <c r="T128" s="516"/>
      <c r="U128" s="516"/>
      <c r="V128" s="508"/>
      <c r="W128" s="517"/>
      <c r="X128" s="517"/>
      <c r="Y128" s="517"/>
      <c r="Z128" s="517"/>
      <c r="AA128" s="517"/>
      <c r="AB128" s="517"/>
      <c r="AC128" s="517"/>
      <c r="AD128" s="517"/>
      <c r="AE128" s="517"/>
      <c r="AF128" s="517"/>
    </row>
    <row r="129" spans="1:32" s="518" customFormat="1" ht="12" customHeight="1">
      <c r="A129" s="515"/>
      <c r="B129" s="515"/>
      <c r="C129" s="640"/>
      <c r="D129" s="733"/>
      <c r="E129" s="733"/>
      <c r="F129" s="641"/>
      <c r="G129" s="642"/>
      <c r="H129" s="731"/>
      <c r="I129" s="731"/>
      <c r="J129" s="404"/>
      <c r="K129" s="422"/>
      <c r="L129" s="614"/>
      <c r="M129" s="731"/>
      <c r="N129" s="731"/>
      <c r="O129" s="565"/>
      <c r="P129" s="615"/>
      <c r="Q129" s="525"/>
      <c r="R129" s="625"/>
      <c r="S129" s="624"/>
      <c r="T129" s="516"/>
      <c r="U129" s="516"/>
      <c r="V129" s="508"/>
      <c r="W129" s="517"/>
      <c r="X129" s="517"/>
      <c r="Y129" s="517"/>
      <c r="Z129" s="517"/>
      <c r="AA129" s="517"/>
      <c r="AB129" s="517"/>
      <c r="AC129" s="517"/>
      <c r="AD129" s="517"/>
      <c r="AE129" s="517"/>
      <c r="AF129" s="517"/>
    </row>
    <row r="130" spans="1:32" s="518" customFormat="1" ht="12" hidden="1" customHeight="1">
      <c r="A130" s="515"/>
      <c r="B130" s="515"/>
      <c r="C130" s="457" t="s">
        <v>1087</v>
      </c>
      <c r="D130" s="457"/>
      <c r="E130" s="457"/>
      <c r="F130" s="457"/>
      <c r="G130" s="457"/>
      <c r="H130" s="457"/>
      <c r="I130" s="457"/>
      <c r="J130" s="457"/>
      <c r="K130" s="457"/>
      <c r="L130" s="457"/>
      <c r="M130" s="457"/>
      <c r="N130" s="457"/>
      <c r="O130" s="457"/>
      <c r="P130" s="457"/>
      <c r="Q130" s="525" t="str">
        <f>IF(D77="n.v.t.","verbergen","")</f>
        <v>verbergen</v>
      </c>
      <c r="R130" s="625"/>
      <c r="S130" s="624"/>
      <c r="T130" s="516"/>
      <c r="U130" s="516"/>
      <c r="V130" s="508"/>
      <c r="W130" s="517"/>
      <c r="X130" s="517"/>
      <c r="Y130" s="517"/>
      <c r="Z130" s="517"/>
      <c r="AA130" s="517"/>
      <c r="AB130" s="517"/>
      <c r="AC130" s="517"/>
      <c r="AD130" s="517"/>
      <c r="AE130" s="517"/>
      <c r="AF130" s="517"/>
    </row>
    <row r="131" spans="1:32" s="518" customFormat="1" ht="12" hidden="1" customHeight="1">
      <c r="A131" s="515"/>
      <c r="B131" s="515"/>
      <c r="C131" s="458"/>
      <c r="D131" s="458"/>
      <c r="E131" s="458"/>
      <c r="F131" s="458"/>
      <c r="G131" s="458"/>
      <c r="H131" s="459"/>
      <c r="I131" s="459"/>
      <c r="J131" s="459"/>
      <c r="K131" s="459"/>
      <c r="L131" s="459"/>
      <c r="M131" s="459"/>
      <c r="N131" s="459"/>
      <c r="O131" s="459"/>
      <c r="P131" s="459"/>
      <c r="Q131" s="525"/>
      <c r="R131" s="625"/>
      <c r="S131" s="624"/>
      <c r="T131" s="516"/>
      <c r="U131" s="516"/>
      <c r="V131" s="508"/>
      <c r="W131" s="517"/>
      <c r="X131" s="517"/>
      <c r="Y131" s="517"/>
      <c r="Z131" s="517"/>
      <c r="AA131" s="517"/>
      <c r="AB131" s="517"/>
      <c r="AC131" s="517"/>
      <c r="AD131" s="517"/>
      <c r="AE131" s="517"/>
      <c r="AF131" s="517"/>
    </row>
    <row r="132" spans="1:32" s="518" customFormat="1" ht="12" hidden="1" customHeight="1">
      <c r="A132" s="515"/>
      <c r="B132" s="515"/>
      <c r="C132" s="579" t="s">
        <v>133</v>
      </c>
      <c r="D132" s="580"/>
      <c r="E132" s="580"/>
      <c r="F132" s="460" t="s">
        <v>653</v>
      </c>
      <c r="G132" s="736" t="s">
        <v>34</v>
      </c>
      <c r="H132" s="736" t="str">
        <f>IF(S16=3,"","aanwezig")</f>
        <v>aanwezig</v>
      </c>
      <c r="I132" s="580"/>
      <c r="J132" s="580"/>
      <c r="K132" s="580"/>
      <c r="L132" s="580"/>
      <c r="M132" s="580"/>
      <c r="N132" s="580"/>
      <c r="O132" s="580"/>
      <c r="P132" s="580"/>
      <c r="Q132" s="525" t="str">
        <f>IF(D77="n.v.t.","verbergen","")</f>
        <v>verbergen</v>
      </c>
      <c r="R132" s="625"/>
      <c r="S132" s="624"/>
      <c r="T132" s="516"/>
      <c r="U132" s="516"/>
      <c r="V132" s="508"/>
      <c r="W132" s="517"/>
      <c r="X132" s="517"/>
      <c r="Y132" s="517"/>
      <c r="Z132" s="517"/>
      <c r="AA132" s="517"/>
      <c r="AB132" s="517"/>
      <c r="AC132" s="517"/>
      <c r="AD132" s="517"/>
      <c r="AE132" s="517"/>
      <c r="AF132" s="517"/>
    </row>
    <row r="133" spans="1:32" s="518" customFormat="1" ht="12" customHeight="1">
      <c r="A133" s="515"/>
      <c r="B133" s="515"/>
      <c r="C133" s="617" t="s">
        <v>739</v>
      </c>
      <c r="D133" s="404"/>
      <c r="E133" s="404"/>
      <c r="F133" s="618">
        <v>1</v>
      </c>
      <c r="G133" s="619">
        <f>F133*7</f>
        <v>7</v>
      </c>
      <c r="H133" s="620">
        <f>G133</f>
        <v>7</v>
      </c>
      <c r="I133" s="621"/>
      <c r="J133" s="622"/>
      <c r="K133" s="827"/>
      <c r="L133" s="827"/>
      <c r="M133" s="827"/>
      <c r="N133" s="827"/>
      <c r="O133" s="827"/>
      <c r="P133" s="827"/>
      <c r="Q133" s="525" t="str">
        <f>IF(H133&gt;0,"","verbergen")</f>
        <v/>
      </c>
      <c r="R133" s="625"/>
      <c r="S133" s="624"/>
      <c r="T133" s="516"/>
      <c r="U133" s="516"/>
      <c r="V133" s="508"/>
      <c r="W133" s="517"/>
      <c r="X133" s="517"/>
      <c r="Y133" s="517"/>
      <c r="Z133" s="517"/>
      <c r="AA133" s="517"/>
      <c r="AB133" s="517"/>
      <c r="AC133" s="517"/>
      <c r="AD133" s="517"/>
      <c r="AE133" s="517"/>
      <c r="AF133" s="517"/>
    </row>
    <row r="134" spans="1:32" s="518" customFormat="1" ht="12" hidden="1" customHeight="1">
      <c r="A134" s="515"/>
      <c r="B134" s="515"/>
      <c r="C134" s="617" t="s">
        <v>739</v>
      </c>
      <c r="D134" s="404"/>
      <c r="E134" s="404"/>
      <c r="F134" s="618">
        <v>0</v>
      </c>
      <c r="G134" s="619">
        <f>F134*14</f>
        <v>0</v>
      </c>
      <c r="H134" s="620">
        <f>G134</f>
        <v>0</v>
      </c>
      <c r="I134" s="621"/>
      <c r="J134" s="622"/>
      <c r="K134" s="827"/>
      <c r="L134" s="827"/>
      <c r="M134" s="827"/>
      <c r="N134" s="827"/>
      <c r="O134" s="827"/>
      <c r="P134" s="827"/>
      <c r="Q134" s="525" t="str">
        <f t="shared" ref="Q134:Q138" si="25">IF(H134&gt;0,"","verbergen")</f>
        <v>verbergen</v>
      </c>
      <c r="R134" s="625"/>
      <c r="S134" s="624"/>
      <c r="T134" s="516"/>
      <c r="U134" s="516"/>
      <c r="V134" s="508"/>
      <c r="W134" s="517"/>
      <c r="X134" s="517"/>
      <c r="Y134" s="517"/>
      <c r="Z134" s="517"/>
      <c r="AA134" s="517"/>
      <c r="AB134" s="517"/>
      <c r="AC134" s="517"/>
      <c r="AD134" s="517"/>
      <c r="AE134" s="517"/>
      <c r="AF134" s="517"/>
    </row>
    <row r="135" spans="1:32" s="518" customFormat="1" ht="12" customHeight="1">
      <c r="A135" s="515"/>
      <c r="B135" s="515"/>
      <c r="C135" s="617" t="s">
        <v>740</v>
      </c>
      <c r="D135" s="404"/>
      <c r="E135" s="404"/>
      <c r="F135" s="618">
        <v>1</v>
      </c>
      <c r="G135" s="619">
        <f>F135*7</f>
        <v>7</v>
      </c>
      <c r="H135" s="620">
        <f>G135</f>
        <v>7</v>
      </c>
      <c r="I135" s="621"/>
      <c r="J135" s="622"/>
      <c r="K135" s="827"/>
      <c r="L135" s="827"/>
      <c r="M135" s="827"/>
      <c r="N135" s="827"/>
      <c r="O135" s="827"/>
      <c r="P135" s="827"/>
      <c r="Q135" s="525" t="str">
        <f t="shared" si="25"/>
        <v/>
      </c>
      <c r="R135" s="625"/>
      <c r="S135" s="624"/>
      <c r="T135" s="516"/>
      <c r="U135" s="516"/>
      <c r="V135" s="508"/>
      <c r="W135" s="517"/>
      <c r="X135" s="517"/>
      <c r="Y135" s="517"/>
      <c r="Z135" s="517"/>
      <c r="AA135" s="517"/>
      <c r="AB135" s="517"/>
      <c r="AC135" s="517"/>
      <c r="AD135" s="517"/>
      <c r="AE135" s="517"/>
      <c r="AF135" s="517"/>
    </row>
    <row r="136" spans="1:32" s="518" customFormat="1" ht="12" hidden="1" customHeight="1">
      <c r="A136" s="515"/>
      <c r="B136" s="515"/>
      <c r="C136" s="617" t="s">
        <v>140</v>
      </c>
      <c r="D136" s="404"/>
      <c r="E136" s="404"/>
      <c r="F136" s="626"/>
      <c r="G136" s="619" t="s">
        <v>268</v>
      </c>
      <c r="H136" s="620"/>
      <c r="I136" s="621"/>
      <c r="J136" s="622"/>
      <c r="K136" s="827"/>
      <c r="L136" s="827"/>
      <c r="M136" s="827"/>
      <c r="N136" s="827"/>
      <c r="O136" s="827"/>
      <c r="P136" s="827"/>
      <c r="Q136" s="525" t="str">
        <f t="shared" si="25"/>
        <v>verbergen</v>
      </c>
      <c r="R136" s="625"/>
      <c r="S136" s="624"/>
      <c r="T136" s="516"/>
      <c r="U136" s="516"/>
      <c r="V136" s="508"/>
      <c r="W136" s="517"/>
      <c r="X136" s="517"/>
      <c r="Y136" s="517"/>
      <c r="Z136" s="517"/>
      <c r="AA136" s="517"/>
      <c r="AB136" s="517"/>
      <c r="AC136" s="517"/>
      <c r="AD136" s="517"/>
      <c r="AE136" s="517"/>
      <c r="AF136" s="517"/>
    </row>
    <row r="137" spans="1:32" s="518" customFormat="1" ht="12" hidden="1" customHeight="1">
      <c r="A137" s="515"/>
      <c r="B137" s="515"/>
      <c r="C137" s="617" t="s">
        <v>140</v>
      </c>
      <c r="D137" s="404"/>
      <c r="E137" s="404"/>
      <c r="F137" s="626"/>
      <c r="G137" s="619" t="s">
        <v>268</v>
      </c>
      <c r="H137" s="620"/>
      <c r="I137" s="621"/>
      <c r="J137" s="622"/>
      <c r="K137" s="827"/>
      <c r="L137" s="827"/>
      <c r="M137" s="827"/>
      <c r="N137" s="827"/>
      <c r="O137" s="827"/>
      <c r="P137" s="827"/>
      <c r="Q137" s="525" t="str">
        <f t="shared" si="25"/>
        <v>verbergen</v>
      </c>
      <c r="R137" s="625"/>
      <c r="S137" s="624"/>
      <c r="T137" s="516"/>
      <c r="U137" s="516"/>
      <c r="V137" s="508"/>
      <c r="W137" s="517"/>
      <c r="X137" s="517"/>
      <c r="Y137" s="517"/>
      <c r="Z137" s="517"/>
      <c r="AA137" s="517"/>
      <c r="AB137" s="517"/>
      <c r="AC137" s="517"/>
      <c r="AD137" s="517"/>
      <c r="AE137" s="517"/>
      <c r="AF137" s="517"/>
    </row>
    <row r="138" spans="1:32" s="518" customFormat="1" ht="12" hidden="1" customHeight="1">
      <c r="A138" s="515"/>
      <c r="B138" s="515"/>
      <c r="C138" s="627" t="s">
        <v>140</v>
      </c>
      <c r="D138" s="628"/>
      <c r="E138" s="628"/>
      <c r="F138" s="629"/>
      <c r="G138" s="630" t="s">
        <v>268</v>
      </c>
      <c r="H138" s="631"/>
      <c r="I138" s="632"/>
      <c r="J138" s="633"/>
      <c r="K138" s="828"/>
      <c r="L138" s="828"/>
      <c r="M138" s="828"/>
      <c r="N138" s="828"/>
      <c r="O138" s="828"/>
      <c r="P138" s="828"/>
      <c r="Q138" s="525" t="str">
        <f t="shared" si="25"/>
        <v>verbergen</v>
      </c>
      <c r="R138" s="625"/>
      <c r="S138" s="624"/>
      <c r="T138" s="516"/>
      <c r="U138" s="516"/>
      <c r="V138" s="508"/>
      <c r="W138" s="517"/>
      <c r="X138" s="517"/>
      <c r="Y138" s="517"/>
      <c r="Z138" s="517"/>
      <c r="AA138" s="517"/>
      <c r="AB138" s="517"/>
      <c r="AC138" s="517"/>
      <c r="AD138" s="517"/>
      <c r="AE138" s="517"/>
      <c r="AF138" s="517"/>
    </row>
    <row r="139" spans="1:32" s="518" customFormat="1" ht="12" hidden="1" customHeight="1">
      <c r="A139" s="515"/>
      <c r="B139" s="515"/>
      <c r="C139" s="634" t="s">
        <v>16</v>
      </c>
      <c r="D139" s="592"/>
      <c r="E139" s="592"/>
      <c r="F139" s="635"/>
      <c r="G139" s="636">
        <f>SUM(G133:G138)</f>
        <v>14</v>
      </c>
      <c r="H139" s="636">
        <f>SUM(H133:H138)</f>
        <v>14</v>
      </c>
      <c r="I139" s="637"/>
      <c r="J139" s="732"/>
      <c r="K139" s="638"/>
      <c r="L139" s="639"/>
      <c r="M139" s="830"/>
      <c r="N139" s="830"/>
      <c r="O139" s="830"/>
      <c r="P139" s="830"/>
      <c r="Q139" s="525" t="str">
        <f>IF(D77="n.v.t.","verbergen","")</f>
        <v>verbergen</v>
      </c>
      <c r="R139" s="625"/>
      <c r="S139" s="624"/>
      <c r="T139" s="516"/>
      <c r="U139" s="516"/>
      <c r="V139" s="508"/>
      <c r="W139" s="517"/>
      <c r="X139" s="517"/>
      <c r="Y139" s="517"/>
      <c r="Z139" s="517"/>
      <c r="AA139" s="517"/>
      <c r="AB139" s="517"/>
      <c r="AC139" s="517"/>
      <c r="AD139" s="517"/>
      <c r="AE139" s="517"/>
      <c r="AF139" s="517"/>
    </row>
    <row r="140" spans="1:32" s="518" customFormat="1" ht="12" hidden="1" customHeight="1">
      <c r="A140" s="515"/>
      <c r="B140" s="515"/>
      <c r="C140" s="640"/>
      <c r="D140" s="831"/>
      <c r="E140" s="831"/>
      <c r="F140" s="641"/>
      <c r="G140" s="642">
        <f>G139*3.6</f>
        <v>50.4</v>
      </c>
      <c r="H140" s="642">
        <f>H139*3.6</f>
        <v>50.4</v>
      </c>
      <c r="I140" s="643"/>
      <c r="J140" s="404"/>
      <c r="K140" s="422"/>
      <c r="L140" s="614"/>
      <c r="M140" s="826"/>
      <c r="N140" s="826"/>
      <c r="O140" s="565"/>
      <c r="P140" s="615"/>
      <c r="Q140" s="525" t="str">
        <f>IF(D77="n.v.t.","verbergen","")</f>
        <v>verbergen</v>
      </c>
      <c r="R140" s="625"/>
      <c r="S140" s="624"/>
      <c r="T140" s="516"/>
      <c r="U140" s="516"/>
      <c r="V140" s="508"/>
      <c r="W140" s="517"/>
      <c r="X140" s="517"/>
      <c r="Y140" s="517"/>
      <c r="Z140" s="517"/>
      <c r="AA140" s="517"/>
      <c r="AB140" s="517"/>
      <c r="AC140" s="517"/>
      <c r="AD140" s="517"/>
      <c r="AE140" s="517"/>
      <c r="AF140" s="517"/>
    </row>
    <row r="141" spans="1:32" s="518" customFormat="1" ht="15" customHeight="1">
      <c r="A141" s="515"/>
      <c r="B141" s="515"/>
      <c r="C141" s="644" t="s">
        <v>1088</v>
      </c>
      <c r="D141" s="645"/>
      <c r="E141" s="645"/>
      <c r="F141" s="645"/>
      <c r="G141" s="645"/>
      <c r="H141" s="645"/>
      <c r="I141" s="645"/>
      <c r="J141" s="645"/>
      <c r="K141" s="645"/>
      <c r="L141" s="645"/>
      <c r="M141" s="645"/>
      <c r="N141" s="645"/>
      <c r="O141" s="645"/>
      <c r="P141" s="645"/>
      <c r="Q141" s="516" t="str">
        <f>IF(D72="berekening op basis van minimale capaciteit","verbergen","")</f>
        <v/>
      </c>
      <c r="R141" s="616"/>
      <c r="S141" s="516"/>
      <c r="T141" s="521"/>
      <c r="U141" s="516"/>
      <c r="V141" s="517"/>
      <c r="W141" s="517"/>
      <c r="X141" s="517"/>
      <c r="Y141" s="517"/>
      <c r="Z141" s="517"/>
      <c r="AA141" s="517"/>
      <c r="AB141" s="517"/>
      <c r="AC141" s="524"/>
      <c r="AD141" s="517"/>
      <c r="AE141" s="517"/>
      <c r="AF141" s="517"/>
    </row>
    <row r="142" spans="1:32" s="518" customFormat="1" ht="12.75" hidden="1" customHeight="1">
      <c r="A142" s="515"/>
      <c r="B142" s="515"/>
      <c r="C142" s="576"/>
      <c r="D142" s="576"/>
      <c r="E142" s="576"/>
      <c r="F142" s="576"/>
      <c r="G142" s="576"/>
      <c r="H142" s="577"/>
      <c r="I142" s="577"/>
      <c r="J142" s="577"/>
      <c r="K142" s="577"/>
      <c r="L142" s="577"/>
      <c r="M142" s="577"/>
      <c r="N142" s="577"/>
      <c r="O142" s="577"/>
      <c r="P142" s="577"/>
      <c r="Q142" s="522"/>
      <c r="R142" s="516"/>
      <c r="S142" s="516"/>
      <c r="T142" s="521"/>
      <c r="U142" s="516"/>
      <c r="V142" s="548"/>
      <c r="W142" s="548"/>
      <c r="X142" s="548"/>
      <c r="Y142" s="548"/>
      <c r="Z142" s="517"/>
      <c r="AA142" s="517"/>
      <c r="AB142" s="517"/>
      <c r="AC142" s="524"/>
      <c r="AD142" s="517"/>
      <c r="AE142" s="517"/>
      <c r="AF142" s="517"/>
    </row>
    <row r="143" spans="1:32" ht="15" customHeight="1">
      <c r="A143" s="492"/>
      <c r="B143" s="492"/>
      <c r="C143" s="579" t="s">
        <v>730</v>
      </c>
      <c r="D143" s="580"/>
      <c r="E143" s="646" t="s">
        <v>731</v>
      </c>
      <c r="F143" s="580"/>
      <c r="G143" s="580"/>
      <c r="H143" s="460" t="s">
        <v>732</v>
      </c>
      <c r="I143" s="832" t="s">
        <v>605</v>
      </c>
      <c r="J143" s="832"/>
      <c r="K143" s="580"/>
      <c r="L143" s="580"/>
      <c r="M143" s="580"/>
      <c r="N143" s="580"/>
      <c r="O143" s="580"/>
      <c r="P143" s="580"/>
      <c r="Q143" s="507" t="str">
        <f>IF(D72="berekening op basis van minimale capaciteit","verbergen","")</f>
        <v/>
      </c>
      <c r="R143" s="507"/>
      <c r="S143" s="507"/>
      <c r="T143" s="532"/>
      <c r="U143" s="507"/>
      <c r="V143" s="508"/>
      <c r="W143" s="508"/>
      <c r="X143" s="508"/>
      <c r="Y143" s="508"/>
      <c r="Z143" s="508"/>
      <c r="AA143" s="508"/>
      <c r="AB143" s="508"/>
      <c r="AC143" s="534"/>
      <c r="AD143" s="508"/>
      <c r="AE143" s="508"/>
      <c r="AF143" s="508"/>
    </row>
    <row r="144" spans="1:32" s="518" customFormat="1" ht="12" customHeight="1">
      <c r="A144" s="516"/>
      <c r="B144" s="515"/>
      <c r="C144" s="464" t="str">
        <f>L28</f>
        <v>woonkamer / eetkamer</v>
      </c>
      <c r="D144" s="100" t="s">
        <v>141</v>
      </c>
      <c r="E144" s="464" t="str">
        <f>L29</f>
        <v>keuken</v>
      </c>
      <c r="F144" s="586"/>
      <c r="G144" s="586"/>
      <c r="H144" s="647">
        <v>21</v>
      </c>
      <c r="I144" s="833">
        <f>H144*12</f>
        <v>252</v>
      </c>
      <c r="J144" s="833"/>
      <c r="K144" s="834" t="str">
        <f>IF(I144&gt;180,"zie rapport voor nadere toelichting overstroomvoorzieningen","")</f>
        <v>zie rapport voor nadere toelichting overstroomvoorzieningen</v>
      </c>
      <c r="L144" s="834"/>
      <c r="M144" s="834"/>
      <c r="N144" s="834"/>
      <c r="O144" s="834"/>
      <c r="P144" s="834"/>
      <c r="Q144" s="525" t="str">
        <f t="shared" ref="Q144:Q148" si="26">IF(H144=0,"verbergen","")</f>
        <v/>
      </c>
      <c r="R144" s="516"/>
      <c r="S144" s="516"/>
      <c r="T144" s="521"/>
      <c r="U144" s="516"/>
      <c r="V144" s="517"/>
      <c r="W144" s="517"/>
      <c r="X144" s="517"/>
      <c r="Y144" s="517"/>
      <c r="Z144" s="508">
        <v>1</v>
      </c>
      <c r="AA144" s="648"/>
      <c r="AB144" s="517"/>
      <c r="AC144" s="517"/>
      <c r="AD144" s="517"/>
      <c r="AE144" s="517"/>
      <c r="AF144" s="517"/>
    </row>
    <row r="145" spans="1:32" s="518" customFormat="1" ht="12" customHeight="1">
      <c r="A145" s="516"/>
      <c r="B145" s="515"/>
      <c r="C145" s="464" t="str">
        <f>L28</f>
        <v>woonkamer / eetkamer</v>
      </c>
      <c r="D145" s="100" t="s">
        <v>141</v>
      </c>
      <c r="E145" s="464" t="s">
        <v>1159</v>
      </c>
      <c r="F145" s="586"/>
      <c r="G145" s="586"/>
      <c r="H145" s="647">
        <v>14</v>
      </c>
      <c r="I145" s="833">
        <f t="shared" ref="I145:I148" si="27">H145*12</f>
        <v>168</v>
      </c>
      <c r="J145" s="833"/>
      <c r="K145" s="834" t="str">
        <f>IF(I145&gt;180,"zie rapport voor nadere toelichting overstroomvoorzieningen","")</f>
        <v/>
      </c>
      <c r="L145" s="834"/>
      <c r="M145" s="834"/>
      <c r="N145" s="834"/>
      <c r="O145" s="834"/>
      <c r="P145" s="834"/>
      <c r="Q145" s="525" t="str">
        <f t="shared" si="26"/>
        <v/>
      </c>
      <c r="R145" s="516"/>
      <c r="S145" s="516"/>
      <c r="T145" s="521"/>
      <c r="U145" s="516"/>
      <c r="V145" s="517"/>
      <c r="W145" s="517"/>
      <c r="X145" s="517"/>
      <c r="Y145" s="517"/>
      <c r="Z145" s="508">
        <v>1</v>
      </c>
      <c r="AA145" s="648"/>
      <c r="AB145" s="517"/>
      <c r="AC145" s="517"/>
      <c r="AD145" s="517"/>
      <c r="AE145" s="517"/>
      <c r="AF145" s="517"/>
    </row>
    <row r="146" spans="1:32" s="518" customFormat="1" ht="12" hidden="1" customHeight="1">
      <c r="A146" s="516"/>
      <c r="B146" s="515"/>
      <c r="C146" s="464" t="s">
        <v>140</v>
      </c>
      <c r="D146" s="100" t="s">
        <v>141</v>
      </c>
      <c r="E146" s="464" t="s">
        <v>140</v>
      </c>
      <c r="F146" s="586"/>
      <c r="G146" s="586"/>
      <c r="H146" s="647">
        <v>0</v>
      </c>
      <c r="I146" s="833">
        <f t="shared" si="27"/>
        <v>0</v>
      </c>
      <c r="J146" s="833"/>
      <c r="K146" s="834" t="str">
        <f>IF(I146&gt;180,"zie rapport voor nadere toelichting overstroomvoorzieningen","")</f>
        <v/>
      </c>
      <c r="L146" s="834"/>
      <c r="M146" s="834"/>
      <c r="N146" s="834"/>
      <c r="O146" s="834"/>
      <c r="P146" s="834"/>
      <c r="Q146" s="525" t="str">
        <f t="shared" si="26"/>
        <v>verbergen</v>
      </c>
      <c r="R146" s="516"/>
      <c r="S146" s="516"/>
      <c r="T146" s="521"/>
      <c r="U146" s="516"/>
      <c r="V146" s="517"/>
      <c r="W146" s="517"/>
      <c r="X146" s="517"/>
      <c r="Y146" s="517"/>
      <c r="Z146" s="508">
        <v>1</v>
      </c>
      <c r="AA146" s="648"/>
      <c r="AB146" s="517"/>
      <c r="AC146" s="517"/>
      <c r="AD146" s="517"/>
      <c r="AE146" s="517"/>
      <c r="AF146" s="517"/>
    </row>
    <row r="147" spans="1:32" s="518" customFormat="1" ht="12" hidden="1" customHeight="1">
      <c r="A147" s="527"/>
      <c r="B147" s="515"/>
      <c r="C147" s="464" t="s">
        <v>140</v>
      </c>
      <c r="D147" s="100" t="s">
        <v>141</v>
      </c>
      <c r="E147" s="464" t="s">
        <v>140</v>
      </c>
      <c r="F147" s="586"/>
      <c r="G147" s="404"/>
      <c r="H147" s="647">
        <v>0</v>
      </c>
      <c r="I147" s="833">
        <f t="shared" si="27"/>
        <v>0</v>
      </c>
      <c r="J147" s="833"/>
      <c r="K147" s="834" t="str">
        <f>IF(I147&gt;180,"zie rapport voor nadere toelichting overstroomvoorzieningen","")</f>
        <v/>
      </c>
      <c r="L147" s="834"/>
      <c r="M147" s="834"/>
      <c r="N147" s="834"/>
      <c r="O147" s="834"/>
      <c r="P147" s="834"/>
      <c r="Q147" s="525" t="str">
        <f t="shared" si="26"/>
        <v>verbergen</v>
      </c>
      <c r="R147" s="516"/>
      <c r="S147" s="516"/>
      <c r="T147" s="521"/>
      <c r="U147" s="516"/>
      <c r="V147" s="517"/>
      <c r="W147" s="517"/>
      <c r="X147" s="517"/>
      <c r="Y147" s="517"/>
      <c r="Z147" s="508">
        <v>1</v>
      </c>
      <c r="AA147" s="648"/>
      <c r="AB147" s="517"/>
      <c r="AC147" s="517"/>
      <c r="AD147" s="517"/>
      <c r="AE147" s="517"/>
      <c r="AF147" s="517"/>
    </row>
    <row r="148" spans="1:32" s="518" customFormat="1" ht="12" hidden="1" customHeight="1">
      <c r="A148" s="527"/>
      <c r="B148" s="515"/>
      <c r="C148" s="464" t="s">
        <v>140</v>
      </c>
      <c r="D148" s="342" t="s">
        <v>141</v>
      </c>
      <c r="E148" s="464" t="s">
        <v>140</v>
      </c>
      <c r="F148" s="609"/>
      <c r="G148" s="628"/>
      <c r="H148" s="649">
        <v>0</v>
      </c>
      <c r="I148" s="835">
        <f t="shared" si="27"/>
        <v>0</v>
      </c>
      <c r="J148" s="835"/>
      <c r="K148" s="836" t="str">
        <f>IF(I148&gt;180,"zie rapport voor nadere toelichting overstroomvoorzieningen","")</f>
        <v/>
      </c>
      <c r="L148" s="836"/>
      <c r="M148" s="836"/>
      <c r="N148" s="836"/>
      <c r="O148" s="836"/>
      <c r="P148" s="836"/>
      <c r="Q148" s="525" t="str">
        <f t="shared" si="26"/>
        <v>verbergen</v>
      </c>
      <c r="R148" s="516"/>
      <c r="S148" s="516"/>
      <c r="T148" s="521"/>
      <c r="U148" s="516"/>
      <c r="V148" s="517"/>
      <c r="W148" s="517"/>
      <c r="X148" s="517"/>
      <c r="Y148" s="517"/>
      <c r="Z148" s="508">
        <v>1</v>
      </c>
      <c r="AA148" s="648"/>
      <c r="AB148" s="517"/>
      <c r="AC148" s="517"/>
      <c r="AD148" s="517"/>
      <c r="AE148" s="517"/>
      <c r="AF148" s="517"/>
    </row>
    <row r="149" spans="1:32" s="518" customFormat="1" ht="12" customHeight="1">
      <c r="A149" s="527"/>
      <c r="B149" s="590">
        <v>1</v>
      </c>
      <c r="C149" s="480">
        <f>B149</f>
        <v>1</v>
      </c>
      <c r="D149" s="592"/>
      <c r="E149" s="592"/>
      <c r="F149" s="650"/>
      <c r="G149" s="592"/>
      <c r="H149" s="651"/>
      <c r="I149" s="652"/>
      <c r="J149" s="653"/>
      <c r="K149" s="837" t="str">
        <f>IF(MAX(P144:P148)&gt;200,"zie rapport voor nadere toelichting overstroomvoorzieningen","")</f>
        <v/>
      </c>
      <c r="L149" s="837"/>
      <c r="M149" s="837"/>
      <c r="N149" s="837"/>
      <c r="O149" s="837"/>
      <c r="P149" s="837"/>
      <c r="Q149" s="516" t="str">
        <f>IF(SUM(H144:H150)=0,"verbergen","")</f>
        <v/>
      </c>
      <c r="R149" s="516"/>
      <c r="S149" s="516"/>
      <c r="T149" s="521"/>
      <c r="U149" s="516"/>
      <c r="V149" s="517"/>
      <c r="W149" s="517"/>
      <c r="X149" s="517"/>
      <c r="Y149" s="517"/>
      <c r="Z149" s="508">
        <v>1</v>
      </c>
      <c r="AA149" s="648"/>
      <c r="AB149" s="517"/>
      <c r="AC149" s="517"/>
      <c r="AD149" s="517"/>
      <c r="AE149" s="517"/>
      <c r="AF149" s="517"/>
    </row>
    <row r="150" spans="1:32" s="518" customFormat="1" ht="12" customHeight="1">
      <c r="A150" s="527"/>
      <c r="B150" s="515"/>
      <c r="C150" s="654"/>
      <c r="D150" s="404"/>
      <c r="E150" s="404"/>
      <c r="F150" s="586"/>
      <c r="G150" s="404"/>
      <c r="H150" s="655"/>
      <c r="I150" s="656"/>
      <c r="J150" s="657"/>
      <c r="K150" s="838"/>
      <c r="L150" s="838"/>
      <c r="M150" s="839"/>
      <c r="N150" s="839"/>
      <c r="O150" s="840"/>
      <c r="P150" s="840"/>
      <c r="Q150" s="516" t="str">
        <f>Q149</f>
        <v/>
      </c>
      <c r="R150" s="516"/>
      <c r="S150" s="516"/>
      <c r="T150" s="521"/>
      <c r="U150" s="516"/>
      <c r="V150" s="517"/>
      <c r="W150" s="517"/>
      <c r="X150" s="517"/>
      <c r="Y150" s="517"/>
      <c r="Z150" s="508">
        <v>1</v>
      </c>
      <c r="AA150" s="648"/>
      <c r="AB150" s="517"/>
      <c r="AC150" s="517"/>
      <c r="AD150" s="517"/>
      <c r="AE150" s="517"/>
      <c r="AF150" s="517"/>
    </row>
    <row r="151" spans="1:32" s="541" customFormat="1" ht="12" customHeight="1">
      <c r="A151" s="392"/>
      <c r="B151" s="543"/>
      <c r="C151" s="464" t="str">
        <f>L29</f>
        <v>keuken</v>
      </c>
      <c r="D151" s="100" t="s">
        <v>141</v>
      </c>
      <c r="E151" s="464" t="str">
        <f>L30</f>
        <v>bijkeuken</v>
      </c>
      <c r="F151" s="586"/>
      <c r="G151" s="586"/>
      <c r="H151" s="647">
        <v>7</v>
      </c>
      <c r="I151" s="833">
        <f>H151*12</f>
        <v>84</v>
      </c>
      <c r="J151" s="833"/>
      <c r="K151" s="834" t="str">
        <f>IF(I151&gt;180,"zie rapport voor nadere toelichting overstroomvoorzieningen","")</f>
        <v/>
      </c>
      <c r="L151" s="834"/>
      <c r="M151" s="834"/>
      <c r="N151" s="834"/>
      <c r="O151" s="834"/>
      <c r="P151" s="834"/>
      <c r="Q151" s="729" t="str">
        <f>IF(H151=0,"verbergen","")</f>
        <v/>
      </c>
      <c r="R151" s="392"/>
      <c r="S151" s="392"/>
      <c r="T151" s="544"/>
      <c r="U151" s="392"/>
      <c r="V151" s="392"/>
      <c r="W151" s="392"/>
      <c r="X151" s="392"/>
      <c r="Y151" s="392"/>
      <c r="Z151" s="547">
        <f>Z150+1</f>
        <v>2</v>
      </c>
      <c r="AA151" s="404"/>
      <c r="AB151" s="516"/>
      <c r="AC151" s="516"/>
      <c r="AD151" s="516"/>
      <c r="AE151" s="516"/>
      <c r="AF151" s="515"/>
    </row>
    <row r="152" spans="1:32" s="541" customFormat="1" ht="12" hidden="1" customHeight="1">
      <c r="A152" s="392"/>
      <c r="B152" s="543"/>
      <c r="C152" s="464" t="s">
        <v>140</v>
      </c>
      <c r="D152" s="100" t="s">
        <v>141</v>
      </c>
      <c r="E152" s="464" t="s">
        <v>140</v>
      </c>
      <c r="F152" s="586"/>
      <c r="G152" s="586"/>
      <c r="H152" s="647">
        <v>0</v>
      </c>
      <c r="I152" s="833">
        <f t="shared" ref="I152:I155" si="28">H152*12</f>
        <v>0</v>
      </c>
      <c r="J152" s="833"/>
      <c r="K152" s="834" t="str">
        <f>IF(I152&gt;180,"zie rapport voor nadere toelichting overstroomvoorzieningen","")</f>
        <v/>
      </c>
      <c r="L152" s="834"/>
      <c r="M152" s="834"/>
      <c r="N152" s="834"/>
      <c r="O152" s="834"/>
      <c r="P152" s="834"/>
      <c r="Q152" s="729" t="str">
        <f>IF(H152=0,"verbergen","")</f>
        <v>verbergen</v>
      </c>
      <c r="R152" s="392"/>
      <c r="S152" s="392"/>
      <c r="T152" s="544"/>
      <c r="U152" s="392"/>
      <c r="V152" s="392"/>
      <c r="W152" s="392"/>
      <c r="X152" s="392"/>
      <c r="Y152" s="392"/>
      <c r="Z152" s="547">
        <f t="shared" ref="Z152:Z157" si="29">Z151</f>
        <v>2</v>
      </c>
      <c r="AA152" s="404"/>
      <c r="AB152" s="516"/>
      <c r="AC152" s="516"/>
      <c r="AD152" s="516"/>
      <c r="AE152" s="516"/>
      <c r="AF152" s="515"/>
    </row>
    <row r="153" spans="1:32" s="541" customFormat="1" ht="12" hidden="1" customHeight="1">
      <c r="A153" s="392"/>
      <c r="B153" s="543"/>
      <c r="C153" s="464" t="s">
        <v>140</v>
      </c>
      <c r="D153" s="100" t="s">
        <v>141</v>
      </c>
      <c r="E153" s="464" t="s">
        <v>140</v>
      </c>
      <c r="F153" s="586"/>
      <c r="G153" s="586"/>
      <c r="H153" s="647">
        <v>0</v>
      </c>
      <c r="I153" s="833">
        <f t="shared" si="28"/>
        <v>0</v>
      </c>
      <c r="J153" s="833"/>
      <c r="K153" s="834" t="str">
        <f>IF(I153&gt;180,"zie rapport voor nadere toelichting overstroomvoorzieningen","")</f>
        <v/>
      </c>
      <c r="L153" s="834"/>
      <c r="M153" s="834"/>
      <c r="N153" s="834"/>
      <c r="O153" s="834"/>
      <c r="P153" s="834"/>
      <c r="Q153" s="729" t="str">
        <f>IF(H153=0,"verbergen","")</f>
        <v>verbergen</v>
      </c>
      <c r="R153" s="392"/>
      <c r="S153" s="392"/>
      <c r="T153" s="544"/>
      <c r="U153" s="392"/>
      <c r="V153" s="392"/>
      <c r="W153" s="392"/>
      <c r="X153" s="392"/>
      <c r="Y153" s="392"/>
      <c r="Z153" s="547">
        <f t="shared" si="29"/>
        <v>2</v>
      </c>
      <c r="AA153" s="404"/>
      <c r="AB153" s="516"/>
      <c r="AC153" s="516"/>
      <c r="AD153" s="516"/>
      <c r="AE153" s="516"/>
      <c r="AF153" s="515"/>
    </row>
    <row r="154" spans="1:32" s="541" customFormat="1" ht="12" hidden="1" customHeight="1">
      <c r="A154" s="542"/>
      <c r="B154" s="543"/>
      <c r="C154" s="464" t="s">
        <v>140</v>
      </c>
      <c r="D154" s="100" t="s">
        <v>141</v>
      </c>
      <c r="E154" s="464" t="s">
        <v>140</v>
      </c>
      <c r="F154" s="586"/>
      <c r="G154" s="404"/>
      <c r="H154" s="647">
        <v>0</v>
      </c>
      <c r="I154" s="833">
        <f t="shared" si="28"/>
        <v>0</v>
      </c>
      <c r="J154" s="833"/>
      <c r="K154" s="834" t="str">
        <f>IF(I154&gt;180,"zie rapport voor nadere toelichting overstroomvoorzieningen","")</f>
        <v/>
      </c>
      <c r="L154" s="834"/>
      <c r="M154" s="834"/>
      <c r="N154" s="834"/>
      <c r="O154" s="834"/>
      <c r="P154" s="834"/>
      <c r="Q154" s="729" t="str">
        <f>IF(H154=0,"verbergen","")</f>
        <v>verbergen</v>
      </c>
      <c r="R154" s="392"/>
      <c r="S154" s="392"/>
      <c r="T154" s="544"/>
      <c r="U154" s="392"/>
      <c r="V154" s="392"/>
      <c r="W154" s="392"/>
      <c r="X154" s="392"/>
      <c r="Y154" s="392"/>
      <c r="Z154" s="547">
        <f t="shared" si="29"/>
        <v>2</v>
      </c>
      <c r="AA154" s="404"/>
      <c r="AB154" s="516"/>
      <c r="AC154" s="516"/>
      <c r="AD154" s="516"/>
      <c r="AE154" s="516"/>
      <c r="AF154" s="515"/>
    </row>
    <row r="155" spans="1:32" s="541" customFormat="1" ht="12" hidden="1" customHeight="1">
      <c r="A155" s="542"/>
      <c r="B155" s="543"/>
      <c r="C155" s="464" t="s">
        <v>140</v>
      </c>
      <c r="D155" s="342" t="s">
        <v>141</v>
      </c>
      <c r="E155" s="464" t="s">
        <v>140</v>
      </c>
      <c r="F155" s="609"/>
      <c r="G155" s="628"/>
      <c r="H155" s="649">
        <v>0</v>
      </c>
      <c r="I155" s="835">
        <f t="shared" si="28"/>
        <v>0</v>
      </c>
      <c r="J155" s="835"/>
      <c r="K155" s="836" t="str">
        <f>IF(I155&gt;180,"zie rapport voor nadere toelichting overstroomvoorzieningen","")</f>
        <v/>
      </c>
      <c r="L155" s="836"/>
      <c r="M155" s="836"/>
      <c r="N155" s="836"/>
      <c r="O155" s="836"/>
      <c r="P155" s="836"/>
      <c r="Q155" s="729" t="str">
        <f>IF(H155=0,"verbergen","")</f>
        <v>verbergen</v>
      </c>
      <c r="R155" s="392"/>
      <c r="S155" s="392"/>
      <c r="T155" s="544"/>
      <c r="U155" s="392"/>
      <c r="V155" s="392"/>
      <c r="W155" s="392"/>
      <c r="X155" s="392"/>
      <c r="Y155" s="392"/>
      <c r="Z155" s="547">
        <f t="shared" si="29"/>
        <v>2</v>
      </c>
      <c r="AA155" s="404"/>
      <c r="AB155" s="516"/>
      <c r="AC155" s="516"/>
      <c r="AD155" s="516"/>
      <c r="AE155" s="516"/>
      <c r="AF155" s="515"/>
    </row>
    <row r="156" spans="1:32" s="541" customFormat="1" ht="12" customHeight="1">
      <c r="A156" s="542"/>
      <c r="B156" s="556">
        <f>B149+1</f>
        <v>2</v>
      </c>
      <c r="C156" s="480">
        <f>B156</f>
        <v>2</v>
      </c>
      <c r="D156" s="592"/>
      <c r="E156" s="592"/>
      <c r="F156" s="650"/>
      <c r="G156" s="592"/>
      <c r="H156" s="651"/>
      <c r="I156" s="652"/>
      <c r="J156" s="653"/>
      <c r="K156" s="837" t="str">
        <f>IF(MAX(P151:P155)&gt;200,"zie rapport voor nadere toelichting overstroomvoorzieningen","")</f>
        <v/>
      </c>
      <c r="L156" s="837"/>
      <c r="M156" s="837"/>
      <c r="N156" s="837"/>
      <c r="O156" s="837"/>
      <c r="P156" s="837"/>
      <c r="Q156" s="392" t="str">
        <f>IF(SUM(H151:H157)=0,"verbergen","")</f>
        <v/>
      </c>
      <c r="R156" s="392"/>
      <c r="S156" s="392"/>
      <c r="T156" s="544"/>
      <c r="U156" s="392"/>
      <c r="V156" s="392"/>
      <c r="W156" s="392"/>
      <c r="X156" s="392"/>
      <c r="Y156" s="392"/>
      <c r="Z156" s="547">
        <f t="shared" si="29"/>
        <v>2</v>
      </c>
      <c r="AA156" s="404"/>
      <c r="AB156" s="516"/>
      <c r="AC156" s="516"/>
      <c r="AD156" s="516"/>
      <c r="AE156" s="516"/>
      <c r="AF156" s="515"/>
    </row>
    <row r="157" spans="1:32" s="541" customFormat="1" ht="12" customHeight="1">
      <c r="A157" s="542"/>
      <c r="B157" s="543"/>
      <c r="C157" s="654"/>
      <c r="D157" s="404"/>
      <c r="E157" s="404"/>
      <c r="F157" s="586"/>
      <c r="G157" s="404"/>
      <c r="H157" s="655"/>
      <c r="I157" s="656"/>
      <c r="J157" s="657"/>
      <c r="K157" s="838"/>
      <c r="L157" s="838"/>
      <c r="M157" s="839"/>
      <c r="N157" s="839"/>
      <c r="O157" s="840"/>
      <c r="P157" s="840"/>
      <c r="Q157" s="392" t="str">
        <f>Q156</f>
        <v/>
      </c>
      <c r="R157" s="392"/>
      <c r="S157" s="392"/>
      <c r="T157" s="544"/>
      <c r="U157" s="392"/>
      <c r="V157" s="392"/>
      <c r="W157" s="392"/>
      <c r="X157" s="392"/>
      <c r="Y157" s="392"/>
      <c r="Z157" s="547">
        <f t="shared" si="29"/>
        <v>2</v>
      </c>
      <c r="AA157" s="404"/>
      <c r="AB157" s="516"/>
      <c r="AC157" s="516"/>
      <c r="AD157" s="516"/>
      <c r="AE157" s="516"/>
      <c r="AF157" s="515"/>
    </row>
    <row r="158" spans="1:32" s="541" customFormat="1" ht="12" customHeight="1">
      <c r="A158" s="392"/>
      <c r="B158" s="543"/>
      <c r="C158" s="464" t="str">
        <f>L31</f>
        <v>slaapkamer 1</v>
      </c>
      <c r="D158" s="100" t="s">
        <v>141</v>
      </c>
      <c r="E158" s="464" t="s">
        <v>1158</v>
      </c>
      <c r="F158" s="586"/>
      <c r="G158" s="586"/>
      <c r="H158" s="647">
        <v>14</v>
      </c>
      <c r="I158" s="833">
        <f>H158*12</f>
        <v>168</v>
      </c>
      <c r="J158" s="833"/>
      <c r="K158" s="834" t="str">
        <f>IF(I158&gt;200,"zie rapport voor nadere toelichting overstroomvoorzieningen","")</f>
        <v/>
      </c>
      <c r="L158" s="834"/>
      <c r="M158" s="834"/>
      <c r="N158" s="834"/>
      <c r="O158" s="834"/>
      <c r="P158" s="834"/>
      <c r="Q158" s="729" t="str">
        <f>IF(H158=0,"verbergen","")</f>
        <v/>
      </c>
      <c r="R158" s="392"/>
      <c r="S158" s="392"/>
      <c r="T158" s="544"/>
      <c r="U158" s="392"/>
      <c r="V158" s="392"/>
      <c r="W158" s="392"/>
      <c r="X158" s="392"/>
      <c r="Y158" s="392"/>
      <c r="Z158" s="547">
        <f>Z157+1</f>
        <v>3</v>
      </c>
      <c r="AA158" s="404"/>
      <c r="AB158" s="516"/>
      <c r="AC158" s="516"/>
      <c r="AD158" s="516"/>
      <c r="AE158" s="516"/>
      <c r="AF158" s="515"/>
    </row>
    <row r="159" spans="1:32" s="541" customFormat="1" ht="12" customHeight="1">
      <c r="A159" s="392"/>
      <c r="B159" s="543"/>
      <c r="C159" s="464" t="str">
        <f t="shared" ref="C159:C160" si="30">L32</f>
        <v>slaapkamer 2</v>
      </c>
      <c r="D159" s="100" t="s">
        <v>141</v>
      </c>
      <c r="E159" s="464" t="s">
        <v>1158</v>
      </c>
      <c r="F159" s="586"/>
      <c r="G159" s="586"/>
      <c r="H159" s="647">
        <v>14</v>
      </c>
      <c r="I159" s="833">
        <f t="shared" ref="I159:I162" si="31">H159*12</f>
        <v>168</v>
      </c>
      <c r="J159" s="833"/>
      <c r="K159" s="834" t="str">
        <f>IF(I159&gt;200,"zie rapport voor nadere toelichting overstroomvoorzieningen","")</f>
        <v/>
      </c>
      <c r="L159" s="834"/>
      <c r="M159" s="834"/>
      <c r="N159" s="834"/>
      <c r="O159" s="834"/>
      <c r="P159" s="834"/>
      <c r="Q159" s="729" t="str">
        <f>IF(H159=0,"verbergen","")</f>
        <v/>
      </c>
      <c r="R159" s="392"/>
      <c r="S159" s="392"/>
      <c r="T159" s="544"/>
      <c r="U159" s="392"/>
      <c r="V159" s="392"/>
      <c r="W159" s="392"/>
      <c r="X159" s="392"/>
      <c r="Y159" s="392"/>
      <c r="Z159" s="547">
        <f t="shared" ref="Z159:Z164" si="32">Z158</f>
        <v>3</v>
      </c>
      <c r="AA159" s="404"/>
      <c r="AB159" s="516"/>
      <c r="AC159" s="516"/>
      <c r="AD159" s="516"/>
      <c r="AE159" s="516"/>
      <c r="AF159" s="515"/>
    </row>
    <row r="160" spans="1:32" s="541" customFormat="1" ht="12" customHeight="1">
      <c r="A160" s="392"/>
      <c r="B160" s="543"/>
      <c r="C160" s="464" t="str">
        <f t="shared" si="30"/>
        <v>studeerkamer</v>
      </c>
      <c r="D160" s="100" t="s">
        <v>141</v>
      </c>
      <c r="E160" s="464" t="s">
        <v>1158</v>
      </c>
      <c r="F160" s="586"/>
      <c r="G160" s="586"/>
      <c r="H160" s="647">
        <v>14</v>
      </c>
      <c r="I160" s="833">
        <f t="shared" si="31"/>
        <v>168</v>
      </c>
      <c r="J160" s="833"/>
      <c r="K160" s="834" t="str">
        <f>IF(I160&gt;200,"zie rapport voor nadere toelichting overstroomvoorzieningen","")</f>
        <v/>
      </c>
      <c r="L160" s="834"/>
      <c r="M160" s="834"/>
      <c r="N160" s="834"/>
      <c r="O160" s="834"/>
      <c r="P160" s="834"/>
      <c r="Q160" s="729" t="str">
        <f>IF(H160=0,"verbergen","")</f>
        <v/>
      </c>
      <c r="R160" s="392"/>
      <c r="S160" s="392"/>
      <c r="T160" s="544"/>
      <c r="U160" s="392"/>
      <c r="V160" s="392"/>
      <c r="W160" s="392"/>
      <c r="X160" s="392"/>
      <c r="Y160" s="392"/>
      <c r="Z160" s="547">
        <f t="shared" si="32"/>
        <v>3</v>
      </c>
      <c r="AA160" s="404"/>
      <c r="AB160" s="516"/>
      <c r="AC160" s="516"/>
      <c r="AD160" s="516"/>
      <c r="AE160" s="516"/>
      <c r="AF160" s="515"/>
    </row>
    <row r="161" spans="1:32" s="541" customFormat="1" ht="12" hidden="1" customHeight="1">
      <c r="A161" s="542"/>
      <c r="B161" s="543"/>
      <c r="C161" s="464" t="s">
        <v>140</v>
      </c>
      <c r="D161" s="100" t="s">
        <v>141</v>
      </c>
      <c r="E161" s="464" t="s">
        <v>140</v>
      </c>
      <c r="F161" s="586"/>
      <c r="G161" s="404"/>
      <c r="H161" s="647">
        <v>0</v>
      </c>
      <c r="I161" s="833">
        <f t="shared" si="31"/>
        <v>0</v>
      </c>
      <c r="J161" s="833"/>
      <c r="K161" s="834" t="str">
        <f>IF(I161&gt;200,"zie rapport voor nadere toelichting overstroomvoorzieningen","")</f>
        <v/>
      </c>
      <c r="L161" s="834"/>
      <c r="M161" s="834"/>
      <c r="N161" s="834"/>
      <c r="O161" s="834"/>
      <c r="P161" s="834"/>
      <c r="Q161" s="729" t="str">
        <f>IF(H161=0,"verbergen","")</f>
        <v>verbergen</v>
      </c>
      <c r="R161" s="392"/>
      <c r="S161" s="392"/>
      <c r="T161" s="544"/>
      <c r="U161" s="392"/>
      <c r="V161" s="392"/>
      <c r="W161" s="392"/>
      <c r="X161" s="392"/>
      <c r="Y161" s="392"/>
      <c r="Z161" s="547">
        <f t="shared" si="32"/>
        <v>3</v>
      </c>
      <c r="AA161" s="404"/>
      <c r="AB161" s="516"/>
      <c r="AC161" s="516"/>
      <c r="AD161" s="516"/>
      <c r="AE161" s="516"/>
      <c r="AF161" s="515"/>
    </row>
    <row r="162" spans="1:32" s="541" customFormat="1" ht="12" hidden="1" customHeight="1">
      <c r="A162" s="542"/>
      <c r="B162" s="543"/>
      <c r="C162" s="472" t="s">
        <v>140</v>
      </c>
      <c r="D162" s="100" t="s">
        <v>141</v>
      </c>
      <c r="E162" s="472" t="s">
        <v>140</v>
      </c>
      <c r="F162" s="609"/>
      <c r="G162" s="628"/>
      <c r="H162" s="649">
        <v>0</v>
      </c>
      <c r="I162" s="835">
        <f t="shared" si="31"/>
        <v>0</v>
      </c>
      <c r="J162" s="835"/>
      <c r="K162" s="836" t="str">
        <f>IF(I162&gt;200,"zie rapport voor nadere toelichting overstroomvoorzieningen","")</f>
        <v/>
      </c>
      <c r="L162" s="836"/>
      <c r="M162" s="836"/>
      <c r="N162" s="836"/>
      <c r="O162" s="836"/>
      <c r="P162" s="836"/>
      <c r="Q162" s="729" t="str">
        <f>IF(H162=0,"verbergen","")</f>
        <v>verbergen</v>
      </c>
      <c r="R162" s="392"/>
      <c r="S162" s="392"/>
      <c r="T162" s="544"/>
      <c r="U162" s="392"/>
      <c r="V162" s="392"/>
      <c r="W162" s="392"/>
      <c r="X162" s="392"/>
      <c r="Y162" s="392"/>
      <c r="Z162" s="547">
        <f t="shared" si="32"/>
        <v>3</v>
      </c>
      <c r="AA162" s="404"/>
      <c r="AB162" s="516"/>
      <c r="AC162" s="516"/>
      <c r="AD162" s="516"/>
      <c r="AE162" s="516"/>
      <c r="AF162" s="515"/>
    </row>
    <row r="163" spans="1:32" s="541" customFormat="1" ht="12" customHeight="1">
      <c r="A163" s="542"/>
      <c r="B163" s="556">
        <f>B156+1</f>
        <v>3</v>
      </c>
      <c r="C163" s="480">
        <f>B163</f>
        <v>3</v>
      </c>
      <c r="D163" s="592"/>
      <c r="E163" s="592"/>
      <c r="F163" s="650"/>
      <c r="G163" s="592"/>
      <c r="H163" s="651"/>
      <c r="I163" s="652"/>
      <c r="J163" s="653"/>
      <c r="K163" s="837" t="str">
        <f>IF(MAX(P158:P162)&gt;200,"zie rapport voor nadere toelichting overstroomvoorzieningen","")</f>
        <v/>
      </c>
      <c r="L163" s="837"/>
      <c r="M163" s="837"/>
      <c r="N163" s="837"/>
      <c r="O163" s="837"/>
      <c r="P163" s="837"/>
      <c r="Q163" s="392" t="str">
        <f>IF(SUM(H158:H164)=0,"verbergen","")</f>
        <v/>
      </c>
      <c r="R163" s="392"/>
      <c r="S163" s="392"/>
      <c r="T163" s="544"/>
      <c r="U163" s="392"/>
      <c r="V163" s="392"/>
      <c r="W163" s="392"/>
      <c r="X163" s="392"/>
      <c r="Y163" s="392"/>
      <c r="Z163" s="547">
        <f t="shared" si="32"/>
        <v>3</v>
      </c>
      <c r="AA163" s="404"/>
      <c r="AB163" s="516"/>
      <c r="AC163" s="516"/>
      <c r="AD163" s="516"/>
      <c r="AE163" s="516"/>
      <c r="AF163" s="515"/>
    </row>
    <row r="164" spans="1:32" s="541" customFormat="1" ht="12" customHeight="1">
      <c r="A164" s="542"/>
      <c r="B164" s="543"/>
      <c r="C164" s="654"/>
      <c r="D164" s="404"/>
      <c r="E164" s="404"/>
      <c r="F164" s="586"/>
      <c r="G164" s="404"/>
      <c r="H164" s="655"/>
      <c r="I164" s="656"/>
      <c r="J164" s="657"/>
      <c r="K164" s="838"/>
      <c r="L164" s="838"/>
      <c r="M164" s="839"/>
      <c r="N164" s="839"/>
      <c r="O164" s="840"/>
      <c r="P164" s="840"/>
      <c r="Q164" s="392" t="str">
        <f>Q163</f>
        <v/>
      </c>
      <c r="R164" s="392"/>
      <c r="S164" s="392"/>
      <c r="T164" s="544"/>
      <c r="U164" s="392"/>
      <c r="V164" s="392"/>
      <c r="W164" s="392"/>
      <c r="X164" s="392"/>
      <c r="Y164" s="392"/>
      <c r="Z164" s="547">
        <f t="shared" si="32"/>
        <v>3</v>
      </c>
      <c r="AA164" s="404"/>
      <c r="AB164" s="516"/>
      <c r="AC164" s="516"/>
      <c r="AD164" s="516"/>
      <c r="AE164" s="516"/>
      <c r="AF164" s="515"/>
    </row>
    <row r="165" spans="1:32" s="541" customFormat="1" ht="12" customHeight="1">
      <c r="A165" s="392"/>
      <c r="B165" s="543"/>
      <c r="C165" s="464" t="str">
        <f>L34</f>
        <v>slaapkamer 3</v>
      </c>
      <c r="D165" s="100" t="s">
        <v>141</v>
      </c>
      <c r="E165" s="464" t="s">
        <v>1158</v>
      </c>
      <c r="F165" s="586"/>
      <c r="G165" s="586"/>
      <c r="H165" s="647">
        <v>14</v>
      </c>
      <c r="I165" s="833">
        <f>H165*12</f>
        <v>168</v>
      </c>
      <c r="J165" s="833"/>
      <c r="K165" s="834" t="str">
        <f>IF(I165&gt;200,"zie rapport voor nadere toelichting overstroomvoorzieningen","")</f>
        <v/>
      </c>
      <c r="L165" s="834"/>
      <c r="M165" s="834"/>
      <c r="N165" s="834"/>
      <c r="O165" s="834"/>
      <c r="P165" s="834"/>
      <c r="Q165" s="729" t="str">
        <f>IF(H165=0,"verbergen","")</f>
        <v/>
      </c>
      <c r="R165" s="392"/>
      <c r="S165" s="392"/>
      <c r="T165" s="544"/>
      <c r="U165" s="392"/>
      <c r="V165" s="392"/>
      <c r="W165" s="392"/>
      <c r="X165" s="392"/>
      <c r="Y165" s="392"/>
      <c r="Z165" s="547">
        <f>Z164+1</f>
        <v>4</v>
      </c>
      <c r="AA165" s="404"/>
      <c r="AB165" s="516"/>
      <c r="AC165" s="516"/>
      <c r="AD165" s="516"/>
      <c r="AE165" s="516"/>
      <c r="AF165" s="515"/>
    </row>
    <row r="166" spans="1:32" s="541" customFormat="1" ht="12" hidden="1" customHeight="1">
      <c r="A166" s="392"/>
      <c r="B166" s="543"/>
      <c r="C166" s="464" t="s">
        <v>140</v>
      </c>
      <c r="D166" s="100" t="s">
        <v>141</v>
      </c>
      <c r="E166" s="464" t="s">
        <v>140</v>
      </c>
      <c r="F166" s="586"/>
      <c r="G166" s="586"/>
      <c r="H166" s="647">
        <v>0</v>
      </c>
      <c r="I166" s="833">
        <f t="shared" ref="I166:I169" si="33">H166*12</f>
        <v>0</v>
      </c>
      <c r="J166" s="833"/>
      <c r="K166" s="834" t="str">
        <f>IF(I166&gt;200,"zie rapport voor nadere toelichting overstroomvoorzieningen","")</f>
        <v/>
      </c>
      <c r="L166" s="834"/>
      <c r="M166" s="834"/>
      <c r="N166" s="834"/>
      <c r="O166" s="834"/>
      <c r="P166" s="834"/>
      <c r="Q166" s="729" t="str">
        <f>IF(H166=0,"verbergen","")</f>
        <v>verbergen</v>
      </c>
      <c r="R166" s="392"/>
      <c r="S166" s="392"/>
      <c r="T166" s="544"/>
      <c r="U166" s="392"/>
      <c r="V166" s="392"/>
      <c r="W166" s="392"/>
      <c r="X166" s="392"/>
      <c r="Y166" s="392"/>
      <c r="Z166" s="547">
        <f t="shared" ref="Z166:Z171" si="34">Z165</f>
        <v>4</v>
      </c>
      <c r="AA166" s="404"/>
      <c r="AB166" s="516"/>
      <c r="AC166" s="516"/>
      <c r="AD166" s="516"/>
      <c r="AE166" s="516"/>
      <c r="AF166" s="515"/>
    </row>
    <row r="167" spans="1:32" s="541" customFormat="1" ht="12" hidden="1" customHeight="1">
      <c r="A167" s="392"/>
      <c r="B167" s="543"/>
      <c r="C167" s="464" t="s">
        <v>140</v>
      </c>
      <c r="D167" s="100" t="s">
        <v>141</v>
      </c>
      <c r="E167" s="464" t="s">
        <v>140</v>
      </c>
      <c r="F167" s="586"/>
      <c r="G167" s="586"/>
      <c r="H167" s="647">
        <v>0</v>
      </c>
      <c r="I167" s="833">
        <f t="shared" si="33"/>
        <v>0</v>
      </c>
      <c r="J167" s="833"/>
      <c r="K167" s="834" t="str">
        <f>IF(I167&gt;200,"zie rapport voor nadere toelichting overstroomvoorzieningen","")</f>
        <v/>
      </c>
      <c r="L167" s="834"/>
      <c r="M167" s="834"/>
      <c r="N167" s="834"/>
      <c r="O167" s="834"/>
      <c r="P167" s="834"/>
      <c r="Q167" s="729" t="str">
        <f>IF(H167=0,"verbergen","")</f>
        <v>verbergen</v>
      </c>
      <c r="R167" s="392"/>
      <c r="S167" s="392"/>
      <c r="T167" s="544"/>
      <c r="U167" s="392"/>
      <c r="V167" s="392"/>
      <c r="W167" s="392"/>
      <c r="X167" s="392"/>
      <c r="Y167" s="392"/>
      <c r="Z167" s="547">
        <f t="shared" si="34"/>
        <v>4</v>
      </c>
      <c r="AA167" s="404"/>
      <c r="AB167" s="516"/>
      <c r="AC167" s="516"/>
      <c r="AD167" s="516"/>
      <c r="AE167" s="516"/>
      <c r="AF167" s="515"/>
    </row>
    <row r="168" spans="1:32" s="541" customFormat="1" ht="12" hidden="1" customHeight="1">
      <c r="A168" s="542"/>
      <c r="B168" s="543"/>
      <c r="C168" s="464" t="s">
        <v>140</v>
      </c>
      <c r="D168" s="100" t="s">
        <v>141</v>
      </c>
      <c r="E168" s="464" t="s">
        <v>140</v>
      </c>
      <c r="F168" s="586"/>
      <c r="G168" s="404"/>
      <c r="H168" s="647">
        <v>0</v>
      </c>
      <c r="I168" s="833">
        <f t="shared" si="33"/>
        <v>0</v>
      </c>
      <c r="J168" s="833"/>
      <c r="K168" s="834" t="str">
        <f>IF(I168&gt;200,"zie rapport voor nadere toelichting overstroomvoorzieningen","")</f>
        <v/>
      </c>
      <c r="L168" s="834"/>
      <c r="M168" s="834"/>
      <c r="N168" s="834"/>
      <c r="O168" s="834"/>
      <c r="P168" s="834"/>
      <c r="Q168" s="729" t="str">
        <f>IF(H168=0,"verbergen","")</f>
        <v>verbergen</v>
      </c>
      <c r="R168" s="392"/>
      <c r="S168" s="392"/>
      <c r="T168" s="544"/>
      <c r="U168" s="392"/>
      <c r="V168" s="392"/>
      <c r="W168" s="392"/>
      <c r="X168" s="392"/>
      <c r="Y168" s="392"/>
      <c r="Z168" s="547">
        <f t="shared" si="34"/>
        <v>4</v>
      </c>
      <c r="AA168" s="404"/>
      <c r="AB168" s="516"/>
      <c r="AC168" s="516"/>
      <c r="AD168" s="516"/>
      <c r="AE168" s="516"/>
      <c r="AF168" s="515"/>
    </row>
    <row r="169" spans="1:32" s="541" customFormat="1" ht="12" hidden="1" customHeight="1">
      <c r="A169" s="542"/>
      <c r="B169" s="543"/>
      <c r="C169" s="472" t="s">
        <v>140</v>
      </c>
      <c r="D169" s="100" t="s">
        <v>141</v>
      </c>
      <c r="E169" s="472" t="s">
        <v>140</v>
      </c>
      <c r="F169" s="609"/>
      <c r="G169" s="628"/>
      <c r="H169" s="649">
        <v>0</v>
      </c>
      <c r="I169" s="835">
        <f t="shared" si="33"/>
        <v>0</v>
      </c>
      <c r="J169" s="835"/>
      <c r="K169" s="836" t="str">
        <f>IF(I169&gt;200,"zie rapport voor nadere toelichting overstroomvoorzieningen","")</f>
        <v/>
      </c>
      <c r="L169" s="836"/>
      <c r="M169" s="836"/>
      <c r="N169" s="836"/>
      <c r="O169" s="836"/>
      <c r="P169" s="836"/>
      <c r="Q169" s="729" t="str">
        <f>IF(H169=0,"verbergen","")</f>
        <v>verbergen</v>
      </c>
      <c r="R169" s="392"/>
      <c r="S169" s="392"/>
      <c r="T169" s="544"/>
      <c r="U169" s="392"/>
      <c r="V169" s="392"/>
      <c r="W169" s="392"/>
      <c r="X169" s="392"/>
      <c r="Y169" s="392"/>
      <c r="Z169" s="547">
        <f t="shared" si="34"/>
        <v>4</v>
      </c>
      <c r="AA169" s="404"/>
      <c r="AB169" s="516"/>
      <c r="AC169" s="516"/>
      <c r="AD169" s="516"/>
      <c r="AE169" s="516"/>
      <c r="AF169" s="515"/>
    </row>
    <row r="170" spans="1:32" s="541" customFormat="1" ht="12" customHeight="1">
      <c r="A170" s="542"/>
      <c r="B170" s="556">
        <f>B163+1</f>
        <v>4</v>
      </c>
      <c r="C170" s="480">
        <f>B170</f>
        <v>4</v>
      </c>
      <c r="D170" s="592"/>
      <c r="E170" s="592"/>
      <c r="F170" s="650"/>
      <c r="G170" s="592"/>
      <c r="H170" s="651"/>
      <c r="I170" s="652"/>
      <c r="J170" s="653"/>
      <c r="K170" s="837" t="str">
        <f>IF(MAX(P165:P169)&gt;200,"zie rapport voor nadere toelichting overstroomvoorzieningen","")</f>
        <v/>
      </c>
      <c r="L170" s="837"/>
      <c r="M170" s="837"/>
      <c r="N170" s="837"/>
      <c r="O170" s="837"/>
      <c r="P170" s="837"/>
      <c r="Q170" s="392" t="str">
        <f>IF(SUM(H165:H171)=0,"verbergen","")</f>
        <v/>
      </c>
      <c r="R170" s="392"/>
      <c r="S170" s="392"/>
      <c r="T170" s="544"/>
      <c r="U170" s="392"/>
      <c r="V170" s="392"/>
      <c r="W170" s="392"/>
      <c r="X170" s="392"/>
      <c r="Y170" s="392"/>
      <c r="Z170" s="547">
        <f t="shared" si="34"/>
        <v>4</v>
      </c>
      <c r="AA170" s="404"/>
      <c r="AB170" s="516"/>
      <c r="AC170" s="516"/>
      <c r="AD170" s="516"/>
      <c r="AE170" s="516"/>
      <c r="AF170" s="515"/>
    </row>
    <row r="171" spans="1:32" s="541" customFormat="1" ht="12" customHeight="1">
      <c r="A171" s="542"/>
      <c r="B171" s="543"/>
      <c r="C171" s="654"/>
      <c r="D171" s="404"/>
      <c r="E171" s="404"/>
      <c r="F171" s="586"/>
      <c r="G171" s="404"/>
      <c r="H171" s="655"/>
      <c r="I171" s="656"/>
      <c r="J171" s="657"/>
      <c r="K171" s="838"/>
      <c r="L171" s="838"/>
      <c r="M171" s="839"/>
      <c r="N171" s="839"/>
      <c r="O171" s="840"/>
      <c r="P171" s="840"/>
      <c r="Q171" s="392" t="str">
        <f>Q170</f>
        <v/>
      </c>
      <c r="R171" s="392"/>
      <c r="S171" s="392"/>
      <c r="T171" s="544"/>
      <c r="U171" s="392"/>
      <c r="V171" s="392"/>
      <c r="W171" s="392"/>
      <c r="X171" s="392"/>
      <c r="Y171" s="392"/>
      <c r="Z171" s="547">
        <f t="shared" si="34"/>
        <v>4</v>
      </c>
      <c r="AA171" s="404"/>
      <c r="AB171" s="516"/>
      <c r="AC171" s="516"/>
      <c r="AD171" s="516"/>
      <c r="AE171" s="516"/>
      <c r="AF171" s="515"/>
    </row>
    <row r="172" spans="1:32" s="518" customFormat="1" ht="12" customHeight="1">
      <c r="A172" s="516"/>
      <c r="B172" s="515"/>
      <c r="C172" s="464" t="s">
        <v>1158</v>
      </c>
      <c r="D172" s="100" t="s">
        <v>141</v>
      </c>
      <c r="E172" s="464" t="str">
        <f>L28</f>
        <v>woonkamer / eetkamer</v>
      </c>
      <c r="F172" s="586"/>
      <c r="G172" s="586"/>
      <c r="H172" s="647">
        <f>H133</f>
        <v>7</v>
      </c>
      <c r="I172" s="833">
        <f>H172*12</f>
        <v>84</v>
      </c>
      <c r="J172" s="833"/>
      <c r="K172" s="834" t="str">
        <f>IF(I172&gt;180,"zie rapport voor nadere toelichting overstroomvoorzieningen","")</f>
        <v/>
      </c>
      <c r="L172" s="834"/>
      <c r="M172" s="834"/>
      <c r="N172" s="834"/>
      <c r="O172" s="834"/>
      <c r="P172" s="834"/>
      <c r="Q172" s="525" t="str">
        <f>IF(H172=0,"verbergen","")</f>
        <v/>
      </c>
      <c r="R172" s="516"/>
      <c r="S172" s="516"/>
      <c r="T172" s="521"/>
      <c r="U172" s="516"/>
      <c r="V172" s="517"/>
      <c r="W172" s="517"/>
      <c r="X172" s="517"/>
      <c r="Y172" s="517"/>
      <c r="Z172" s="508"/>
      <c r="AA172" s="648"/>
      <c r="AB172" s="517"/>
      <c r="AC172" s="517"/>
      <c r="AD172" s="517"/>
      <c r="AE172" s="517"/>
      <c r="AF172" s="517"/>
    </row>
    <row r="173" spans="1:32" s="518" customFormat="1" ht="12" customHeight="1">
      <c r="A173" s="516"/>
      <c r="B173" s="515"/>
      <c r="C173" s="464" t="s">
        <v>1158</v>
      </c>
      <c r="D173" s="100" t="s">
        <v>141</v>
      </c>
      <c r="E173" s="464" t="s">
        <v>1160</v>
      </c>
      <c r="F173" s="586"/>
      <c r="G173" s="586"/>
      <c r="H173" s="647">
        <v>14</v>
      </c>
      <c r="I173" s="833">
        <f t="shared" ref="I173:I176" si="35">H173*12</f>
        <v>168</v>
      </c>
      <c r="J173" s="833"/>
      <c r="K173" s="834" t="str">
        <f>IF(I173&gt;180,"zie rapport voor nadere toelichting overstroomvoorzieningen","")</f>
        <v/>
      </c>
      <c r="L173" s="834"/>
      <c r="M173" s="834"/>
      <c r="N173" s="834"/>
      <c r="O173" s="834"/>
      <c r="P173" s="834"/>
      <c r="Q173" s="525" t="str">
        <f>IF(H173=0,"verbergen","")</f>
        <v/>
      </c>
      <c r="R173" s="516"/>
      <c r="S173" s="516"/>
      <c r="T173" s="521"/>
      <c r="U173" s="516"/>
      <c r="V173" s="517"/>
      <c r="W173" s="517"/>
      <c r="X173" s="517"/>
      <c r="Y173" s="517"/>
      <c r="Z173" s="508"/>
      <c r="AA173" s="648"/>
      <c r="AB173" s="517"/>
      <c r="AC173" s="517"/>
      <c r="AD173" s="517"/>
      <c r="AE173" s="517"/>
      <c r="AF173" s="517"/>
    </row>
    <row r="174" spans="1:32" s="518" customFormat="1" ht="12" customHeight="1">
      <c r="A174" s="516"/>
      <c r="B174" s="515"/>
      <c r="C174" s="464" t="s">
        <v>1158</v>
      </c>
      <c r="D174" s="100" t="s">
        <v>141</v>
      </c>
      <c r="E174" s="464" t="s">
        <v>729</v>
      </c>
      <c r="F174" s="586"/>
      <c r="G174" s="586"/>
      <c r="H174" s="647">
        <v>21</v>
      </c>
      <c r="I174" s="833">
        <f t="shared" si="35"/>
        <v>252</v>
      </c>
      <c r="J174" s="833"/>
      <c r="K174" s="834" t="str">
        <f>IF(I174&gt;180,"zie rapport voor nadere toelichting overstroomvoorzieningen","")</f>
        <v>zie rapport voor nadere toelichting overstroomvoorzieningen</v>
      </c>
      <c r="L174" s="834"/>
      <c r="M174" s="834"/>
      <c r="N174" s="834"/>
      <c r="O174" s="834"/>
      <c r="P174" s="834"/>
      <c r="Q174" s="525" t="str">
        <f>IF(H174=0,"verbergen","")</f>
        <v/>
      </c>
      <c r="R174" s="516"/>
      <c r="S174" s="516"/>
      <c r="T174" s="521"/>
      <c r="U174" s="516"/>
      <c r="V174" s="517"/>
      <c r="W174" s="517"/>
      <c r="X174" s="517"/>
      <c r="Y174" s="517"/>
      <c r="Z174" s="508"/>
      <c r="AA174" s="648"/>
      <c r="AB174" s="517"/>
      <c r="AC174" s="517"/>
      <c r="AD174" s="517"/>
      <c r="AE174" s="517"/>
      <c r="AF174" s="517"/>
    </row>
    <row r="175" spans="1:32" s="518" customFormat="1" ht="12" customHeight="1">
      <c r="A175" s="527"/>
      <c r="B175" s="515"/>
      <c r="C175" s="464" t="s">
        <v>1158</v>
      </c>
      <c r="D175" s="100" t="s">
        <v>141</v>
      </c>
      <c r="E175" s="464" t="s">
        <v>727</v>
      </c>
      <c r="F175" s="586"/>
      <c r="G175" s="404"/>
      <c r="H175" s="647">
        <v>7</v>
      </c>
      <c r="I175" s="833">
        <f t="shared" si="35"/>
        <v>84</v>
      </c>
      <c r="J175" s="833"/>
      <c r="K175" s="834" t="str">
        <f>IF(I175&gt;180,"zie rapport voor nadere toelichting overstroomvoorzieningen","")</f>
        <v/>
      </c>
      <c r="L175" s="834"/>
      <c r="M175" s="834"/>
      <c r="N175" s="834"/>
      <c r="O175" s="834"/>
      <c r="P175" s="834"/>
      <c r="Q175" s="525" t="str">
        <f>IF(H175=0,"verbergen","")</f>
        <v/>
      </c>
      <c r="R175" s="516"/>
      <c r="S175" s="516"/>
      <c r="T175" s="521"/>
      <c r="U175" s="516"/>
      <c r="V175" s="517"/>
      <c r="W175" s="517"/>
      <c r="X175" s="517"/>
      <c r="Y175" s="517"/>
      <c r="Z175" s="508"/>
      <c r="AA175" s="648"/>
      <c r="AB175" s="517"/>
      <c r="AC175" s="517"/>
      <c r="AD175" s="517"/>
      <c r="AE175" s="517"/>
      <c r="AF175" s="517"/>
    </row>
    <row r="176" spans="1:32" s="518" customFormat="1" ht="12" customHeight="1">
      <c r="A176" s="527"/>
      <c r="B176" s="515"/>
      <c r="C176" s="472" t="s">
        <v>1159</v>
      </c>
      <c r="D176" s="342" t="s">
        <v>141</v>
      </c>
      <c r="E176" s="472" t="s">
        <v>1161</v>
      </c>
      <c r="F176" s="609"/>
      <c r="G176" s="628"/>
      <c r="H176" s="649">
        <v>14</v>
      </c>
      <c r="I176" s="835">
        <f t="shared" si="35"/>
        <v>168</v>
      </c>
      <c r="J176" s="835"/>
      <c r="K176" s="836" t="str">
        <f>IF(I176&gt;180,"zie rapport voor nadere toelichting overstroomvoorzieningen","")</f>
        <v/>
      </c>
      <c r="L176" s="836"/>
      <c r="M176" s="836"/>
      <c r="N176" s="836"/>
      <c r="O176" s="836"/>
      <c r="P176" s="836"/>
      <c r="Q176" s="525" t="str">
        <f>IF(H176=0,"verbergen","")</f>
        <v/>
      </c>
      <c r="R176" s="516"/>
      <c r="S176" s="516"/>
      <c r="T176" s="521"/>
      <c r="U176" s="516"/>
      <c r="V176" s="517"/>
      <c r="W176" s="517"/>
      <c r="X176" s="517"/>
      <c r="Y176" s="517"/>
      <c r="Z176" s="508"/>
      <c r="AA176" s="648"/>
      <c r="AB176" s="517"/>
      <c r="AC176" s="517"/>
      <c r="AD176" s="517"/>
      <c r="AE176" s="517"/>
      <c r="AF176" s="517"/>
    </row>
    <row r="177" spans="1:34" s="518" customFormat="1" ht="12" customHeight="1">
      <c r="A177" s="527"/>
      <c r="B177" s="590"/>
      <c r="C177" s="480" t="s">
        <v>734</v>
      </c>
      <c r="D177" s="592"/>
      <c r="E177" s="592"/>
      <c r="F177" s="650"/>
      <c r="G177" s="592"/>
      <c r="H177" s="651"/>
      <c r="I177" s="652"/>
      <c r="J177" s="653"/>
      <c r="K177" s="837" t="str">
        <f>IF(MAX(P172:P176)&gt;200,"zie rapport voor nadere toelichting overstroomvoorzieningen","")</f>
        <v/>
      </c>
      <c r="L177" s="837"/>
      <c r="M177" s="837"/>
      <c r="N177" s="837"/>
      <c r="O177" s="837"/>
      <c r="P177" s="837"/>
      <c r="Q177" s="516" t="str">
        <f>IF(SUM(H172:H178)=0,"verbergen","")</f>
        <v/>
      </c>
      <c r="R177" s="516"/>
      <c r="S177" s="516"/>
      <c r="T177" s="521"/>
      <c r="U177" s="516"/>
      <c r="V177" s="517"/>
      <c r="W177" s="517"/>
      <c r="X177" s="517"/>
      <c r="Y177" s="517"/>
      <c r="Z177" s="508"/>
      <c r="AA177" s="648"/>
      <c r="AB177" s="517"/>
      <c r="AC177" s="517"/>
      <c r="AD177" s="517"/>
      <c r="AE177" s="517"/>
      <c r="AF177" s="517"/>
    </row>
    <row r="178" spans="1:34" s="518" customFormat="1" ht="12" customHeight="1">
      <c r="A178" s="527"/>
      <c r="B178" s="515"/>
      <c r="C178" s="654"/>
      <c r="D178" s="404"/>
      <c r="E178" s="404"/>
      <c r="F178" s="586"/>
      <c r="G178" s="404"/>
      <c r="H178" s="655"/>
      <c r="I178" s="656"/>
      <c r="J178" s="657"/>
      <c r="K178" s="396"/>
      <c r="L178" s="396"/>
      <c r="M178" s="585"/>
      <c r="N178" s="585"/>
      <c r="O178" s="734"/>
      <c r="P178" s="734"/>
      <c r="Q178" s="516" t="str">
        <f>Q177</f>
        <v/>
      </c>
      <c r="R178" s="516"/>
      <c r="S178" s="516"/>
      <c r="T178" s="521"/>
      <c r="U178" s="516"/>
      <c r="V178" s="517"/>
      <c r="W178" s="517"/>
      <c r="X178" s="517"/>
      <c r="Y178" s="517"/>
      <c r="Z178" s="508"/>
      <c r="AA178" s="648"/>
      <c r="AB178" s="517"/>
      <c r="AC178" s="517"/>
      <c r="AD178" s="517"/>
      <c r="AE178" s="517"/>
      <c r="AF178" s="517"/>
    </row>
    <row r="179" spans="1:34" s="518" customFormat="1" ht="12" customHeight="1">
      <c r="A179" s="527"/>
      <c r="B179" s="515"/>
      <c r="C179" s="654"/>
      <c r="D179" s="404"/>
      <c r="E179" s="404"/>
      <c r="F179" s="586"/>
      <c r="G179" s="404"/>
      <c r="H179" s="655"/>
      <c r="I179" s="656"/>
      <c r="J179" s="657"/>
      <c r="K179" s="396"/>
      <c r="L179" s="396"/>
      <c r="M179" s="585"/>
      <c r="N179" s="585"/>
      <c r="O179" s="734"/>
      <c r="P179" s="734"/>
      <c r="Q179" s="516"/>
      <c r="R179" s="516"/>
      <c r="S179" s="516"/>
      <c r="T179" s="521"/>
      <c r="U179" s="516"/>
      <c r="V179" s="517"/>
      <c r="W179" s="517"/>
      <c r="X179" s="517"/>
      <c r="Y179" s="517"/>
      <c r="Z179" s="517"/>
      <c r="AA179" s="648"/>
      <c r="AB179" s="517"/>
      <c r="AC179" s="517"/>
      <c r="AD179" s="517"/>
      <c r="AE179" s="517"/>
      <c r="AF179" s="517"/>
    </row>
    <row r="180" spans="1:34" s="518" customFormat="1" ht="15" customHeight="1">
      <c r="A180" s="515"/>
      <c r="B180" s="658" t="s">
        <v>673</v>
      </c>
      <c r="C180" s="457" t="s">
        <v>1089</v>
      </c>
      <c r="D180" s="575"/>
      <c r="E180" s="575"/>
      <c r="F180" s="575"/>
      <c r="G180" s="575"/>
      <c r="H180" s="575"/>
      <c r="I180" s="575"/>
      <c r="J180" s="575"/>
      <c r="K180" s="575"/>
      <c r="L180" s="575"/>
      <c r="M180" s="575"/>
      <c r="N180" s="575"/>
      <c r="O180" s="575"/>
      <c r="P180" s="575"/>
      <c r="Q180" s="525"/>
      <c r="R180" s="659"/>
      <c r="S180" s="660"/>
      <c r="T180" s="521"/>
      <c r="U180" s="516"/>
      <c r="V180" s="517"/>
      <c r="W180" s="517"/>
      <c r="X180" s="517"/>
      <c r="Y180" s="517"/>
      <c r="Z180" s="517"/>
      <c r="AA180" s="517"/>
      <c r="AB180" s="517"/>
      <c r="AC180" s="524"/>
      <c r="AD180" s="517"/>
      <c r="AE180" s="517"/>
      <c r="AF180" s="517"/>
      <c r="AG180" s="517"/>
    </row>
    <row r="181" spans="1:34" s="518" customFormat="1" ht="12.75" hidden="1" customHeight="1">
      <c r="A181" s="515"/>
      <c r="B181" s="515"/>
      <c r="C181" s="661"/>
      <c r="D181" s="577"/>
      <c r="E181" s="577"/>
      <c r="F181" s="577"/>
      <c r="G181" s="577"/>
      <c r="H181" s="662"/>
      <c r="I181" s="662"/>
      <c r="J181" s="577"/>
      <c r="K181" s="577"/>
      <c r="L181" s="577"/>
      <c r="M181" s="577"/>
      <c r="N181" s="577"/>
      <c r="O181" s="577"/>
      <c r="P181" s="663"/>
      <c r="Q181" s="525"/>
      <c r="R181" s="659"/>
      <c r="S181" s="664"/>
      <c r="T181" s="521"/>
      <c r="U181" s="516"/>
      <c r="V181" s="517"/>
      <c r="W181" s="517"/>
      <c r="X181" s="517"/>
      <c r="Y181" s="517"/>
      <c r="Z181" s="517"/>
      <c r="AA181" s="517"/>
      <c r="AB181" s="517"/>
      <c r="AC181" s="524"/>
      <c r="AD181" s="517"/>
      <c r="AE181" s="517"/>
      <c r="AF181" s="517"/>
      <c r="AG181" s="517"/>
    </row>
    <row r="182" spans="1:34" ht="15" customHeight="1">
      <c r="A182" s="492"/>
      <c r="B182" s="492"/>
      <c r="C182" s="579" t="s">
        <v>133</v>
      </c>
      <c r="D182" s="809" t="s">
        <v>1100</v>
      </c>
      <c r="E182" s="809"/>
      <c r="F182" s="809" t="s">
        <v>678</v>
      </c>
      <c r="G182" s="809"/>
      <c r="H182" s="809" t="s">
        <v>677</v>
      </c>
      <c r="I182" s="809"/>
      <c r="J182" s="818" t="s">
        <v>134</v>
      </c>
      <c r="K182" s="818"/>
      <c r="L182" s="646"/>
      <c r="M182" s="844" t="s">
        <v>1107</v>
      </c>
      <c r="N182" s="844"/>
      <c r="O182" s="809" t="s">
        <v>1108</v>
      </c>
      <c r="P182" s="809"/>
      <c r="Q182" s="665"/>
      <c r="R182" s="507"/>
      <c r="S182" s="507"/>
      <c r="T182" s="532"/>
      <c r="U182" s="507"/>
      <c r="V182" s="508"/>
      <c r="W182" s="508"/>
      <c r="X182" s="508"/>
      <c r="Y182" s="508"/>
      <c r="Z182" s="508"/>
      <c r="AA182" s="508"/>
      <c r="AB182" s="508"/>
      <c r="AC182" s="534"/>
      <c r="AD182" s="508"/>
      <c r="AE182" s="508"/>
      <c r="AF182" s="508"/>
      <c r="AG182" s="508"/>
    </row>
    <row r="183" spans="1:34">
      <c r="A183" s="492"/>
      <c r="B183" s="492"/>
      <c r="C183" s="463"/>
      <c r="D183" s="463"/>
      <c r="E183" s="463"/>
      <c r="F183" s="463"/>
      <c r="G183" s="463"/>
      <c r="H183" s="456"/>
      <c r="I183" s="456"/>
      <c r="J183" s="456"/>
      <c r="K183" s="456"/>
      <c r="L183" s="456"/>
      <c r="M183" s="456"/>
      <c r="N183" s="456"/>
      <c r="O183" s="456"/>
      <c r="P183" s="456"/>
      <c r="Q183" s="507"/>
      <c r="R183" s="507"/>
      <c r="S183" s="507"/>
      <c r="T183" s="532"/>
      <c r="U183" s="507"/>
      <c r="V183" s="508"/>
      <c r="W183" s="508"/>
      <c r="X183" s="508"/>
      <c r="Y183" s="508"/>
      <c r="Z183" s="508"/>
      <c r="AA183" s="508"/>
      <c r="AB183" s="508"/>
      <c r="AC183" s="524"/>
      <c r="AD183" s="508"/>
      <c r="AE183" s="517"/>
      <c r="AF183" s="508"/>
      <c r="AG183" s="508"/>
    </row>
    <row r="184" spans="1:34" s="518" customFormat="1" ht="12" customHeight="1">
      <c r="A184" s="515"/>
      <c r="B184" s="515"/>
      <c r="C184" s="464" t="str">
        <f>L28</f>
        <v>woonkamer / eetkamer</v>
      </c>
      <c r="D184" s="831">
        <f>SUMPRODUCT(($AE$1:$AE$28075)*($L$1:$L$28075=C184))</f>
        <v>28.45</v>
      </c>
      <c r="E184" s="831"/>
      <c r="F184" s="811">
        <v>1</v>
      </c>
      <c r="G184" s="811"/>
      <c r="H184" s="841">
        <f t="shared" ref="H184:H189" si="36">IF(F184=0,"",IF(F184=1,0.1,0.4))</f>
        <v>0.1</v>
      </c>
      <c r="I184" s="841"/>
      <c r="J184" s="842" t="s">
        <v>245</v>
      </c>
      <c r="K184" s="842"/>
      <c r="L184" s="404"/>
      <c r="M184" s="666">
        <f>verzamelblad!$S$7*D184/H184/1000</f>
        <v>0.85349999999999993</v>
      </c>
      <c r="N184" s="735"/>
      <c r="O184" s="843">
        <f>M184</f>
        <v>0.85349999999999993</v>
      </c>
      <c r="P184" s="843"/>
      <c r="Q184" s="525" t="str">
        <f t="shared" ref="Q184:Q189" si="37">IF(D184=0,"verbergen","")</f>
        <v/>
      </c>
      <c r="R184" s="516"/>
      <c r="S184" s="516"/>
      <c r="T184" s="516"/>
      <c r="U184" s="516"/>
      <c r="V184" s="517"/>
      <c r="W184" s="508">
        <v>1</v>
      </c>
      <c r="X184" s="517"/>
      <c r="Y184" s="517"/>
      <c r="Z184" s="517"/>
      <c r="AA184" s="517"/>
      <c r="AB184" s="517"/>
      <c r="AC184" s="517"/>
      <c r="AD184" s="517"/>
      <c r="AE184" s="517"/>
      <c r="AF184" s="517"/>
      <c r="AG184" s="517"/>
    </row>
    <row r="185" spans="1:34" s="518" customFormat="1" ht="12" hidden="1" customHeight="1">
      <c r="A185" s="515"/>
      <c r="B185" s="515"/>
      <c r="C185" s="464" t="s">
        <v>140</v>
      </c>
      <c r="D185" s="831">
        <f>SUMPRODUCT(($AE$1:$AE$28075)*($L$1:$L$28075=C185))</f>
        <v>0</v>
      </c>
      <c r="E185" s="831"/>
      <c r="F185" s="811">
        <v>2</v>
      </c>
      <c r="G185" s="811"/>
      <c r="H185" s="841">
        <f t="shared" si="36"/>
        <v>0.4</v>
      </c>
      <c r="I185" s="841"/>
      <c r="J185" s="842" t="s">
        <v>245</v>
      </c>
      <c r="K185" s="842"/>
      <c r="L185" s="404"/>
      <c r="M185" s="666">
        <f>verzamelblad!$S$7*D185/H185/1000</f>
        <v>0</v>
      </c>
      <c r="N185" s="735"/>
      <c r="O185" s="843">
        <f t="shared" ref="O185:O189" si="38">M185</f>
        <v>0</v>
      </c>
      <c r="P185" s="843"/>
      <c r="Q185" s="525" t="str">
        <f t="shared" si="37"/>
        <v>verbergen</v>
      </c>
      <c r="R185" s="516"/>
      <c r="S185" s="516"/>
      <c r="T185" s="516"/>
      <c r="U185" s="516"/>
      <c r="V185" s="517"/>
      <c r="W185" s="508">
        <v>1</v>
      </c>
      <c r="X185" s="517"/>
      <c r="Y185" s="517"/>
      <c r="Z185" s="517"/>
      <c r="AA185" s="517"/>
      <c r="AB185" s="517"/>
      <c r="AC185" s="517"/>
      <c r="AD185" s="517"/>
      <c r="AE185" s="517"/>
      <c r="AF185" s="517"/>
      <c r="AG185" s="517"/>
    </row>
    <row r="186" spans="1:34" s="518" customFormat="1" ht="12" hidden="1" customHeight="1">
      <c r="A186" s="515"/>
      <c r="B186" s="515"/>
      <c r="C186" s="464" t="s">
        <v>140</v>
      </c>
      <c r="D186" s="831">
        <f>SUMPRODUCT(($AE$1:$AE$28075)*($L$1:$L$28075=C186))</f>
        <v>0</v>
      </c>
      <c r="E186" s="831"/>
      <c r="F186" s="811">
        <v>2</v>
      </c>
      <c r="G186" s="811"/>
      <c r="H186" s="841">
        <f t="shared" si="36"/>
        <v>0.4</v>
      </c>
      <c r="I186" s="841"/>
      <c r="J186" s="842" t="s">
        <v>245</v>
      </c>
      <c r="K186" s="842"/>
      <c r="L186" s="404"/>
      <c r="M186" s="666">
        <f>verzamelblad!$S$7*D186/H186/1000</f>
        <v>0</v>
      </c>
      <c r="N186" s="735"/>
      <c r="O186" s="845">
        <f t="shared" si="38"/>
        <v>0</v>
      </c>
      <c r="P186" s="846"/>
      <c r="Q186" s="525" t="str">
        <f t="shared" si="37"/>
        <v>verbergen</v>
      </c>
      <c r="R186" s="516"/>
      <c r="S186" s="516"/>
      <c r="T186" s="516"/>
      <c r="U186" s="516"/>
      <c r="V186" s="517"/>
      <c r="W186" s="508">
        <v>1</v>
      </c>
      <c r="X186" s="517"/>
      <c r="Y186" s="517"/>
      <c r="Z186" s="517"/>
      <c r="AA186" s="517"/>
      <c r="AB186" s="517"/>
      <c r="AC186" s="517"/>
      <c r="AD186" s="517"/>
      <c r="AE186" s="517"/>
      <c r="AF186" s="517"/>
      <c r="AG186" s="517"/>
    </row>
    <row r="187" spans="1:34" s="518" customFormat="1" ht="12" hidden="1" customHeight="1">
      <c r="A187" s="515"/>
      <c r="B187" s="515"/>
      <c r="C187" s="464" t="s">
        <v>140</v>
      </c>
      <c r="D187" s="831">
        <f>SUMPRODUCT(($AE$1:$AE$28075)*($L$1:$L$28075=C187))</f>
        <v>0</v>
      </c>
      <c r="E187" s="831"/>
      <c r="F187" s="811">
        <v>2</v>
      </c>
      <c r="G187" s="811"/>
      <c r="H187" s="841">
        <f t="shared" si="36"/>
        <v>0.4</v>
      </c>
      <c r="I187" s="841"/>
      <c r="J187" s="842" t="s">
        <v>245</v>
      </c>
      <c r="K187" s="842"/>
      <c r="L187" s="404"/>
      <c r="M187" s="666">
        <f>verzamelblad!$S$7*D187/H187/1000</f>
        <v>0</v>
      </c>
      <c r="N187" s="735"/>
      <c r="O187" s="843">
        <f t="shared" si="38"/>
        <v>0</v>
      </c>
      <c r="P187" s="843"/>
      <c r="Q187" s="525" t="str">
        <f t="shared" si="37"/>
        <v>verbergen</v>
      </c>
      <c r="R187" s="516"/>
      <c r="S187" s="516"/>
      <c r="T187" s="516"/>
      <c r="U187" s="516"/>
      <c r="V187" s="517"/>
      <c r="W187" s="508">
        <v>1</v>
      </c>
      <c r="X187" s="517"/>
      <c r="Y187" s="517"/>
      <c r="Z187" s="517"/>
      <c r="AA187" s="517"/>
      <c r="AB187" s="517"/>
      <c r="AC187" s="517"/>
      <c r="AD187" s="517"/>
      <c r="AE187" s="517"/>
      <c r="AF187" s="517"/>
      <c r="AG187" s="517"/>
    </row>
    <row r="188" spans="1:34" s="518" customFormat="1" ht="12" hidden="1" customHeight="1">
      <c r="A188" s="515"/>
      <c r="B188" s="515"/>
      <c r="C188" s="667" t="s">
        <v>140</v>
      </c>
      <c r="D188" s="847">
        <f>SUMPRODUCT(($AE$1:$AE$28075)*($L$1:$L$28075=C188))</f>
        <v>0</v>
      </c>
      <c r="E188" s="847"/>
      <c r="F188" s="812">
        <v>2</v>
      </c>
      <c r="G188" s="812"/>
      <c r="H188" s="848">
        <f t="shared" si="36"/>
        <v>0.4</v>
      </c>
      <c r="I188" s="848"/>
      <c r="J188" s="849" t="s">
        <v>245</v>
      </c>
      <c r="K188" s="849"/>
      <c r="L188" s="628"/>
      <c r="M188" s="668">
        <f>verzamelblad!$S$7*D188/H188/1000</f>
        <v>0</v>
      </c>
      <c r="N188" s="738"/>
      <c r="O188" s="850">
        <f t="shared" si="38"/>
        <v>0</v>
      </c>
      <c r="P188" s="850"/>
      <c r="Q188" s="525" t="str">
        <f t="shared" si="37"/>
        <v>verbergen</v>
      </c>
      <c r="R188" s="516"/>
      <c r="S188" s="516"/>
      <c r="T188" s="516"/>
      <c r="U188" s="516"/>
      <c r="V188" s="517"/>
      <c r="W188" s="508">
        <v>1</v>
      </c>
      <c r="X188" s="517"/>
      <c r="Y188" s="517"/>
      <c r="Z188" s="517"/>
      <c r="AA188" s="517"/>
      <c r="AB188" s="517"/>
      <c r="AC188" s="517"/>
      <c r="AD188" s="517"/>
      <c r="AE188" s="517"/>
      <c r="AF188" s="517"/>
      <c r="AG188" s="517"/>
    </row>
    <row r="189" spans="1:34" s="518" customFormat="1" ht="12" customHeight="1">
      <c r="A189" s="515"/>
      <c r="B189" s="590">
        <v>1</v>
      </c>
      <c r="C189" s="480">
        <f>B189</f>
        <v>1</v>
      </c>
      <c r="D189" s="851">
        <f>SUMPRODUCT(($AD$1:$AD$50032)*($AC$1:$AC$50032=B189))</f>
        <v>28.45</v>
      </c>
      <c r="E189" s="851"/>
      <c r="F189" s="852">
        <v>1</v>
      </c>
      <c r="G189" s="852"/>
      <c r="H189" s="853">
        <f t="shared" si="36"/>
        <v>0.1</v>
      </c>
      <c r="I189" s="853"/>
      <c r="J189" s="854" t="s">
        <v>245</v>
      </c>
      <c r="K189" s="854"/>
      <c r="L189" s="592"/>
      <c r="M189" s="669">
        <f>verzamelblad!$R$7*D189/H189/1000</f>
        <v>1.7069999999999999</v>
      </c>
      <c r="N189" s="739"/>
      <c r="O189" s="855">
        <f t="shared" si="38"/>
        <v>1.7069999999999999</v>
      </c>
      <c r="P189" s="855"/>
      <c r="Q189" s="525" t="str">
        <f t="shared" si="37"/>
        <v/>
      </c>
      <c r="R189" s="516"/>
      <c r="S189" s="516"/>
      <c r="T189" s="516"/>
      <c r="U189" s="516"/>
      <c r="V189" s="517"/>
      <c r="W189" s="508">
        <v>1</v>
      </c>
      <c r="X189" s="517"/>
      <c r="Y189" s="517"/>
      <c r="Z189" s="517"/>
      <c r="AA189" s="517"/>
      <c r="AB189" s="517"/>
      <c r="AC189" s="524"/>
      <c r="AD189" s="517"/>
      <c r="AE189" s="517"/>
      <c r="AF189" s="517"/>
      <c r="AG189" s="517"/>
    </row>
    <row r="190" spans="1:34" ht="12" customHeight="1">
      <c r="A190" s="492"/>
      <c r="B190" s="492"/>
      <c r="C190" s="463"/>
      <c r="D190" s="463"/>
      <c r="E190" s="463"/>
      <c r="F190" s="463"/>
      <c r="G190" s="463"/>
      <c r="H190" s="456"/>
      <c r="I190" s="456"/>
      <c r="J190" s="456"/>
      <c r="K190" s="456"/>
      <c r="L190" s="456"/>
      <c r="M190" s="456"/>
      <c r="N190" s="456"/>
      <c r="O190" s="456"/>
      <c r="P190" s="456"/>
      <c r="Q190" s="525"/>
      <c r="R190" s="507"/>
      <c r="S190" s="507"/>
      <c r="T190" s="532"/>
      <c r="U190" s="507"/>
      <c r="V190" s="508"/>
      <c r="W190" s="508">
        <v>1</v>
      </c>
      <c r="X190" s="508"/>
      <c r="Y190" s="508"/>
      <c r="Z190" s="508"/>
      <c r="AA190" s="508"/>
      <c r="AB190" s="508"/>
      <c r="AC190" s="508"/>
      <c r="AD190" s="508"/>
      <c r="AE190" s="508"/>
      <c r="AF190" s="508"/>
      <c r="AG190" s="508"/>
    </row>
    <row r="191" spans="1:34" s="541" customFormat="1" ht="12" customHeight="1">
      <c r="A191" s="543"/>
      <c r="B191" s="543"/>
      <c r="C191" s="464" t="str">
        <f>L29</f>
        <v>keuken</v>
      </c>
      <c r="D191" s="831">
        <f>SUMPRODUCT(($AE$1:$AE$28018)*($L$1:$L$28018=C191))</f>
        <v>16.100000000000001</v>
      </c>
      <c r="E191" s="831"/>
      <c r="F191" s="811">
        <v>1</v>
      </c>
      <c r="G191" s="811"/>
      <c r="H191" s="841">
        <f t="shared" ref="H191:H196" si="39">IF(F191=0,"",IF(F191=1,0.1,0.4))</f>
        <v>0.1</v>
      </c>
      <c r="I191" s="841"/>
      <c r="J191" s="842" t="s">
        <v>245</v>
      </c>
      <c r="K191" s="842"/>
      <c r="L191" s="404"/>
      <c r="M191" s="666">
        <f>verzamelblad!$S$7*D191/H191/1000</f>
        <v>0.48299999999999998</v>
      </c>
      <c r="N191" s="735"/>
      <c r="O191" s="843">
        <f>M191</f>
        <v>0.48299999999999998</v>
      </c>
      <c r="P191" s="843"/>
      <c r="Q191" s="403" t="str">
        <f>IF(D191=0,"verbergen","")</f>
        <v/>
      </c>
      <c r="R191" s="404"/>
      <c r="S191" s="404"/>
      <c r="T191" s="392"/>
      <c r="U191" s="392"/>
      <c r="V191" s="392"/>
      <c r="W191" s="547">
        <f>W190+1</f>
        <v>2</v>
      </c>
      <c r="X191" s="392"/>
      <c r="Y191" s="392"/>
      <c r="Z191" s="392"/>
      <c r="AA191" s="404"/>
      <c r="AB191" s="516"/>
      <c r="AC191" s="516"/>
      <c r="AD191" s="516"/>
      <c r="AE191" s="516"/>
      <c r="AF191" s="516"/>
      <c r="AG191" s="516"/>
      <c r="AH191" s="516"/>
    </row>
    <row r="192" spans="1:34" s="541" customFormat="1" ht="12" customHeight="1">
      <c r="A192" s="543"/>
      <c r="B192" s="543"/>
      <c r="C192" s="464" t="str">
        <f>L30</f>
        <v>bijkeuken</v>
      </c>
      <c r="D192" s="831">
        <f>SUMPRODUCT(($AE$1:$AE$28018)*($L$1:$L$28018=C192))</f>
        <v>5.96</v>
      </c>
      <c r="E192" s="831"/>
      <c r="F192" s="811">
        <v>1</v>
      </c>
      <c r="G192" s="811"/>
      <c r="H192" s="841">
        <f t="shared" si="39"/>
        <v>0.1</v>
      </c>
      <c r="I192" s="841"/>
      <c r="J192" s="842" t="s">
        <v>245</v>
      </c>
      <c r="K192" s="842"/>
      <c r="L192" s="404"/>
      <c r="M192" s="666">
        <f>verzamelblad!$S$7*D192/H192/1000</f>
        <v>0.17879999999999999</v>
      </c>
      <c r="N192" s="735"/>
      <c r="O192" s="843">
        <f t="shared" ref="O192:O196" si="40">M192</f>
        <v>0.17879999999999999</v>
      </c>
      <c r="P192" s="843"/>
      <c r="Q192" s="403" t="str">
        <f t="shared" ref="Q192:Q196" si="41">IF(D192=0,"verbergen","")</f>
        <v/>
      </c>
      <c r="R192" s="404"/>
      <c r="S192" s="404"/>
      <c r="T192" s="392"/>
      <c r="U192" s="392"/>
      <c r="V192" s="392"/>
      <c r="W192" s="547">
        <f t="shared" ref="W192:W197" si="42">W191</f>
        <v>2</v>
      </c>
      <c r="X192" s="392"/>
      <c r="Y192" s="392"/>
      <c r="Z192" s="392"/>
      <c r="AA192" s="404"/>
      <c r="AB192" s="516"/>
      <c r="AC192" s="516"/>
      <c r="AD192" s="516"/>
      <c r="AE192" s="516"/>
      <c r="AF192" s="516"/>
      <c r="AG192" s="516"/>
      <c r="AH192" s="516"/>
    </row>
    <row r="193" spans="1:34" s="541" customFormat="1" ht="12" hidden="1" customHeight="1">
      <c r="A193" s="543"/>
      <c r="B193" s="543"/>
      <c r="C193" s="464" t="s">
        <v>140</v>
      </c>
      <c r="D193" s="831">
        <f>SUMPRODUCT(($AE$1:$AE$28018)*($L$1:$L$28018=C193))</f>
        <v>0</v>
      </c>
      <c r="E193" s="831"/>
      <c r="F193" s="811">
        <v>2</v>
      </c>
      <c r="G193" s="811"/>
      <c r="H193" s="841">
        <f t="shared" si="39"/>
        <v>0.4</v>
      </c>
      <c r="I193" s="841"/>
      <c r="J193" s="842" t="s">
        <v>245</v>
      </c>
      <c r="K193" s="842"/>
      <c r="L193" s="404"/>
      <c r="M193" s="666">
        <f>verzamelblad!$S$7*D193/H193/1000</f>
        <v>0</v>
      </c>
      <c r="N193" s="735"/>
      <c r="O193" s="843">
        <f t="shared" si="40"/>
        <v>0</v>
      </c>
      <c r="P193" s="843"/>
      <c r="Q193" s="403" t="str">
        <f t="shared" si="41"/>
        <v>verbergen</v>
      </c>
      <c r="R193" s="404"/>
      <c r="S193" s="404"/>
      <c r="T193" s="392"/>
      <c r="U193" s="392"/>
      <c r="V193" s="392"/>
      <c r="W193" s="547">
        <f t="shared" si="42"/>
        <v>2</v>
      </c>
      <c r="X193" s="392"/>
      <c r="Y193" s="392"/>
      <c r="Z193" s="392"/>
      <c r="AA193" s="404"/>
      <c r="AB193" s="516"/>
      <c r="AC193" s="516"/>
      <c r="AD193" s="516"/>
      <c r="AE193" s="516"/>
      <c r="AF193" s="516"/>
      <c r="AG193" s="516"/>
      <c r="AH193" s="516"/>
    </row>
    <row r="194" spans="1:34" s="541" customFormat="1" ht="12" hidden="1" customHeight="1">
      <c r="A194" s="543"/>
      <c r="B194" s="543"/>
      <c r="C194" s="464" t="s">
        <v>140</v>
      </c>
      <c r="D194" s="831">
        <f>SUMPRODUCT(($AE$1:$AE$28018)*($L$1:$L$28018=C194))</f>
        <v>0</v>
      </c>
      <c r="E194" s="831"/>
      <c r="F194" s="811">
        <v>2</v>
      </c>
      <c r="G194" s="811"/>
      <c r="H194" s="841">
        <f t="shared" si="39"/>
        <v>0.4</v>
      </c>
      <c r="I194" s="841"/>
      <c r="J194" s="842" t="s">
        <v>245</v>
      </c>
      <c r="K194" s="842"/>
      <c r="L194" s="404"/>
      <c r="M194" s="666">
        <f>verzamelblad!$S$7*D194/H194/1000</f>
        <v>0</v>
      </c>
      <c r="N194" s="735"/>
      <c r="O194" s="843">
        <f t="shared" si="40"/>
        <v>0</v>
      </c>
      <c r="P194" s="843"/>
      <c r="Q194" s="403" t="str">
        <f t="shared" si="41"/>
        <v>verbergen</v>
      </c>
      <c r="R194" s="404"/>
      <c r="S194" s="404"/>
      <c r="T194" s="392"/>
      <c r="U194" s="392"/>
      <c r="V194" s="392"/>
      <c r="W194" s="547">
        <f t="shared" si="42"/>
        <v>2</v>
      </c>
      <c r="X194" s="392"/>
      <c r="Y194" s="392"/>
      <c r="Z194" s="392"/>
      <c r="AA194" s="404"/>
      <c r="AB194" s="516"/>
      <c r="AC194" s="516"/>
      <c r="AD194" s="516"/>
      <c r="AE194" s="516"/>
      <c r="AF194" s="516"/>
      <c r="AG194" s="516"/>
      <c r="AH194" s="516"/>
    </row>
    <row r="195" spans="1:34" s="541" customFormat="1" ht="12" hidden="1" customHeight="1">
      <c r="A195" s="543"/>
      <c r="B195" s="543"/>
      <c r="C195" s="464" t="s">
        <v>140</v>
      </c>
      <c r="D195" s="847">
        <f>SUMPRODUCT(($AE$1:$AE$28018)*($L$1:$L$28018=C195))</f>
        <v>0</v>
      </c>
      <c r="E195" s="847"/>
      <c r="F195" s="812">
        <v>2</v>
      </c>
      <c r="G195" s="812"/>
      <c r="H195" s="848">
        <f t="shared" si="39"/>
        <v>0.4</v>
      </c>
      <c r="I195" s="848"/>
      <c r="J195" s="849" t="s">
        <v>245</v>
      </c>
      <c r="K195" s="849"/>
      <c r="L195" s="628"/>
      <c r="M195" s="668">
        <f>verzamelblad!$S$7*D195/H195/1000</f>
        <v>0</v>
      </c>
      <c r="N195" s="738"/>
      <c r="O195" s="850">
        <f t="shared" si="40"/>
        <v>0</v>
      </c>
      <c r="P195" s="850"/>
      <c r="Q195" s="403" t="str">
        <f>IF(D195=0,"verbergen","")</f>
        <v>verbergen</v>
      </c>
      <c r="R195" s="404"/>
      <c r="S195" s="404"/>
      <c r="T195" s="392"/>
      <c r="U195" s="392"/>
      <c r="V195" s="392"/>
      <c r="W195" s="547">
        <f t="shared" si="42"/>
        <v>2</v>
      </c>
      <c r="X195" s="392"/>
      <c r="Y195" s="392"/>
      <c r="Z195" s="392"/>
      <c r="AA195" s="404"/>
      <c r="AB195" s="516"/>
      <c r="AC195" s="516"/>
      <c r="AD195" s="516"/>
      <c r="AE195" s="516"/>
      <c r="AF195" s="516"/>
      <c r="AG195" s="516"/>
      <c r="AH195" s="516"/>
    </row>
    <row r="196" spans="1:34" s="541" customFormat="1" ht="12" customHeight="1">
      <c r="A196" s="543"/>
      <c r="B196" s="556">
        <f>B189+1</f>
        <v>2</v>
      </c>
      <c r="C196" s="480">
        <f>B196</f>
        <v>2</v>
      </c>
      <c r="D196" s="851">
        <f>SUMPRODUCT(($AD$1:$AD$50044)*($AC$1:$AC$50044=B196))</f>
        <v>22.37</v>
      </c>
      <c r="E196" s="851"/>
      <c r="F196" s="852">
        <v>2</v>
      </c>
      <c r="G196" s="852"/>
      <c r="H196" s="853">
        <f t="shared" si="39"/>
        <v>0.4</v>
      </c>
      <c r="I196" s="853"/>
      <c r="J196" s="854" t="s">
        <v>245</v>
      </c>
      <c r="K196" s="854"/>
      <c r="L196" s="592"/>
      <c r="M196" s="669">
        <f>verzamelblad!$R$7*D196/H196/1000</f>
        <v>0.33554999999999996</v>
      </c>
      <c r="N196" s="739"/>
      <c r="O196" s="855">
        <f t="shared" si="40"/>
        <v>0.33554999999999996</v>
      </c>
      <c r="P196" s="855"/>
      <c r="Q196" s="403" t="str">
        <f t="shared" si="41"/>
        <v/>
      </c>
      <c r="R196" s="404"/>
      <c r="S196" s="404"/>
      <c r="T196" s="392"/>
      <c r="U196" s="392"/>
      <c r="V196" s="392"/>
      <c r="W196" s="547">
        <f t="shared" si="42"/>
        <v>2</v>
      </c>
      <c r="X196" s="392"/>
      <c r="Y196" s="392"/>
      <c r="Z196" s="392"/>
      <c r="AA196" s="404"/>
      <c r="AB196" s="516"/>
      <c r="AC196" s="516"/>
      <c r="AD196" s="516"/>
      <c r="AE196" s="516"/>
      <c r="AF196" s="516"/>
      <c r="AG196" s="516"/>
      <c r="AH196" s="516"/>
    </row>
    <row r="197" spans="1:34" s="493" customFormat="1" ht="12" customHeight="1">
      <c r="A197" s="560"/>
      <c r="B197" s="560"/>
      <c r="C197" s="463"/>
      <c r="D197" s="463"/>
      <c r="E197" s="463"/>
      <c r="F197" s="463"/>
      <c r="G197" s="463"/>
      <c r="H197" s="456"/>
      <c r="I197" s="456"/>
      <c r="J197" s="456"/>
      <c r="K197" s="456"/>
      <c r="L197" s="456"/>
      <c r="M197" s="456"/>
      <c r="N197" s="456"/>
      <c r="O197" s="456"/>
      <c r="P197" s="456"/>
      <c r="Q197" s="451"/>
      <c r="R197" s="451"/>
      <c r="S197" s="451"/>
      <c r="T197" s="561"/>
      <c r="U197" s="547"/>
      <c r="V197" s="547"/>
      <c r="W197" s="547">
        <f t="shared" si="42"/>
        <v>2</v>
      </c>
      <c r="X197" s="547"/>
      <c r="Y197" s="547"/>
      <c r="Z197" s="547"/>
      <c r="AA197" s="451"/>
      <c r="AB197" s="507"/>
      <c r="AC197" s="507"/>
      <c r="AD197" s="507"/>
      <c r="AE197" s="507"/>
      <c r="AF197" s="507"/>
      <c r="AG197" s="507"/>
      <c r="AH197" s="507"/>
    </row>
    <row r="198" spans="1:34" s="541" customFormat="1" ht="12" customHeight="1">
      <c r="A198" s="543"/>
      <c r="B198" s="543"/>
      <c r="C198" s="640" t="str">
        <f>L31</f>
        <v>slaapkamer 1</v>
      </c>
      <c r="D198" s="831">
        <f>SUMPRODUCT(($AE$1:$AE$28002)*($L$1:$L$28002=C198))</f>
        <v>10.88</v>
      </c>
      <c r="E198" s="831"/>
      <c r="F198" s="811">
        <v>1</v>
      </c>
      <c r="G198" s="811"/>
      <c r="H198" s="841">
        <f t="shared" ref="H198:H203" si="43">IF(F198=0,"",IF(F198=1,0.1,0.4))</f>
        <v>0.1</v>
      </c>
      <c r="I198" s="841"/>
      <c r="J198" s="842" t="s">
        <v>245</v>
      </c>
      <c r="K198" s="842"/>
      <c r="L198" s="404"/>
      <c r="M198" s="666">
        <f>verzamelblad!$S$7*D198/H198/1000</f>
        <v>0.32639999999999997</v>
      </c>
      <c r="N198" s="735"/>
      <c r="O198" s="856">
        <f>M198</f>
        <v>0.32639999999999997</v>
      </c>
      <c r="P198" s="856"/>
      <c r="Q198" s="403" t="str">
        <f>IF(D198=0,"verbergen","")</f>
        <v/>
      </c>
      <c r="R198" s="404"/>
      <c r="S198" s="404"/>
      <c r="T198" s="392"/>
      <c r="U198" s="392"/>
      <c r="V198" s="392"/>
      <c r="W198" s="547">
        <f>W197+1</f>
        <v>3</v>
      </c>
      <c r="X198" s="392"/>
      <c r="Y198" s="392"/>
      <c r="Z198" s="392"/>
      <c r="AA198" s="404"/>
      <c r="AB198" s="516"/>
      <c r="AC198" s="516"/>
      <c r="AD198" s="516"/>
      <c r="AE198" s="516"/>
      <c r="AF198" s="516"/>
      <c r="AG198" s="516"/>
      <c r="AH198" s="516"/>
    </row>
    <row r="199" spans="1:34" s="541" customFormat="1" ht="12" customHeight="1">
      <c r="A199" s="543"/>
      <c r="B199" s="543"/>
      <c r="C199" s="640" t="str">
        <f t="shared" ref="C199:C200" si="44">L32</f>
        <v>slaapkamer 2</v>
      </c>
      <c r="D199" s="831">
        <f>SUMPRODUCT(($AE$1:$AE$28002)*($L$1:$L$28002=C199))</f>
        <v>10.78</v>
      </c>
      <c r="E199" s="831"/>
      <c r="F199" s="811">
        <v>1</v>
      </c>
      <c r="G199" s="811"/>
      <c r="H199" s="841">
        <f t="shared" si="43"/>
        <v>0.1</v>
      </c>
      <c r="I199" s="841"/>
      <c r="J199" s="842" t="s">
        <v>245</v>
      </c>
      <c r="K199" s="842"/>
      <c r="L199" s="404"/>
      <c r="M199" s="666">
        <f>verzamelblad!$S$7*D199/H199/1000</f>
        <v>0.32339999999999991</v>
      </c>
      <c r="N199" s="735"/>
      <c r="O199" s="856">
        <f t="shared" ref="O199:O203" si="45">M199</f>
        <v>0.32339999999999991</v>
      </c>
      <c r="P199" s="856"/>
      <c r="Q199" s="403" t="str">
        <f t="shared" ref="Q199:Q203" si="46">IF(D199=0,"verbergen","")</f>
        <v/>
      </c>
      <c r="R199" s="404"/>
      <c r="S199" s="404"/>
      <c r="T199" s="392"/>
      <c r="U199" s="392"/>
      <c r="V199" s="392"/>
      <c r="W199" s="547">
        <f t="shared" ref="W199:W204" si="47">W198</f>
        <v>3</v>
      </c>
      <c r="X199" s="392"/>
      <c r="Y199" s="392"/>
      <c r="Z199" s="392"/>
      <c r="AA199" s="404"/>
      <c r="AB199" s="516"/>
      <c r="AC199" s="516"/>
      <c r="AD199" s="516"/>
      <c r="AE199" s="516"/>
      <c r="AF199" s="516"/>
      <c r="AG199" s="516"/>
      <c r="AH199" s="516"/>
    </row>
    <row r="200" spans="1:34" s="541" customFormat="1" ht="12" customHeight="1">
      <c r="A200" s="543"/>
      <c r="B200" s="543"/>
      <c r="C200" s="640" t="str">
        <f t="shared" si="44"/>
        <v>studeerkamer</v>
      </c>
      <c r="D200" s="831">
        <f>SUMPRODUCT(($AE$1:$AE$28002)*($L$1:$L$28002=C200))</f>
        <v>9.8000000000000007</v>
      </c>
      <c r="E200" s="831"/>
      <c r="F200" s="811">
        <v>1</v>
      </c>
      <c r="G200" s="811"/>
      <c r="H200" s="841">
        <f t="shared" si="43"/>
        <v>0.1</v>
      </c>
      <c r="I200" s="841"/>
      <c r="J200" s="842" t="s">
        <v>245</v>
      </c>
      <c r="K200" s="842"/>
      <c r="L200" s="404"/>
      <c r="M200" s="666">
        <f>verzamelblad!$S$7*D200/H200/1000</f>
        <v>0.29399999999999998</v>
      </c>
      <c r="N200" s="735"/>
      <c r="O200" s="856">
        <f t="shared" si="45"/>
        <v>0.29399999999999998</v>
      </c>
      <c r="P200" s="856"/>
      <c r="Q200" s="403" t="str">
        <f t="shared" si="46"/>
        <v/>
      </c>
      <c r="R200" s="404"/>
      <c r="S200" s="404"/>
      <c r="T200" s="392"/>
      <c r="U200" s="392"/>
      <c r="V200" s="392"/>
      <c r="W200" s="547">
        <f t="shared" si="47"/>
        <v>3</v>
      </c>
      <c r="X200" s="392"/>
      <c r="Y200" s="392"/>
      <c r="Z200" s="392"/>
      <c r="AA200" s="404"/>
      <c r="AB200" s="516"/>
      <c r="AC200" s="516"/>
      <c r="AD200" s="516"/>
      <c r="AE200" s="516"/>
      <c r="AF200" s="516"/>
      <c r="AG200" s="516"/>
      <c r="AH200" s="516"/>
    </row>
    <row r="201" spans="1:34" s="541" customFormat="1" ht="12" hidden="1" customHeight="1">
      <c r="A201" s="543"/>
      <c r="B201" s="543"/>
      <c r="C201" s="640" t="s">
        <v>140</v>
      </c>
      <c r="D201" s="831">
        <f>SUMPRODUCT(($AE$1:$AE$28002)*($L$1:$L$28002=C201))</f>
        <v>0</v>
      </c>
      <c r="E201" s="831"/>
      <c r="F201" s="811">
        <v>2</v>
      </c>
      <c r="G201" s="811"/>
      <c r="H201" s="841">
        <f t="shared" si="43"/>
        <v>0.4</v>
      </c>
      <c r="I201" s="841"/>
      <c r="J201" s="842" t="s">
        <v>245</v>
      </c>
      <c r="K201" s="842"/>
      <c r="L201" s="404"/>
      <c r="M201" s="666">
        <f>verzamelblad!$S$7*D201/H201/1000</f>
        <v>0</v>
      </c>
      <c r="N201" s="735"/>
      <c r="O201" s="856">
        <f t="shared" si="45"/>
        <v>0</v>
      </c>
      <c r="P201" s="856"/>
      <c r="Q201" s="403" t="str">
        <f t="shared" si="46"/>
        <v>verbergen</v>
      </c>
      <c r="R201" s="404"/>
      <c r="S201" s="404"/>
      <c r="T201" s="392"/>
      <c r="U201" s="392"/>
      <c r="V201" s="392"/>
      <c r="W201" s="547">
        <f t="shared" si="47"/>
        <v>3</v>
      </c>
      <c r="X201" s="392"/>
      <c r="Y201" s="392"/>
      <c r="Z201" s="392"/>
      <c r="AA201" s="404"/>
      <c r="AB201" s="516"/>
      <c r="AC201" s="516"/>
      <c r="AD201" s="516"/>
      <c r="AE201" s="516"/>
      <c r="AF201" s="516"/>
      <c r="AG201" s="516"/>
      <c r="AH201" s="516"/>
    </row>
    <row r="202" spans="1:34" s="541" customFormat="1" ht="12" hidden="1" customHeight="1">
      <c r="A202" s="543"/>
      <c r="B202" s="543"/>
      <c r="C202" s="667" t="s">
        <v>140</v>
      </c>
      <c r="D202" s="847">
        <f>SUMPRODUCT(($AE$1:$AE$28002)*($L$1:$L$28002=C202))</f>
        <v>0</v>
      </c>
      <c r="E202" s="847"/>
      <c r="F202" s="812">
        <v>2</v>
      </c>
      <c r="G202" s="812"/>
      <c r="H202" s="848">
        <f t="shared" si="43"/>
        <v>0.4</v>
      </c>
      <c r="I202" s="848"/>
      <c r="J202" s="849" t="s">
        <v>245</v>
      </c>
      <c r="K202" s="849"/>
      <c r="L202" s="628"/>
      <c r="M202" s="668">
        <f>verzamelblad!$S$7*D202/H202/1000</f>
        <v>0</v>
      </c>
      <c r="N202" s="738"/>
      <c r="O202" s="857">
        <f t="shared" si="45"/>
        <v>0</v>
      </c>
      <c r="P202" s="857"/>
      <c r="Q202" s="403" t="str">
        <f>IF(D202=0,"verbergen","")</f>
        <v>verbergen</v>
      </c>
      <c r="R202" s="404"/>
      <c r="S202" s="404"/>
      <c r="T202" s="392"/>
      <c r="U202" s="392"/>
      <c r="V202" s="392"/>
      <c r="W202" s="547">
        <f t="shared" si="47"/>
        <v>3</v>
      </c>
      <c r="X202" s="392"/>
      <c r="Y202" s="392"/>
      <c r="Z202" s="392"/>
      <c r="AA202" s="404"/>
      <c r="AB202" s="516"/>
      <c r="AC202" s="516"/>
      <c r="AD202" s="516"/>
      <c r="AE202" s="516"/>
      <c r="AF202" s="516"/>
      <c r="AG202" s="516"/>
      <c r="AH202" s="516"/>
    </row>
    <row r="203" spans="1:34" s="541" customFormat="1" ht="12" customHeight="1">
      <c r="A203" s="543"/>
      <c r="B203" s="556">
        <f>B196+1</f>
        <v>3</v>
      </c>
      <c r="C203" s="480">
        <f>B203</f>
        <v>3</v>
      </c>
      <c r="D203" s="851">
        <f>SUMPRODUCT(($AD$1:$AD$50028)*($AC$1:$AC$50028=B203))</f>
        <v>25.86</v>
      </c>
      <c r="E203" s="851"/>
      <c r="F203" s="852">
        <v>2</v>
      </c>
      <c r="G203" s="852"/>
      <c r="H203" s="853">
        <f t="shared" si="43"/>
        <v>0.4</v>
      </c>
      <c r="I203" s="853"/>
      <c r="J203" s="854" t="s">
        <v>245</v>
      </c>
      <c r="K203" s="854"/>
      <c r="L203" s="592"/>
      <c r="M203" s="669">
        <f>verzamelblad!$R$7*D203/H203/1000</f>
        <v>0.38789999999999997</v>
      </c>
      <c r="N203" s="739"/>
      <c r="O203" s="858">
        <f t="shared" si="45"/>
        <v>0.38789999999999997</v>
      </c>
      <c r="P203" s="858"/>
      <c r="Q203" s="403" t="str">
        <f t="shared" si="46"/>
        <v/>
      </c>
      <c r="R203" s="404"/>
      <c r="S203" s="404"/>
      <c r="T203" s="392"/>
      <c r="U203" s="392"/>
      <c r="V203" s="392"/>
      <c r="W203" s="547">
        <f t="shared" si="47"/>
        <v>3</v>
      </c>
      <c r="X203" s="392"/>
      <c r="Y203" s="392"/>
      <c r="Z203" s="392"/>
      <c r="AA203" s="404"/>
      <c r="AB203" s="516"/>
      <c r="AC203" s="516"/>
      <c r="AD203" s="516"/>
      <c r="AE203" s="516"/>
      <c r="AF203" s="516"/>
      <c r="AG203" s="516"/>
      <c r="AH203" s="516"/>
    </row>
    <row r="204" spans="1:34" s="493" customFormat="1" ht="12" customHeight="1">
      <c r="A204" s="560"/>
      <c r="B204" s="560"/>
      <c r="C204" s="463"/>
      <c r="D204" s="463"/>
      <c r="E204" s="463"/>
      <c r="F204" s="463"/>
      <c r="G204" s="463"/>
      <c r="H204" s="456"/>
      <c r="I204" s="456"/>
      <c r="J204" s="456"/>
      <c r="K204" s="456"/>
      <c r="L204" s="456"/>
      <c r="M204" s="456"/>
      <c r="N204" s="456"/>
      <c r="O204" s="456"/>
      <c r="P204" s="456"/>
      <c r="Q204" s="451"/>
      <c r="R204" s="451"/>
      <c r="S204" s="451"/>
      <c r="T204" s="561"/>
      <c r="U204" s="547"/>
      <c r="V204" s="547"/>
      <c r="W204" s="547">
        <f t="shared" si="47"/>
        <v>3</v>
      </c>
      <c r="X204" s="547"/>
      <c r="Y204" s="547"/>
      <c r="Z204" s="547"/>
      <c r="AA204" s="451"/>
      <c r="AB204" s="507"/>
      <c r="AC204" s="507"/>
      <c r="AD204" s="507"/>
      <c r="AE204" s="507"/>
      <c r="AF204" s="507"/>
      <c r="AG204" s="507"/>
      <c r="AH204" s="507"/>
    </row>
    <row r="205" spans="1:34" s="541" customFormat="1" ht="12" customHeight="1">
      <c r="A205" s="543"/>
      <c r="B205" s="543"/>
      <c r="C205" s="640" t="str">
        <f>L34</f>
        <v>slaapkamer 3</v>
      </c>
      <c r="D205" s="831">
        <f>SUMPRODUCT(($AE$1:$AE$27974)*($L$1:$L$27974=C205))</f>
        <v>9.32</v>
      </c>
      <c r="E205" s="831"/>
      <c r="F205" s="811">
        <v>1</v>
      </c>
      <c r="G205" s="811"/>
      <c r="H205" s="841">
        <f t="shared" ref="H205:H210" si="48">IF(F205=0,"",IF(F205=1,0.1,0.4))</f>
        <v>0.1</v>
      </c>
      <c r="I205" s="841"/>
      <c r="J205" s="842" t="s">
        <v>245</v>
      </c>
      <c r="K205" s="842"/>
      <c r="L205" s="404"/>
      <c r="M205" s="666">
        <f>verzamelblad!$S$7*D205/H205/1000</f>
        <v>0.27959999999999996</v>
      </c>
      <c r="N205" s="735"/>
      <c r="O205" s="856">
        <f>M205</f>
        <v>0.27959999999999996</v>
      </c>
      <c r="P205" s="856"/>
      <c r="Q205" s="403" t="str">
        <f>IF(D205=0,"verbergen","")</f>
        <v/>
      </c>
      <c r="R205" s="404"/>
      <c r="S205" s="404"/>
      <c r="T205" s="392"/>
      <c r="U205" s="392"/>
      <c r="V205" s="392"/>
      <c r="W205" s="547">
        <f>W204+1</f>
        <v>4</v>
      </c>
      <c r="X205" s="392"/>
      <c r="Y205" s="392"/>
      <c r="Z205" s="392"/>
      <c r="AA205" s="404"/>
      <c r="AB205" s="516"/>
      <c r="AC205" s="516"/>
      <c r="AD205" s="516"/>
      <c r="AE205" s="516"/>
      <c r="AF205" s="516"/>
      <c r="AG205" s="516"/>
      <c r="AH205" s="516"/>
    </row>
    <row r="206" spans="1:34" s="541" customFormat="1" ht="12" hidden="1" customHeight="1">
      <c r="A206" s="543"/>
      <c r="B206" s="543"/>
      <c r="C206" s="640" t="s">
        <v>140</v>
      </c>
      <c r="D206" s="831">
        <f>SUMPRODUCT(($AE$1:$AE$27974)*($L$1:$L$27974=C206))</f>
        <v>0</v>
      </c>
      <c r="E206" s="831"/>
      <c r="F206" s="811">
        <v>2</v>
      </c>
      <c r="G206" s="811"/>
      <c r="H206" s="841">
        <f t="shared" si="48"/>
        <v>0.4</v>
      </c>
      <c r="I206" s="841"/>
      <c r="J206" s="842" t="s">
        <v>245</v>
      </c>
      <c r="K206" s="842"/>
      <c r="L206" s="404"/>
      <c r="M206" s="666">
        <f>verzamelblad!$S$7*D206/H206/1000</f>
        <v>0</v>
      </c>
      <c r="N206" s="735"/>
      <c r="O206" s="856">
        <f t="shared" ref="O206:O210" si="49">M206</f>
        <v>0</v>
      </c>
      <c r="P206" s="856"/>
      <c r="Q206" s="403" t="str">
        <f t="shared" ref="Q206:Q210" si="50">IF(D206=0,"verbergen","")</f>
        <v>verbergen</v>
      </c>
      <c r="R206" s="404"/>
      <c r="S206" s="404"/>
      <c r="T206" s="392"/>
      <c r="U206" s="392"/>
      <c r="V206" s="392"/>
      <c r="W206" s="547">
        <f t="shared" ref="W206:W211" si="51">W205</f>
        <v>4</v>
      </c>
      <c r="X206" s="392"/>
      <c r="Y206" s="392"/>
      <c r="Z206" s="392"/>
      <c r="AA206" s="404"/>
      <c r="AB206" s="516"/>
      <c r="AC206" s="516"/>
      <c r="AD206" s="516"/>
      <c r="AE206" s="516"/>
      <c r="AF206" s="516"/>
      <c r="AG206" s="516"/>
      <c r="AH206" s="516"/>
    </row>
    <row r="207" spans="1:34" s="541" customFormat="1" ht="12" hidden="1" customHeight="1">
      <c r="A207" s="543"/>
      <c r="B207" s="543"/>
      <c r="C207" s="640" t="s">
        <v>140</v>
      </c>
      <c r="D207" s="831">
        <f>SUMPRODUCT(($AE$1:$AE$27974)*($L$1:$L$27974=C207))</f>
        <v>0</v>
      </c>
      <c r="E207" s="831"/>
      <c r="F207" s="811">
        <v>2</v>
      </c>
      <c r="G207" s="811"/>
      <c r="H207" s="841">
        <f t="shared" si="48"/>
        <v>0.4</v>
      </c>
      <c r="I207" s="841"/>
      <c r="J207" s="842" t="s">
        <v>245</v>
      </c>
      <c r="K207" s="842"/>
      <c r="L207" s="404"/>
      <c r="M207" s="666">
        <f>verzamelblad!$S$7*D207/H207/1000</f>
        <v>0</v>
      </c>
      <c r="N207" s="735"/>
      <c r="O207" s="856">
        <f t="shared" si="49"/>
        <v>0</v>
      </c>
      <c r="P207" s="856"/>
      <c r="Q207" s="403" t="str">
        <f t="shared" si="50"/>
        <v>verbergen</v>
      </c>
      <c r="R207" s="404"/>
      <c r="S207" s="404"/>
      <c r="T207" s="392"/>
      <c r="U207" s="392"/>
      <c r="V207" s="392"/>
      <c r="W207" s="547">
        <f t="shared" si="51"/>
        <v>4</v>
      </c>
      <c r="X207" s="392"/>
      <c r="Y207" s="392"/>
      <c r="Z207" s="392"/>
      <c r="AA207" s="404"/>
      <c r="AB207" s="516"/>
      <c r="AC207" s="516"/>
      <c r="AD207" s="516"/>
      <c r="AE207" s="516"/>
      <c r="AF207" s="516"/>
      <c r="AG207" s="516"/>
      <c r="AH207" s="516"/>
    </row>
    <row r="208" spans="1:34" s="541" customFormat="1" ht="12" hidden="1" customHeight="1">
      <c r="A208" s="543"/>
      <c r="B208" s="543"/>
      <c r="C208" s="640" t="s">
        <v>140</v>
      </c>
      <c r="D208" s="831">
        <f>SUMPRODUCT(($AE$1:$AE$27974)*($L$1:$L$27974=C208))</f>
        <v>0</v>
      </c>
      <c r="E208" s="831"/>
      <c r="F208" s="811">
        <v>2</v>
      </c>
      <c r="G208" s="811"/>
      <c r="H208" s="841">
        <f t="shared" si="48"/>
        <v>0.4</v>
      </c>
      <c r="I208" s="841"/>
      <c r="J208" s="842" t="s">
        <v>245</v>
      </c>
      <c r="K208" s="842"/>
      <c r="L208" s="404"/>
      <c r="M208" s="666">
        <f>verzamelblad!$S$7*D208/H208/1000</f>
        <v>0</v>
      </c>
      <c r="N208" s="735"/>
      <c r="O208" s="856">
        <f t="shared" si="49"/>
        <v>0</v>
      </c>
      <c r="P208" s="856"/>
      <c r="Q208" s="403" t="str">
        <f t="shared" si="50"/>
        <v>verbergen</v>
      </c>
      <c r="R208" s="404"/>
      <c r="S208" s="404"/>
      <c r="T208" s="392"/>
      <c r="U208" s="392"/>
      <c r="V208" s="392"/>
      <c r="W208" s="547">
        <f t="shared" si="51"/>
        <v>4</v>
      </c>
      <c r="X208" s="392"/>
      <c r="Y208" s="392"/>
      <c r="Z208" s="392"/>
      <c r="AA208" s="404"/>
      <c r="AB208" s="516"/>
      <c r="AC208" s="516"/>
      <c r="AD208" s="516"/>
      <c r="AE208" s="516"/>
      <c r="AF208" s="516"/>
      <c r="AG208" s="516"/>
      <c r="AH208" s="516"/>
    </row>
    <row r="209" spans="1:34" s="541" customFormat="1" ht="12" hidden="1" customHeight="1">
      <c r="A209" s="543"/>
      <c r="B209" s="543"/>
      <c r="C209" s="667" t="s">
        <v>140</v>
      </c>
      <c r="D209" s="847">
        <f>SUMPRODUCT(($AE$1:$AE$27974)*($L$1:$L$27974=C209))</f>
        <v>0</v>
      </c>
      <c r="E209" s="847"/>
      <c r="F209" s="812">
        <v>2</v>
      </c>
      <c r="G209" s="812"/>
      <c r="H209" s="848">
        <f t="shared" si="48"/>
        <v>0.4</v>
      </c>
      <c r="I209" s="848"/>
      <c r="J209" s="849" t="s">
        <v>245</v>
      </c>
      <c r="K209" s="849"/>
      <c r="L209" s="628"/>
      <c r="M209" s="668">
        <f>verzamelblad!$S$7*D209/H209/1000</f>
        <v>0</v>
      </c>
      <c r="N209" s="738"/>
      <c r="O209" s="857">
        <f t="shared" si="49"/>
        <v>0</v>
      </c>
      <c r="P209" s="857"/>
      <c r="Q209" s="403" t="str">
        <f>IF(D209=0,"verbergen","")</f>
        <v>verbergen</v>
      </c>
      <c r="R209" s="404"/>
      <c r="S209" s="404"/>
      <c r="T209" s="392"/>
      <c r="U209" s="392"/>
      <c r="V209" s="392"/>
      <c r="W209" s="547">
        <f t="shared" si="51"/>
        <v>4</v>
      </c>
      <c r="X209" s="392"/>
      <c r="Y209" s="392"/>
      <c r="Z209" s="392"/>
      <c r="AA209" s="404"/>
      <c r="AB209" s="516"/>
      <c r="AC209" s="516"/>
      <c r="AD209" s="516"/>
      <c r="AE209" s="516"/>
      <c r="AF209" s="516"/>
      <c r="AG209" s="516"/>
      <c r="AH209" s="516"/>
    </row>
    <row r="210" spans="1:34" s="541" customFormat="1" ht="12" customHeight="1">
      <c r="A210" s="543"/>
      <c r="B210" s="556">
        <f>B203+1</f>
        <v>4</v>
      </c>
      <c r="C210" s="480">
        <f>B210</f>
        <v>4</v>
      </c>
      <c r="D210" s="851">
        <f>SUMPRODUCT(($AD$1:$AD$50000)*($AC$1:$AC$50000=B210))</f>
        <v>9.32</v>
      </c>
      <c r="E210" s="851"/>
      <c r="F210" s="852">
        <v>2</v>
      </c>
      <c r="G210" s="852"/>
      <c r="H210" s="853">
        <f t="shared" si="48"/>
        <v>0.4</v>
      </c>
      <c r="I210" s="853"/>
      <c r="J210" s="854" t="s">
        <v>245</v>
      </c>
      <c r="K210" s="854"/>
      <c r="L210" s="592"/>
      <c r="M210" s="669">
        <f>verzamelblad!$R$7*D210/H210/1000</f>
        <v>0.13979999999999998</v>
      </c>
      <c r="N210" s="739"/>
      <c r="O210" s="858">
        <f t="shared" si="49"/>
        <v>0.13979999999999998</v>
      </c>
      <c r="P210" s="858"/>
      <c r="Q210" s="403" t="str">
        <f t="shared" si="50"/>
        <v/>
      </c>
      <c r="R210" s="404"/>
      <c r="S210" s="404"/>
      <c r="T210" s="392"/>
      <c r="U210" s="392"/>
      <c r="V210" s="392"/>
      <c r="W210" s="547">
        <f t="shared" si="51"/>
        <v>4</v>
      </c>
      <c r="X210" s="392"/>
      <c r="Y210" s="392"/>
      <c r="Z210" s="392"/>
      <c r="AA210" s="404"/>
      <c r="AB210" s="516"/>
      <c r="AC210" s="516"/>
      <c r="AD210" s="516"/>
      <c r="AE210" s="516"/>
      <c r="AF210" s="516"/>
      <c r="AG210" s="516"/>
      <c r="AH210" s="516"/>
    </row>
    <row r="211" spans="1:34" s="493" customFormat="1" ht="12" customHeight="1">
      <c r="A211" s="560"/>
      <c r="B211" s="560"/>
      <c r="C211" s="463"/>
      <c r="D211" s="463"/>
      <c r="E211" s="463"/>
      <c r="F211" s="463"/>
      <c r="G211" s="463"/>
      <c r="H211" s="456"/>
      <c r="I211" s="456"/>
      <c r="J211" s="456"/>
      <c r="K211" s="456"/>
      <c r="L211" s="456"/>
      <c r="M211" s="456"/>
      <c r="N211" s="456"/>
      <c r="O211" s="456"/>
      <c r="P211" s="456"/>
      <c r="Q211" s="451"/>
      <c r="R211" s="451"/>
      <c r="S211" s="451"/>
      <c r="T211" s="561"/>
      <c r="U211" s="547"/>
      <c r="V211" s="547"/>
      <c r="W211" s="547">
        <f t="shared" si="51"/>
        <v>4</v>
      </c>
      <c r="X211" s="547"/>
      <c r="Y211" s="547"/>
      <c r="Z211" s="547"/>
      <c r="AA211" s="451"/>
      <c r="AB211" s="507"/>
      <c r="AC211" s="507"/>
      <c r="AD211" s="507"/>
      <c r="AE211" s="507"/>
      <c r="AF211" s="507"/>
      <c r="AG211" s="507"/>
      <c r="AH211" s="507"/>
    </row>
    <row r="212" spans="1:34" ht="12" customHeight="1"/>
  </sheetData>
  <sheetProtection algorithmName="SHA-512" hashValue="9OmmeSY9UVzYpRQ+xPLcj3DNDJI4XuEOGAeuHIcMyvmkR+//goLgwVy/Mg3mWcJryDpqZCj1DRDZFxDgp36LyQ==" saltValue="iWRiGGv6HdEMZtRica4J+Q==" spinCount="100000"/>
  <dataConsolidate/>
  <mergeCells count="360">
    <mergeCell ref="D210:E210"/>
    <mergeCell ref="F210:G210"/>
    <mergeCell ref="H210:I210"/>
    <mergeCell ref="J210:K210"/>
    <mergeCell ref="O210:P210"/>
    <mergeCell ref="D208:E208"/>
    <mergeCell ref="F208:G208"/>
    <mergeCell ref="H208:I208"/>
    <mergeCell ref="J208:K208"/>
    <mergeCell ref="O208:P208"/>
    <mergeCell ref="D209:E209"/>
    <mergeCell ref="F209:G209"/>
    <mergeCell ref="H209:I209"/>
    <mergeCell ref="J209:K209"/>
    <mergeCell ref="O209:P209"/>
    <mergeCell ref="D206:E206"/>
    <mergeCell ref="F206:G206"/>
    <mergeCell ref="H206:I206"/>
    <mergeCell ref="J206:K206"/>
    <mergeCell ref="O206:P206"/>
    <mergeCell ref="D207:E207"/>
    <mergeCell ref="F207:G207"/>
    <mergeCell ref="H207:I207"/>
    <mergeCell ref="J207:K207"/>
    <mergeCell ref="O207:P207"/>
    <mergeCell ref="D203:E203"/>
    <mergeCell ref="F203:G203"/>
    <mergeCell ref="H203:I203"/>
    <mergeCell ref="J203:K203"/>
    <mergeCell ref="O203:P203"/>
    <mergeCell ref="D205:E205"/>
    <mergeCell ref="F205:G205"/>
    <mergeCell ref="H205:I205"/>
    <mergeCell ref="J205:K205"/>
    <mergeCell ref="O205:P205"/>
    <mergeCell ref="D201:E201"/>
    <mergeCell ref="F201:G201"/>
    <mergeCell ref="H201:I201"/>
    <mergeCell ref="J201:K201"/>
    <mergeCell ref="O201:P201"/>
    <mergeCell ref="D202:E202"/>
    <mergeCell ref="F202:G202"/>
    <mergeCell ref="H202:I202"/>
    <mergeCell ref="J202:K202"/>
    <mergeCell ref="O202:P202"/>
    <mergeCell ref="D199:E199"/>
    <mergeCell ref="F199:G199"/>
    <mergeCell ref="H199:I199"/>
    <mergeCell ref="J199:K199"/>
    <mergeCell ref="O199:P199"/>
    <mergeCell ref="D200:E200"/>
    <mergeCell ref="F200:G200"/>
    <mergeCell ref="H200:I200"/>
    <mergeCell ref="J200:K200"/>
    <mergeCell ref="O200:P200"/>
    <mergeCell ref="D196:E196"/>
    <mergeCell ref="F196:G196"/>
    <mergeCell ref="H196:I196"/>
    <mergeCell ref="J196:K196"/>
    <mergeCell ref="O196:P196"/>
    <mergeCell ref="D198:E198"/>
    <mergeCell ref="F198:G198"/>
    <mergeCell ref="H198:I198"/>
    <mergeCell ref="J198:K198"/>
    <mergeCell ref="O198:P198"/>
    <mergeCell ref="D194:E194"/>
    <mergeCell ref="F194:G194"/>
    <mergeCell ref="H194:I194"/>
    <mergeCell ref="J194:K194"/>
    <mergeCell ref="O194:P194"/>
    <mergeCell ref="D195:E195"/>
    <mergeCell ref="F195:G195"/>
    <mergeCell ref="H195:I195"/>
    <mergeCell ref="J195:K195"/>
    <mergeCell ref="O195:P195"/>
    <mergeCell ref="D192:E192"/>
    <mergeCell ref="F192:G192"/>
    <mergeCell ref="H192:I192"/>
    <mergeCell ref="J192:K192"/>
    <mergeCell ref="O192:P192"/>
    <mergeCell ref="D193:E193"/>
    <mergeCell ref="F193:G193"/>
    <mergeCell ref="H193:I193"/>
    <mergeCell ref="J193:K193"/>
    <mergeCell ref="O193:P193"/>
    <mergeCell ref="D189:E189"/>
    <mergeCell ref="F189:G189"/>
    <mergeCell ref="H189:I189"/>
    <mergeCell ref="J189:K189"/>
    <mergeCell ref="O189:P189"/>
    <mergeCell ref="D191:E191"/>
    <mergeCell ref="F191:G191"/>
    <mergeCell ref="H191:I191"/>
    <mergeCell ref="J191:K191"/>
    <mergeCell ref="O191:P191"/>
    <mergeCell ref="D187:E187"/>
    <mergeCell ref="F187:G187"/>
    <mergeCell ref="H187:I187"/>
    <mergeCell ref="J187:K187"/>
    <mergeCell ref="O187:P187"/>
    <mergeCell ref="D188:E188"/>
    <mergeCell ref="F188:G188"/>
    <mergeCell ref="H188:I188"/>
    <mergeCell ref="J188:K188"/>
    <mergeCell ref="O188:P188"/>
    <mergeCell ref="D185:E185"/>
    <mergeCell ref="F185:G185"/>
    <mergeCell ref="H185:I185"/>
    <mergeCell ref="J185:K185"/>
    <mergeCell ref="O185:P185"/>
    <mergeCell ref="D186:E186"/>
    <mergeCell ref="F186:G186"/>
    <mergeCell ref="H186:I186"/>
    <mergeCell ref="J186:K186"/>
    <mergeCell ref="O186:P186"/>
    <mergeCell ref="O182:P182"/>
    <mergeCell ref="D184:E184"/>
    <mergeCell ref="F184:G184"/>
    <mergeCell ref="H184:I184"/>
    <mergeCell ref="J184:K184"/>
    <mergeCell ref="O184:P184"/>
    <mergeCell ref="I175:J175"/>
    <mergeCell ref="K175:P175"/>
    <mergeCell ref="I176:J176"/>
    <mergeCell ref="K176:P176"/>
    <mergeCell ref="K177:P177"/>
    <mergeCell ref="D182:E182"/>
    <mergeCell ref="F182:G182"/>
    <mergeCell ref="H182:I182"/>
    <mergeCell ref="J182:K182"/>
    <mergeCell ref="M182:N182"/>
    <mergeCell ref="I172:J172"/>
    <mergeCell ref="K172:P172"/>
    <mergeCell ref="I173:J173"/>
    <mergeCell ref="K173:P173"/>
    <mergeCell ref="I174:J174"/>
    <mergeCell ref="K174:P174"/>
    <mergeCell ref="I168:J168"/>
    <mergeCell ref="K168:P168"/>
    <mergeCell ref="I169:J169"/>
    <mergeCell ref="K169:P169"/>
    <mergeCell ref="K170:P170"/>
    <mergeCell ref="K171:L171"/>
    <mergeCell ref="M171:N171"/>
    <mergeCell ref="O171:P171"/>
    <mergeCell ref="I165:J165"/>
    <mergeCell ref="K165:P165"/>
    <mergeCell ref="I166:J166"/>
    <mergeCell ref="K166:P166"/>
    <mergeCell ref="I167:J167"/>
    <mergeCell ref="K167:P167"/>
    <mergeCell ref="I161:J161"/>
    <mergeCell ref="K161:P161"/>
    <mergeCell ref="I162:J162"/>
    <mergeCell ref="K162:P162"/>
    <mergeCell ref="K163:P163"/>
    <mergeCell ref="K164:L164"/>
    <mergeCell ref="M164:N164"/>
    <mergeCell ref="O164:P164"/>
    <mergeCell ref="I158:J158"/>
    <mergeCell ref="K158:P158"/>
    <mergeCell ref="I159:J159"/>
    <mergeCell ref="K159:P159"/>
    <mergeCell ref="I160:J160"/>
    <mergeCell ref="K160:P160"/>
    <mergeCell ref="I154:J154"/>
    <mergeCell ref="K154:P154"/>
    <mergeCell ref="I155:J155"/>
    <mergeCell ref="K155:P155"/>
    <mergeCell ref="K156:P156"/>
    <mergeCell ref="K157:L157"/>
    <mergeCell ref="M157:N157"/>
    <mergeCell ref="O157:P157"/>
    <mergeCell ref="I151:J151"/>
    <mergeCell ref="K151:P151"/>
    <mergeCell ref="I152:J152"/>
    <mergeCell ref="K152:P152"/>
    <mergeCell ref="I153:J153"/>
    <mergeCell ref="K153:P153"/>
    <mergeCell ref="I147:J147"/>
    <mergeCell ref="K147:P147"/>
    <mergeCell ref="I148:J148"/>
    <mergeCell ref="K148:P148"/>
    <mergeCell ref="K149:P149"/>
    <mergeCell ref="K150:L150"/>
    <mergeCell ref="M150:N150"/>
    <mergeCell ref="O150:P150"/>
    <mergeCell ref="I144:J144"/>
    <mergeCell ref="K144:P144"/>
    <mergeCell ref="I145:J145"/>
    <mergeCell ref="K145:P145"/>
    <mergeCell ref="I146:J146"/>
    <mergeCell ref="K146:P146"/>
    <mergeCell ref="K137:P137"/>
    <mergeCell ref="K138:P138"/>
    <mergeCell ref="M139:P139"/>
    <mergeCell ref="D140:E140"/>
    <mergeCell ref="M140:N140"/>
    <mergeCell ref="I143:J143"/>
    <mergeCell ref="D128:E128"/>
    <mergeCell ref="M128:N128"/>
    <mergeCell ref="K133:P133"/>
    <mergeCell ref="K134:P134"/>
    <mergeCell ref="K135:P135"/>
    <mergeCell ref="K136:P136"/>
    <mergeCell ref="K122:P122"/>
    <mergeCell ref="K123:P123"/>
    <mergeCell ref="K124:P124"/>
    <mergeCell ref="K125:P125"/>
    <mergeCell ref="K126:P126"/>
    <mergeCell ref="M127:P127"/>
    <mergeCell ref="I116:J116"/>
    <mergeCell ref="L116:M116"/>
    <mergeCell ref="N116:O116"/>
    <mergeCell ref="F117:H117"/>
    <mergeCell ref="M117:N117"/>
    <mergeCell ref="K121:P121"/>
    <mergeCell ref="I114:J114"/>
    <mergeCell ref="L114:M114"/>
    <mergeCell ref="N114:O114"/>
    <mergeCell ref="I115:J115"/>
    <mergeCell ref="L115:M115"/>
    <mergeCell ref="N115:O115"/>
    <mergeCell ref="I109:J109"/>
    <mergeCell ref="L109:M109"/>
    <mergeCell ref="N109:O109"/>
    <mergeCell ref="F110:H110"/>
    <mergeCell ref="M110:N110"/>
    <mergeCell ref="I113:J113"/>
    <mergeCell ref="L113:M113"/>
    <mergeCell ref="N113:O113"/>
    <mergeCell ref="I107:J107"/>
    <mergeCell ref="L107:M107"/>
    <mergeCell ref="N107:O107"/>
    <mergeCell ref="I108:J108"/>
    <mergeCell ref="L108:M108"/>
    <mergeCell ref="N108:O108"/>
    <mergeCell ref="F103:H103"/>
    <mergeCell ref="M103:N103"/>
    <mergeCell ref="I105:J105"/>
    <mergeCell ref="L105:M105"/>
    <mergeCell ref="N105:O105"/>
    <mergeCell ref="I106:J106"/>
    <mergeCell ref="L106:M106"/>
    <mergeCell ref="N106:O106"/>
    <mergeCell ref="I101:J101"/>
    <mergeCell ref="L101:M101"/>
    <mergeCell ref="N101:O101"/>
    <mergeCell ref="I102:J102"/>
    <mergeCell ref="L102:M102"/>
    <mergeCell ref="N102:O102"/>
    <mergeCell ref="I99:J99"/>
    <mergeCell ref="L99:M99"/>
    <mergeCell ref="N99:O99"/>
    <mergeCell ref="I100:J100"/>
    <mergeCell ref="L100:M100"/>
    <mergeCell ref="N100:O100"/>
    <mergeCell ref="I95:J95"/>
    <mergeCell ref="L95:M95"/>
    <mergeCell ref="N95:O95"/>
    <mergeCell ref="F96:H96"/>
    <mergeCell ref="M96:N96"/>
    <mergeCell ref="I98:J98"/>
    <mergeCell ref="L98:M98"/>
    <mergeCell ref="N98:O98"/>
    <mergeCell ref="I93:J93"/>
    <mergeCell ref="L93:M93"/>
    <mergeCell ref="N93:O93"/>
    <mergeCell ref="I94:J94"/>
    <mergeCell ref="L94:M94"/>
    <mergeCell ref="N94:O94"/>
    <mergeCell ref="F89:H89"/>
    <mergeCell ref="M89:N89"/>
    <mergeCell ref="I91:J91"/>
    <mergeCell ref="L91:M91"/>
    <mergeCell ref="N91:O91"/>
    <mergeCell ref="I92:J92"/>
    <mergeCell ref="L92:M92"/>
    <mergeCell ref="N92:O92"/>
    <mergeCell ref="AJ85:AL88"/>
    <mergeCell ref="I86:J86"/>
    <mergeCell ref="N86:O86"/>
    <mergeCell ref="I87:J87"/>
    <mergeCell ref="N87:O87"/>
    <mergeCell ref="I88:J88"/>
    <mergeCell ref="N88:O88"/>
    <mergeCell ref="L83:M83"/>
    <mergeCell ref="I84:J84"/>
    <mergeCell ref="L84:M84"/>
    <mergeCell ref="N84:O84"/>
    <mergeCell ref="I85:J85"/>
    <mergeCell ref="N85:O85"/>
    <mergeCell ref="D72:G72"/>
    <mergeCell ref="D74:G74"/>
    <mergeCell ref="D75:G75"/>
    <mergeCell ref="F81:H81"/>
    <mergeCell ref="F83:H83"/>
    <mergeCell ref="I83:J83"/>
    <mergeCell ref="D63:E63"/>
    <mergeCell ref="D64:E64"/>
    <mergeCell ref="D65:E65"/>
    <mergeCell ref="D66:E66"/>
    <mergeCell ref="D67:E67"/>
    <mergeCell ref="E68:G68"/>
    <mergeCell ref="D56:E56"/>
    <mergeCell ref="D57:E57"/>
    <mergeCell ref="D58:E58"/>
    <mergeCell ref="D59:E59"/>
    <mergeCell ref="D60:E60"/>
    <mergeCell ref="E61:G61"/>
    <mergeCell ref="D49:E49"/>
    <mergeCell ref="D50:E50"/>
    <mergeCell ref="D51:E51"/>
    <mergeCell ref="D52:E52"/>
    <mergeCell ref="D53:E53"/>
    <mergeCell ref="E54:G54"/>
    <mergeCell ref="D42:E42"/>
    <mergeCell ref="D43:E43"/>
    <mergeCell ref="D44:E44"/>
    <mergeCell ref="D45:E45"/>
    <mergeCell ref="D46:E46"/>
    <mergeCell ref="E47:G47"/>
    <mergeCell ref="F34:G34"/>
    <mergeCell ref="J34:K34"/>
    <mergeCell ref="N34:O34"/>
    <mergeCell ref="F36:G36"/>
    <mergeCell ref="D40:E40"/>
    <mergeCell ref="D41:F41"/>
    <mergeCell ref="F32:G32"/>
    <mergeCell ref="J32:K32"/>
    <mergeCell ref="N32:O32"/>
    <mergeCell ref="F33:G33"/>
    <mergeCell ref="J33:K33"/>
    <mergeCell ref="N33:O33"/>
    <mergeCell ref="F30:G30"/>
    <mergeCell ref="J30:K30"/>
    <mergeCell ref="N30:O30"/>
    <mergeCell ref="F31:G31"/>
    <mergeCell ref="J31:K31"/>
    <mergeCell ref="N31:O31"/>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s>
  <conditionalFormatting sqref="F20">
    <cfRule type="expression" dxfId="1210" priority="179" stopIfTrue="1">
      <formula>F19&lt;18</formula>
    </cfRule>
    <cfRule type="expression" dxfId="1209" priority="180" stopIfTrue="1">
      <formula>F19&lt;F18</formula>
    </cfRule>
  </conditionalFormatting>
  <conditionalFormatting sqref="H22:I23">
    <cfRule type="expression" dxfId="1208" priority="178" stopIfTrue="1">
      <formula>H22&lt;F22</formula>
    </cfRule>
  </conditionalFormatting>
  <conditionalFormatting sqref="I15 K15:P15 H8:P11">
    <cfRule type="cellIs" dxfId="1207" priority="181" stopIfTrue="1" operator="equal">
      <formula>"&lt;PROJECTNUMMER&gt;"</formula>
    </cfRule>
  </conditionalFormatting>
  <conditionalFormatting sqref="L16:L20">
    <cfRule type="expression" dxfId="1206" priority="177">
      <formula>L16=0</formula>
    </cfRule>
  </conditionalFormatting>
  <conditionalFormatting sqref="F28:F29">
    <cfRule type="expression" dxfId="1205" priority="176" stopIfTrue="1">
      <formula>D28-E28&lt;5</formula>
    </cfRule>
  </conditionalFormatting>
  <conditionalFormatting sqref="D28:D29">
    <cfRule type="expression" dxfId="1204" priority="182" stopIfTrue="1">
      <formula>C28=""</formula>
    </cfRule>
  </conditionalFormatting>
  <conditionalFormatting sqref="I86:P88 I85:K85 AJ85 M85:P85 I84:P84">
    <cfRule type="expression" dxfId="1203" priority="175">
      <formula>$S$16&lt;&gt;1</formula>
    </cfRule>
  </conditionalFormatting>
  <conditionalFormatting sqref="N84:P88">
    <cfRule type="expression" dxfId="1202" priority="174">
      <formula>$S$12="nader te bepalen"</formula>
    </cfRule>
  </conditionalFormatting>
  <conditionalFormatting sqref="H16">
    <cfRule type="expression" dxfId="1201" priority="171">
      <formula>AND(SUM(L16:L20)&gt;=10,SUM(L16:L20)&lt;100)</formula>
    </cfRule>
    <cfRule type="expression" dxfId="1200" priority="172">
      <formula>SUM(L16:L20)&gt;=100</formula>
    </cfRule>
    <cfRule type="expression" dxfId="1199" priority="173">
      <formula>SUM(L16:L20)&lt;10</formula>
    </cfRule>
  </conditionalFormatting>
  <conditionalFormatting sqref="F17">
    <cfRule type="expression" dxfId="1198" priority="168">
      <formula>F17&lt;10</formula>
    </cfRule>
    <cfRule type="expression" dxfId="1197" priority="169">
      <formula>AND(F17&gt;=10,F17&lt;100)</formula>
    </cfRule>
    <cfRule type="expression" dxfId="1196" priority="170">
      <formula>F17&gt;=100</formula>
    </cfRule>
  </conditionalFormatting>
  <conditionalFormatting sqref="F18">
    <cfRule type="expression" dxfId="1195" priority="165">
      <formula>F18&lt;10</formula>
    </cfRule>
    <cfRule type="expression" dxfId="1194" priority="166">
      <formula>AND(F18&gt;=10,F18&lt;100)</formula>
    </cfRule>
    <cfRule type="expression" dxfId="1193" priority="167">
      <formula>F18&gt;=100</formula>
    </cfRule>
  </conditionalFormatting>
  <conditionalFormatting sqref="F19">
    <cfRule type="expression" dxfId="1192" priority="162">
      <formula>F19&lt;10</formula>
    </cfRule>
    <cfRule type="expression" dxfId="1191" priority="163">
      <formula>AND(F19&gt;=10,F19&lt;100)</formula>
    </cfRule>
    <cfRule type="expression" dxfId="1190" priority="164">
      <formula>F19&gt;=100</formula>
    </cfRule>
  </conditionalFormatting>
  <conditionalFormatting sqref="K47">
    <cfRule type="expression" dxfId="1189" priority="161" stopIfTrue="1">
      <formula>A47="nee"</formula>
    </cfRule>
  </conditionalFormatting>
  <conditionalFormatting sqref="K47">
    <cfRule type="expression" dxfId="1188" priority="160" stopIfTrue="1">
      <formula>A47="nee"</formula>
    </cfRule>
  </conditionalFormatting>
  <conditionalFormatting sqref="E47">
    <cfRule type="cellIs" dxfId="1187" priority="159" stopIfTrue="1" operator="equal">
      <formula>"voldoet niet"</formula>
    </cfRule>
  </conditionalFormatting>
  <conditionalFormatting sqref="K47">
    <cfRule type="expression" dxfId="1186" priority="158" stopIfTrue="1">
      <formula>A47="nee"</formula>
    </cfRule>
  </conditionalFormatting>
  <conditionalFormatting sqref="K47">
    <cfRule type="expression" dxfId="1185" priority="157" stopIfTrue="1">
      <formula>A47="nee"</formula>
    </cfRule>
  </conditionalFormatting>
  <conditionalFormatting sqref="F84:H89">
    <cfRule type="expression" dxfId="1184" priority="156">
      <formula>$S$16=3</formula>
    </cfRule>
  </conditionalFormatting>
  <conditionalFormatting sqref="H121:P128">
    <cfRule type="expression" dxfId="1183" priority="155">
      <formula>$S$16=3</formula>
    </cfRule>
  </conditionalFormatting>
  <conditionalFormatting sqref="H133:P140">
    <cfRule type="expression" dxfId="1182" priority="154">
      <formula>$S$16=3</formula>
    </cfRule>
  </conditionalFormatting>
  <conditionalFormatting sqref="F116:H117">
    <cfRule type="expression" dxfId="1181" priority="124">
      <formula>$S$16=3</formula>
    </cfRule>
  </conditionalFormatting>
  <conditionalFormatting sqref="I113:P115">
    <cfRule type="expression" dxfId="1180" priority="151">
      <formula>$S$16&lt;&gt;1</formula>
    </cfRule>
  </conditionalFormatting>
  <conditionalFormatting sqref="N113:P115">
    <cfRule type="expression" dxfId="1179" priority="150">
      <formula>$S$12="nader te bepalen"</formula>
    </cfRule>
  </conditionalFormatting>
  <conditionalFormatting sqref="I113:P115">
    <cfRule type="expression" dxfId="1178" priority="145">
      <formula>$S$16&lt;&gt;1</formula>
    </cfRule>
  </conditionalFormatting>
  <conditionalFormatting sqref="N113:P115">
    <cfRule type="expression" dxfId="1177" priority="144">
      <formula>$S$12="nader te bepalen"</formula>
    </cfRule>
  </conditionalFormatting>
  <conditionalFormatting sqref="I113:P115">
    <cfRule type="expression" dxfId="1176" priority="153">
      <formula>$S$16&lt;&gt;1</formula>
    </cfRule>
  </conditionalFormatting>
  <conditionalFormatting sqref="I113:P115">
    <cfRule type="expression" dxfId="1175" priority="152">
      <formula>$S$16&lt;&gt;1</formula>
    </cfRule>
  </conditionalFormatting>
  <conditionalFormatting sqref="I113:P115">
    <cfRule type="expression" dxfId="1174" priority="149">
      <formula>$S$16&lt;&gt;1</formula>
    </cfRule>
  </conditionalFormatting>
  <conditionalFormatting sqref="N113:P115">
    <cfRule type="expression" dxfId="1173" priority="148">
      <formula>$S$12="nader te bepalen"</formula>
    </cfRule>
  </conditionalFormatting>
  <conditionalFormatting sqref="I113:P115">
    <cfRule type="expression" dxfId="1172" priority="147">
      <formula>$S$16&lt;&gt;1</formula>
    </cfRule>
  </conditionalFormatting>
  <conditionalFormatting sqref="I113:P115">
    <cfRule type="expression" dxfId="1171" priority="146">
      <formula>$S$16&lt;&gt;1</formula>
    </cfRule>
  </conditionalFormatting>
  <conditionalFormatting sqref="I113:P115">
    <cfRule type="expression" dxfId="1170" priority="143">
      <formula>$S$16&lt;&gt;1</formula>
    </cfRule>
  </conditionalFormatting>
  <conditionalFormatting sqref="N113:P115">
    <cfRule type="expression" dxfId="1169" priority="142">
      <formula>$S$12="nader te bepalen"</formula>
    </cfRule>
  </conditionalFormatting>
  <conditionalFormatting sqref="I113:P115">
    <cfRule type="expression" dxfId="1168" priority="141">
      <formula>$S$16&lt;&gt;1</formula>
    </cfRule>
  </conditionalFormatting>
  <conditionalFormatting sqref="N113:P115">
    <cfRule type="expression" dxfId="1167" priority="140">
      <formula>$S$12="nader te bepalen"</formula>
    </cfRule>
  </conditionalFormatting>
  <conditionalFormatting sqref="F113:H115">
    <cfRule type="expression" dxfId="1166" priority="139">
      <formula>$S$16=3</formula>
    </cfRule>
  </conditionalFormatting>
  <conditionalFormatting sqref="I116:P116">
    <cfRule type="expression" dxfId="1165" priority="136">
      <formula>$S$16&lt;&gt;1</formula>
    </cfRule>
  </conditionalFormatting>
  <conditionalFormatting sqref="N116:P116">
    <cfRule type="expression" dxfId="1164" priority="135">
      <formula>$S$12="nader te bepalen"</formula>
    </cfRule>
  </conditionalFormatting>
  <conditionalFormatting sqref="I116:P116">
    <cfRule type="expression" dxfId="1163" priority="130">
      <formula>$S$16&lt;&gt;1</formula>
    </cfRule>
  </conditionalFormatting>
  <conditionalFormatting sqref="N116:P116">
    <cfRule type="expression" dxfId="1162" priority="129">
      <formula>$S$12="nader te bepalen"</formula>
    </cfRule>
  </conditionalFormatting>
  <conditionalFormatting sqref="I116:P116">
    <cfRule type="expression" dxfId="1161" priority="138">
      <formula>$S$16&lt;&gt;1</formula>
    </cfRule>
  </conditionalFormatting>
  <conditionalFormatting sqref="I116:P116">
    <cfRule type="expression" dxfId="1160" priority="137">
      <formula>$S$16&lt;&gt;1</formula>
    </cfRule>
  </conditionalFormatting>
  <conditionalFormatting sqref="I116:P116">
    <cfRule type="expression" dxfId="1159" priority="134">
      <formula>$S$16&lt;&gt;1</formula>
    </cfRule>
  </conditionalFormatting>
  <conditionalFormatting sqref="N116:P116">
    <cfRule type="expression" dxfId="1158" priority="133">
      <formula>$S$12="nader te bepalen"</formula>
    </cfRule>
  </conditionalFormatting>
  <conditionalFormatting sqref="I116:P116">
    <cfRule type="expression" dxfId="1157" priority="132">
      <formula>$S$16&lt;&gt;1</formula>
    </cfRule>
  </conditionalFormatting>
  <conditionalFormatting sqref="I116:P116">
    <cfRule type="expression" dxfId="1156" priority="131">
      <formula>$S$16&lt;&gt;1</formula>
    </cfRule>
  </conditionalFormatting>
  <conditionalFormatting sqref="I116:P116">
    <cfRule type="expression" dxfId="1155" priority="128">
      <formula>$S$16&lt;&gt;1</formula>
    </cfRule>
  </conditionalFormatting>
  <conditionalFormatting sqref="N116:P116">
    <cfRule type="expression" dxfId="1154" priority="127">
      <formula>$S$12="nader te bepalen"</formula>
    </cfRule>
  </conditionalFormatting>
  <conditionalFormatting sqref="I116:P116">
    <cfRule type="expression" dxfId="1153" priority="126">
      <formula>$S$16&lt;&gt;1</formula>
    </cfRule>
  </conditionalFormatting>
  <conditionalFormatting sqref="N116:P116">
    <cfRule type="expression" dxfId="1152" priority="125">
      <formula>$S$12="nader te bepalen"</formula>
    </cfRule>
  </conditionalFormatting>
  <conditionalFormatting sqref="P85">
    <cfRule type="expression" dxfId="1151" priority="115" stopIfTrue="1">
      <formula>P85="-"</formula>
    </cfRule>
    <cfRule type="expression" dxfId="1150" priority="120" stopIfTrue="1">
      <formula>P85&lt;H85</formula>
    </cfRule>
  </conditionalFormatting>
  <conditionalFormatting sqref="P86">
    <cfRule type="expression" dxfId="1149" priority="116" stopIfTrue="1">
      <formula>P86="-"</formula>
    </cfRule>
    <cfRule type="expression" dxfId="1148" priority="121" stopIfTrue="1">
      <formula>P86&lt;H86</formula>
    </cfRule>
  </conditionalFormatting>
  <conditionalFormatting sqref="P87">
    <cfRule type="expression" dxfId="1147" priority="117" stopIfTrue="1">
      <formula>P87="-"</formula>
    </cfRule>
    <cfRule type="expression" dxfId="1146" priority="122" stopIfTrue="1">
      <formula>P87&lt;H87</formula>
    </cfRule>
  </conditionalFormatting>
  <conditionalFormatting sqref="P88">
    <cfRule type="expression" dxfId="1145" priority="118" stopIfTrue="1">
      <formula>P88="-"</formula>
    </cfRule>
    <cfRule type="expression" dxfId="1144" priority="123" stopIfTrue="1">
      <formula>P88&lt;H88</formula>
    </cfRule>
  </conditionalFormatting>
  <conditionalFormatting sqref="P84">
    <cfRule type="expression" dxfId="1143" priority="114" stopIfTrue="1">
      <formula>P84="-"</formula>
    </cfRule>
    <cfRule type="expression" dxfId="1142" priority="119" stopIfTrue="1">
      <formula>P84&lt;H84</formula>
    </cfRule>
  </conditionalFormatting>
  <conditionalFormatting sqref="P113">
    <cfRule type="expression" dxfId="1141" priority="106" stopIfTrue="1">
      <formula>P113="-"</formula>
    </cfRule>
    <cfRule type="expression" dxfId="1140" priority="110" stopIfTrue="1">
      <formula>P113&lt;H113</formula>
    </cfRule>
  </conditionalFormatting>
  <conditionalFormatting sqref="P114">
    <cfRule type="expression" dxfId="1139" priority="107" stopIfTrue="1">
      <formula>P114="-"</formula>
    </cfRule>
    <cfRule type="expression" dxfId="1138" priority="111" stopIfTrue="1">
      <formula>P114&lt;H114</formula>
    </cfRule>
  </conditionalFormatting>
  <conditionalFormatting sqref="P115">
    <cfRule type="expression" dxfId="1137" priority="108" stopIfTrue="1">
      <formula>P115="-"</formula>
    </cfRule>
    <cfRule type="expression" dxfId="1136" priority="112" stopIfTrue="1">
      <formula>P115&lt;H115</formula>
    </cfRule>
  </conditionalFormatting>
  <conditionalFormatting sqref="P116">
    <cfRule type="expression" dxfId="1135" priority="109" stopIfTrue="1">
      <formula>P116="-"</formula>
    </cfRule>
    <cfRule type="expression" dxfId="1134" priority="113" stopIfTrue="1">
      <formula>P116&lt;H116</formula>
    </cfRule>
  </conditionalFormatting>
  <conditionalFormatting sqref="F89:H89">
    <cfRule type="containsText" dxfId="1133" priority="105" operator="containsText" text="voldoet niet op VG-niveau">
      <formula>NOT(ISERROR(SEARCH("voldoet niet op VG-niveau",F89)))</formula>
    </cfRule>
  </conditionalFormatting>
  <conditionalFormatting sqref="K54">
    <cfRule type="expression" dxfId="1132" priority="104" stopIfTrue="1">
      <formula>A54="nee"</formula>
    </cfRule>
  </conditionalFormatting>
  <conditionalFormatting sqref="K54">
    <cfRule type="expression" dxfId="1131" priority="103" stopIfTrue="1">
      <formula>A54="nee"</formula>
    </cfRule>
  </conditionalFormatting>
  <conditionalFormatting sqref="E54">
    <cfRule type="cellIs" dxfId="1130" priority="102" stopIfTrue="1" operator="equal">
      <formula>"voldoet niet"</formula>
    </cfRule>
  </conditionalFormatting>
  <conditionalFormatting sqref="K54">
    <cfRule type="expression" dxfId="1129" priority="101" stopIfTrue="1">
      <formula>A54="nee"</formula>
    </cfRule>
  </conditionalFormatting>
  <conditionalFormatting sqref="K54">
    <cfRule type="expression" dxfId="1128" priority="100" stopIfTrue="1">
      <formula>A54="nee"</formula>
    </cfRule>
  </conditionalFormatting>
  <conditionalFormatting sqref="I91:P95">
    <cfRule type="expression" dxfId="1127" priority="99">
      <formula>$S$16&lt;&gt;1</formula>
    </cfRule>
  </conditionalFormatting>
  <conditionalFormatting sqref="N91:P95">
    <cfRule type="expression" dxfId="1126" priority="98">
      <formula>$S$12="nader te bepalen"</formula>
    </cfRule>
  </conditionalFormatting>
  <conditionalFormatting sqref="F91:H96">
    <cfRule type="expression" dxfId="1125" priority="97">
      <formula>$S$16=3</formula>
    </cfRule>
  </conditionalFormatting>
  <conditionalFormatting sqref="Q91:Q95">
    <cfRule type="expression" dxfId="1124" priority="96">
      <formula>SUM(Q87:Q91)&lt;E92</formula>
    </cfRule>
  </conditionalFormatting>
  <conditionalFormatting sqref="P91">
    <cfRule type="expression" dxfId="1123" priority="86" stopIfTrue="1">
      <formula>P91="-"</formula>
    </cfRule>
    <cfRule type="expression" dxfId="1122" priority="91" stopIfTrue="1">
      <formula>P91&lt;H91</formula>
    </cfRule>
  </conditionalFormatting>
  <conditionalFormatting sqref="P92">
    <cfRule type="expression" dxfId="1121" priority="87" stopIfTrue="1">
      <formula>P92="-"</formula>
    </cfRule>
    <cfRule type="expression" dxfId="1120" priority="92" stopIfTrue="1">
      <formula>P92&lt;H92</formula>
    </cfRule>
  </conditionalFormatting>
  <conditionalFormatting sqref="P93">
    <cfRule type="expression" dxfId="1119" priority="88" stopIfTrue="1">
      <formula>P93="-"</formula>
    </cfRule>
    <cfRule type="expression" dxfId="1118" priority="93" stopIfTrue="1">
      <formula>P93&lt;H93</formula>
    </cfRule>
  </conditionalFormatting>
  <conditionalFormatting sqref="P94">
    <cfRule type="expression" dxfId="1117" priority="89" stopIfTrue="1">
      <formula>P94="-"</formula>
    </cfRule>
    <cfRule type="expression" dxfId="1116" priority="94" stopIfTrue="1">
      <formula>P94&lt;H94</formula>
    </cfRule>
  </conditionalFormatting>
  <conditionalFormatting sqref="P95">
    <cfRule type="expression" dxfId="1115" priority="90" stopIfTrue="1">
      <formula>P95="-"</formula>
    </cfRule>
    <cfRule type="expression" dxfId="1114" priority="95" stopIfTrue="1">
      <formula>P95&lt;H95</formula>
    </cfRule>
  </conditionalFormatting>
  <conditionalFormatting sqref="F96:H96">
    <cfRule type="containsText" dxfId="1113" priority="85" operator="containsText" text="voldoet niet op VG-niveau">
      <formula>NOT(ISERROR(SEARCH("voldoet niet op VG-niveau",F96)))</formula>
    </cfRule>
  </conditionalFormatting>
  <conditionalFormatting sqref="G8:G10">
    <cfRule type="cellIs" dxfId="1112" priority="84" stopIfTrue="1" operator="equal">
      <formula>"&lt;PROJECTNUMMER&gt;"</formula>
    </cfRule>
  </conditionalFormatting>
  <conditionalFormatting sqref="D8">
    <cfRule type="cellIs" dxfId="1111" priority="83" stopIfTrue="1" operator="equal">
      <formula>"&lt;PROJECTNUMMER&gt;"</formula>
    </cfRule>
  </conditionalFormatting>
  <conditionalFormatting sqref="D9">
    <cfRule type="cellIs" dxfId="1110" priority="82" stopIfTrue="1" operator="equal">
      <formula>"&lt;PROJECTNUMMER&gt;"</formula>
    </cfRule>
  </conditionalFormatting>
  <conditionalFormatting sqref="D10">
    <cfRule type="cellIs" dxfId="1109" priority="81" stopIfTrue="1" operator="equal">
      <formula>"&lt;PROJECTNUMMER&gt;"</formula>
    </cfRule>
  </conditionalFormatting>
  <conditionalFormatting sqref="F30">
    <cfRule type="expression" dxfId="1108" priority="78" stopIfTrue="1">
      <formula>D30-E30&lt;5</formula>
    </cfRule>
  </conditionalFormatting>
  <conditionalFormatting sqref="F30">
    <cfRule type="expression" dxfId="1107" priority="77" stopIfTrue="1">
      <formula>D30-E30&lt;5</formula>
    </cfRule>
  </conditionalFormatting>
  <conditionalFormatting sqref="F30">
    <cfRule type="expression" dxfId="1106" priority="74" stopIfTrue="1">
      <formula>D30-E30&lt;5</formula>
    </cfRule>
  </conditionalFormatting>
  <conditionalFormatting sqref="D30">
    <cfRule type="expression" dxfId="1105" priority="73" stopIfTrue="1">
      <formula>C30=""</formula>
    </cfRule>
  </conditionalFormatting>
  <conditionalFormatting sqref="F30">
    <cfRule type="expression" dxfId="1104" priority="80" stopIfTrue="1">
      <formula>D30=""</formula>
    </cfRule>
  </conditionalFormatting>
  <conditionalFormatting sqref="F30">
    <cfRule type="expression" dxfId="1103" priority="79" stopIfTrue="1">
      <formula>D30=""</formula>
    </cfRule>
  </conditionalFormatting>
  <conditionalFormatting sqref="D30">
    <cfRule type="expression" dxfId="1102" priority="76" stopIfTrue="1">
      <formula>C30=""</formula>
    </cfRule>
  </conditionalFormatting>
  <conditionalFormatting sqref="F30">
    <cfRule type="expression" dxfId="1101" priority="75" stopIfTrue="1">
      <formula>D30-E30&lt;5</formula>
    </cfRule>
  </conditionalFormatting>
  <conditionalFormatting sqref="F31">
    <cfRule type="expression" dxfId="1100" priority="70" stopIfTrue="1">
      <formula>D31-E31&lt;5</formula>
    </cfRule>
  </conditionalFormatting>
  <conditionalFormatting sqref="F31">
    <cfRule type="expression" dxfId="1099" priority="69" stopIfTrue="1">
      <formula>D31-E31&lt;5</formula>
    </cfRule>
  </conditionalFormatting>
  <conditionalFormatting sqref="F31">
    <cfRule type="expression" dxfId="1098" priority="66" stopIfTrue="1">
      <formula>D31-E31&lt;5</formula>
    </cfRule>
  </conditionalFormatting>
  <conditionalFormatting sqref="D31">
    <cfRule type="expression" dxfId="1097" priority="65" stopIfTrue="1">
      <formula>C31=""</formula>
    </cfRule>
  </conditionalFormatting>
  <conditionalFormatting sqref="F31">
    <cfRule type="expression" dxfId="1096" priority="72" stopIfTrue="1">
      <formula>D31=""</formula>
    </cfRule>
  </conditionalFormatting>
  <conditionalFormatting sqref="F31">
    <cfRule type="expression" dxfId="1095" priority="71" stopIfTrue="1">
      <formula>D31=""</formula>
    </cfRule>
  </conditionalFormatting>
  <conditionalFormatting sqref="D31">
    <cfRule type="expression" dxfId="1094" priority="68" stopIfTrue="1">
      <formula>C31=""</formula>
    </cfRule>
  </conditionalFormatting>
  <conditionalFormatting sqref="F31">
    <cfRule type="expression" dxfId="1093" priority="67" stopIfTrue="1">
      <formula>D31-E31&lt;5</formula>
    </cfRule>
  </conditionalFormatting>
  <conditionalFormatting sqref="F32">
    <cfRule type="expression" dxfId="1092" priority="62" stopIfTrue="1">
      <formula>D32-E32&lt;5</formula>
    </cfRule>
  </conditionalFormatting>
  <conditionalFormatting sqref="F32">
    <cfRule type="expression" dxfId="1091" priority="61" stopIfTrue="1">
      <formula>D32-E32&lt;5</formula>
    </cfRule>
  </conditionalFormatting>
  <conditionalFormatting sqref="F32">
    <cfRule type="expression" dxfId="1090" priority="58" stopIfTrue="1">
      <formula>D32-E32&lt;5</formula>
    </cfRule>
  </conditionalFormatting>
  <conditionalFormatting sqref="D32">
    <cfRule type="expression" dxfId="1089" priority="57" stopIfTrue="1">
      <formula>C32=""</formula>
    </cfRule>
  </conditionalFormatting>
  <conditionalFormatting sqref="F32">
    <cfRule type="expression" dxfId="1088" priority="64" stopIfTrue="1">
      <formula>D32=""</formula>
    </cfRule>
  </conditionalFormatting>
  <conditionalFormatting sqref="F32">
    <cfRule type="expression" dxfId="1087" priority="63" stopIfTrue="1">
      <formula>D32=""</formula>
    </cfRule>
  </conditionalFormatting>
  <conditionalFormatting sqref="D32">
    <cfRule type="expression" dxfId="1086" priority="60" stopIfTrue="1">
      <formula>C32=""</formula>
    </cfRule>
  </conditionalFormatting>
  <conditionalFormatting sqref="F32">
    <cfRule type="expression" dxfId="1085" priority="59" stopIfTrue="1">
      <formula>D32-E32&lt;5</formula>
    </cfRule>
  </conditionalFormatting>
  <conditionalFormatting sqref="F33">
    <cfRule type="expression" dxfId="1084" priority="54" stopIfTrue="1">
      <formula>D33-E33&lt;5</formula>
    </cfRule>
  </conditionalFormatting>
  <conditionalFormatting sqref="F33">
    <cfRule type="expression" dxfId="1083" priority="53" stopIfTrue="1">
      <formula>D33-E33&lt;5</formula>
    </cfRule>
  </conditionalFormatting>
  <conditionalFormatting sqref="F33">
    <cfRule type="expression" dxfId="1082" priority="50" stopIfTrue="1">
      <formula>D33-E33&lt;5</formula>
    </cfRule>
  </conditionalFormatting>
  <conditionalFormatting sqref="D33">
    <cfRule type="expression" dxfId="1081" priority="49" stopIfTrue="1">
      <formula>C33=""</formula>
    </cfRule>
  </conditionalFormatting>
  <conditionalFormatting sqref="F33">
    <cfRule type="expression" dxfId="1080" priority="56" stopIfTrue="1">
      <formula>D33=""</formula>
    </cfRule>
  </conditionalFormatting>
  <conditionalFormatting sqref="F33">
    <cfRule type="expression" dxfId="1079" priority="55" stopIfTrue="1">
      <formula>D33=""</formula>
    </cfRule>
  </conditionalFormatting>
  <conditionalFormatting sqref="D33">
    <cfRule type="expression" dxfId="1078" priority="52" stopIfTrue="1">
      <formula>C33=""</formula>
    </cfRule>
  </conditionalFormatting>
  <conditionalFormatting sqref="F33">
    <cfRule type="expression" dxfId="1077" priority="51" stopIfTrue="1">
      <formula>D33-E33&lt;5</formula>
    </cfRule>
  </conditionalFormatting>
  <conditionalFormatting sqref="F34">
    <cfRule type="expression" dxfId="1076" priority="46" stopIfTrue="1">
      <formula>D34-E34&lt;5</formula>
    </cfRule>
  </conditionalFormatting>
  <conditionalFormatting sqref="F34">
    <cfRule type="expression" dxfId="1075" priority="45" stopIfTrue="1">
      <formula>D34-E34&lt;5</formula>
    </cfRule>
  </conditionalFormatting>
  <conditionalFormatting sqref="F34">
    <cfRule type="expression" dxfId="1074" priority="42" stopIfTrue="1">
      <formula>D34-E34&lt;5</formula>
    </cfRule>
  </conditionalFormatting>
  <conditionalFormatting sqref="D34">
    <cfRule type="expression" dxfId="1073" priority="41" stopIfTrue="1">
      <formula>C34=""</formula>
    </cfRule>
  </conditionalFormatting>
  <conditionalFormatting sqref="F34">
    <cfRule type="expression" dxfId="1072" priority="48" stopIfTrue="1">
      <formula>D34=""</formula>
    </cfRule>
  </conditionalFormatting>
  <conditionalFormatting sqref="F34">
    <cfRule type="expression" dxfId="1071" priority="47" stopIfTrue="1">
      <formula>D34=""</formula>
    </cfRule>
  </conditionalFormatting>
  <conditionalFormatting sqref="D34">
    <cfRule type="expression" dxfId="1070" priority="44" stopIfTrue="1">
      <formula>C34=""</formula>
    </cfRule>
  </conditionalFormatting>
  <conditionalFormatting sqref="F34">
    <cfRule type="expression" dxfId="1069" priority="43" stopIfTrue="1">
      <formula>D34-E34&lt;5</formula>
    </cfRule>
  </conditionalFormatting>
  <conditionalFormatting sqref="K61">
    <cfRule type="expression" dxfId="1068" priority="40" stopIfTrue="1">
      <formula>A61="nee"</formula>
    </cfRule>
  </conditionalFormatting>
  <conditionalFormatting sqref="K61">
    <cfRule type="expression" dxfId="1067" priority="39" stopIfTrue="1">
      <formula>A61="nee"</formula>
    </cfRule>
  </conditionalFormatting>
  <conditionalFormatting sqref="E61">
    <cfRule type="cellIs" dxfId="1066" priority="38" stopIfTrue="1" operator="equal">
      <formula>"voldoet niet"</formula>
    </cfRule>
  </conditionalFormatting>
  <conditionalFormatting sqref="K61">
    <cfRule type="expression" dxfId="1065" priority="37" stopIfTrue="1">
      <formula>A61="nee"</formula>
    </cfRule>
  </conditionalFormatting>
  <conditionalFormatting sqref="K61">
    <cfRule type="expression" dxfId="1064" priority="36" stopIfTrue="1">
      <formula>A61="nee"</formula>
    </cfRule>
  </conditionalFormatting>
  <conditionalFormatting sqref="I98:P102">
    <cfRule type="expression" dxfId="1063" priority="35">
      <formula>$S$16&lt;&gt;1</formula>
    </cfRule>
  </conditionalFormatting>
  <conditionalFormatting sqref="N98:P102">
    <cfRule type="expression" dxfId="1062" priority="34">
      <formula>$S$12="nader te bepalen"</formula>
    </cfRule>
  </conditionalFormatting>
  <conditionalFormatting sqref="F98:H103">
    <cfRule type="expression" dxfId="1061" priority="33">
      <formula>$S$16=3</formula>
    </cfRule>
  </conditionalFormatting>
  <conditionalFormatting sqref="Q98:Q102">
    <cfRule type="expression" dxfId="1060" priority="32">
      <formula>SUM(Q94:Q98)&lt;E99</formula>
    </cfRule>
  </conditionalFormatting>
  <conditionalFormatting sqref="P98">
    <cfRule type="expression" dxfId="1059" priority="22" stopIfTrue="1">
      <formula>P98="-"</formula>
    </cfRule>
    <cfRule type="expression" dxfId="1058" priority="27" stopIfTrue="1">
      <formula>P98&lt;H98</formula>
    </cfRule>
  </conditionalFormatting>
  <conditionalFormatting sqref="P99">
    <cfRule type="expression" dxfId="1057" priority="23" stopIfTrue="1">
      <formula>P99="-"</formula>
    </cfRule>
    <cfRule type="expression" dxfId="1056" priority="28" stopIfTrue="1">
      <formula>P99&lt;H99</formula>
    </cfRule>
  </conditionalFormatting>
  <conditionalFormatting sqref="P100">
    <cfRule type="expression" dxfId="1055" priority="24" stopIfTrue="1">
      <formula>P100="-"</formula>
    </cfRule>
    <cfRule type="expression" dxfId="1054" priority="29" stopIfTrue="1">
      <formula>P100&lt;H100</formula>
    </cfRule>
  </conditionalFormatting>
  <conditionalFormatting sqref="P101">
    <cfRule type="expression" dxfId="1053" priority="25" stopIfTrue="1">
      <formula>P101="-"</formula>
    </cfRule>
    <cfRule type="expression" dxfId="1052" priority="30" stopIfTrue="1">
      <formula>P101&lt;H101</formula>
    </cfRule>
  </conditionalFormatting>
  <conditionalFormatting sqref="P102">
    <cfRule type="expression" dxfId="1051" priority="26" stopIfTrue="1">
      <formula>P102="-"</formula>
    </cfRule>
    <cfRule type="expression" dxfId="1050" priority="31" stopIfTrue="1">
      <formula>P102&lt;H102</formula>
    </cfRule>
  </conditionalFormatting>
  <conditionalFormatting sqref="F103:H103">
    <cfRule type="containsText" dxfId="1049" priority="21" operator="containsText" text="voldoet niet op VG-niveau">
      <formula>NOT(ISERROR(SEARCH("voldoet niet op VG-niveau",F103)))</formula>
    </cfRule>
  </conditionalFormatting>
  <conditionalFormatting sqref="K68">
    <cfRule type="expression" dxfId="1048" priority="20" stopIfTrue="1">
      <formula>A68="nee"</formula>
    </cfRule>
  </conditionalFormatting>
  <conditionalFormatting sqref="K68">
    <cfRule type="expression" dxfId="1047" priority="19" stopIfTrue="1">
      <formula>A68="nee"</formula>
    </cfRule>
  </conditionalFormatting>
  <conditionalFormatting sqref="E68">
    <cfRule type="cellIs" dxfId="1046" priority="18" stopIfTrue="1" operator="equal">
      <formula>"voldoet niet"</formula>
    </cfRule>
  </conditionalFormatting>
  <conditionalFormatting sqref="K68">
    <cfRule type="expression" dxfId="1045" priority="17" stopIfTrue="1">
      <formula>A68="nee"</formula>
    </cfRule>
  </conditionalFormatting>
  <conditionalFormatting sqref="K68">
    <cfRule type="expression" dxfId="1044" priority="16" stopIfTrue="1">
      <formula>A68="nee"</formula>
    </cfRule>
  </conditionalFormatting>
  <conditionalFormatting sqref="I105:P109">
    <cfRule type="expression" dxfId="1043" priority="15">
      <formula>$S$16&lt;&gt;1</formula>
    </cfRule>
  </conditionalFormatting>
  <conditionalFormatting sqref="N105:P109">
    <cfRule type="expression" dxfId="1042" priority="14">
      <formula>$S$12="nader te bepalen"</formula>
    </cfRule>
  </conditionalFormatting>
  <conditionalFormatting sqref="F105:H110">
    <cfRule type="expression" dxfId="1041" priority="13">
      <formula>$S$16=3</formula>
    </cfRule>
  </conditionalFormatting>
  <conditionalFormatting sqref="Q105:Q109">
    <cfRule type="expression" dxfId="1040" priority="12">
      <formula>SUM(Q101:Q105)&lt;E106</formula>
    </cfRule>
  </conditionalFormatting>
  <conditionalFormatting sqref="P105">
    <cfRule type="expression" dxfId="1039" priority="2" stopIfTrue="1">
      <formula>P105="-"</formula>
    </cfRule>
    <cfRule type="expression" dxfId="1038" priority="7" stopIfTrue="1">
      <formula>P105&lt;H105</formula>
    </cfRule>
  </conditionalFormatting>
  <conditionalFormatting sqref="P106">
    <cfRule type="expression" dxfId="1037" priority="3" stopIfTrue="1">
      <formula>P106="-"</formula>
    </cfRule>
    <cfRule type="expression" dxfId="1036" priority="8" stopIfTrue="1">
      <formula>P106&lt;H106</formula>
    </cfRule>
  </conditionalFormatting>
  <conditionalFormatting sqref="P107">
    <cfRule type="expression" dxfId="1035" priority="4" stopIfTrue="1">
      <formula>P107="-"</formula>
    </cfRule>
    <cfRule type="expression" dxfId="1034" priority="9" stopIfTrue="1">
      <formula>P107&lt;H107</formula>
    </cfRule>
  </conditionalFormatting>
  <conditionalFormatting sqref="P108">
    <cfRule type="expression" dxfId="1033" priority="5" stopIfTrue="1">
      <formula>P108="-"</formula>
    </cfRule>
    <cfRule type="expression" dxfId="1032" priority="10" stopIfTrue="1">
      <formula>P108&lt;H108</formula>
    </cfRule>
  </conditionalFormatting>
  <conditionalFormatting sqref="P109">
    <cfRule type="expression" dxfId="1031" priority="6" stopIfTrue="1">
      <formula>P109="-"</formula>
    </cfRule>
    <cfRule type="expression" dxfId="1030" priority="11" stopIfTrue="1">
      <formula>P109&lt;H109</formula>
    </cfRule>
  </conditionalFormatting>
  <conditionalFormatting sqref="F110:H110">
    <cfRule type="containsText" dxfId="1029" priority="1" operator="containsText" text="voldoet niet op VG-niveau">
      <formula>NOT(ISERROR(SEARCH("voldoet niet op VG-niveau",F110)))</formula>
    </cfRule>
  </conditionalFormatting>
  <dataValidations disablePrompts="1" count="7">
    <dataValidation type="list" allowBlank="1" showInputMessage="1" showErrorMessage="1" sqref="N113:O116 N84:O88 N91:O95 N98:O102 N105:O109" xr:uid="{F18AB963-917E-4FF8-B643-1D23A255D8C4}">
      <formula1>INDIRECT($S$12)</formula1>
    </dataValidation>
    <dataValidation type="list" allowBlank="1" showInputMessage="1" showErrorMessage="1" sqref="F113:F116 F84:F88 F91:F95 F98:F102 F105:F109" xr:uid="{A50D2F04-BDF0-4268-A4D6-FDB7563ED3B8}">
      <formula1>$T$16:$T$18</formula1>
    </dataValidation>
    <dataValidation type="list" allowBlank="1" showInputMessage="1" showErrorMessage="1" sqref="D74:G74" xr:uid="{D33FB8B8-B9D3-4F9D-BDE2-0B8C1C8F3339}">
      <formula1>PD_TypeVentilatie</formula1>
    </dataValidation>
    <dataValidation type="list" allowBlank="1" showInputMessage="1" showErrorMessage="1" sqref="D75:G75" xr:uid="{1B4C7E52-53C0-460E-9A7B-31F6CA22333E}">
      <formula1>PD_RoosterFabrikant</formula1>
    </dataValidation>
    <dataValidation type="list" allowBlank="1" showInputMessage="1" showErrorMessage="1" sqref="D72:G72" xr:uid="{48E31216-6924-4B6D-A7D7-24A1E2B3C334}">
      <formula1>PD_Uitgangspunten</formula1>
    </dataValidation>
    <dataValidation type="list" allowBlank="1" showInputMessage="1" showErrorMessage="1" sqref="H72:M72" xr:uid="{451B05B7-7EE3-4A73-A7C0-9AF636610CD8}">
      <formula1>PD_70procent</formula1>
    </dataValidation>
    <dataValidation type="whole" operator="greaterThan" allowBlank="1" showInputMessage="1" showErrorMessage="1" errorTitle="Getal invoeren" error="Voer een getal in om het verblijfsgebied aan te geven." sqref="C29:C34" xr:uid="{D0B8D67B-F93D-45D8-B523-7C412ADAE14F}">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70"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80225"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80226"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80227" r:id="rId7" name="Button 9">
              <controlPr defaultSize="0" print="0" autoFill="0" autoPict="0" macro="[0]!daglichtad1">
                <anchor moveWithCells="1" sizeWithCells="1">
                  <from>
                    <xdr:col>14</xdr:col>
                    <xdr:colOff>182880</xdr:colOff>
                    <xdr:row>37</xdr:row>
                    <xdr:rowOff>7620</xdr:rowOff>
                  </from>
                  <to>
                    <xdr:col>15</xdr:col>
                    <xdr:colOff>792480</xdr:colOff>
                    <xdr:row>38</xdr:row>
                    <xdr:rowOff>0</xdr:rowOff>
                  </to>
                </anchor>
              </controlPr>
            </control>
          </mc:Choice>
        </mc:AlternateContent>
        <mc:AlternateContent xmlns:mc="http://schemas.openxmlformats.org/markup-compatibility/2006">
          <mc:Choice Requires="x14">
            <control shapeId="180228" r:id="rId8" name="Button 11">
              <controlPr defaultSize="0" print="0" autoFill="0" autoPict="0" macro="[0]!spuiad1">
                <anchor moveWithCells="1" sizeWithCells="1">
                  <from>
                    <xdr:col>14</xdr:col>
                    <xdr:colOff>137160</xdr:colOff>
                    <xdr:row>179</xdr:row>
                    <xdr:rowOff>7620</xdr:rowOff>
                  </from>
                  <to>
                    <xdr:col>15</xdr:col>
                    <xdr:colOff>746760</xdr:colOff>
                    <xdr:row>180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14A51-B9A0-4BCC-BB17-FFCC45AB50B6}">
  <sheetPr codeName="Blad23">
    <tabColor indexed="11"/>
    <pageSetUpPr fitToPage="1"/>
  </sheetPr>
  <dimension ref="A1:AQ212"/>
  <sheetViews>
    <sheetView view="pageBreakPreview" topLeftCell="C11" zoomScale="85" zoomScaleNormal="100" zoomScaleSheetLayoutView="85" workbookViewId="0">
      <selection activeCell="M62" sqref="M62"/>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1162</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Kleine dakkapellen</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7</v>
      </c>
      <c r="T7" s="519"/>
      <c r="U7" s="516"/>
      <c r="V7" s="517"/>
      <c r="W7" s="517"/>
      <c r="X7" s="517"/>
      <c r="AC7" s="500"/>
      <c r="AF7" s="498"/>
    </row>
    <row r="8" spans="1:34" s="518" customFormat="1" ht="12" customHeight="1">
      <c r="A8" s="515"/>
      <c r="B8" s="515"/>
      <c r="C8" s="387" t="s">
        <v>691</v>
      </c>
      <c r="D8" s="796" t="s">
        <v>1143</v>
      </c>
      <c r="E8" s="796"/>
      <c r="F8" s="796"/>
      <c r="G8" s="389"/>
      <c r="H8" s="390"/>
      <c r="I8" s="390"/>
      <c r="J8" s="390"/>
      <c r="K8" s="391"/>
      <c r="L8" s="391"/>
      <c r="M8" s="391"/>
      <c r="N8" s="391"/>
      <c r="O8" s="391"/>
      <c r="P8" s="391"/>
      <c r="Q8" s="516"/>
      <c r="R8" s="516" t="s">
        <v>254</v>
      </c>
      <c r="S8" s="512">
        <f>COUNTA(X:X)</f>
        <v>7</v>
      </c>
      <c r="T8" s="519"/>
      <c r="U8" s="516"/>
      <c r="V8" s="517"/>
      <c r="W8" s="517"/>
      <c r="X8" s="517"/>
      <c r="AC8" s="500"/>
      <c r="AF8" s="498"/>
    </row>
    <row r="9" spans="1:34" s="518" customFormat="1" ht="12" customHeight="1">
      <c r="A9" s="515"/>
      <c r="B9" s="515"/>
      <c r="C9" s="387" t="s">
        <v>692</v>
      </c>
      <c r="D9" s="396" t="s">
        <v>1129</v>
      </c>
      <c r="E9" s="388"/>
      <c r="F9" s="388"/>
      <c r="G9" s="392" t="s">
        <v>1041</v>
      </c>
      <c r="H9" s="393"/>
      <c r="I9" s="784">
        <v>45028</v>
      </c>
      <c r="J9" s="390"/>
      <c r="K9" s="391"/>
      <c r="L9" s="391"/>
      <c r="M9" s="391"/>
      <c r="N9" s="391"/>
      <c r="O9" s="391"/>
      <c r="P9" s="391"/>
      <c r="Q9" s="516"/>
      <c r="R9" s="516" t="s">
        <v>253</v>
      </c>
      <c r="S9" s="520">
        <f>COUNTA(C28:C37)-1</f>
        <v>4</v>
      </c>
      <c r="T9" s="519"/>
      <c r="U9" s="516"/>
      <c r="V9" s="517"/>
      <c r="W9" s="517"/>
      <c r="X9" s="517"/>
      <c r="AC9" s="500"/>
      <c r="AF9" s="498"/>
    </row>
    <row r="10" spans="1:34" s="518" customFormat="1" ht="12" customHeight="1">
      <c r="A10" s="515"/>
      <c r="B10" s="515"/>
      <c r="C10" s="387" t="s">
        <v>693</v>
      </c>
      <c r="D10" s="396" t="s">
        <v>1145</v>
      </c>
      <c r="E10" s="388"/>
      <c r="F10" s="388"/>
      <c r="G10" s="395"/>
      <c r="H10" s="393"/>
      <c r="I10" s="396" t="s">
        <v>1144</v>
      </c>
      <c r="J10" s="390"/>
      <c r="K10" s="391"/>
      <c r="L10" s="391"/>
      <c r="M10" s="391"/>
      <c r="N10" s="391"/>
      <c r="O10" s="391"/>
      <c r="P10" s="391"/>
      <c r="Q10" s="516"/>
      <c r="R10" s="516" t="s">
        <v>253</v>
      </c>
      <c r="S10" s="512">
        <f>MAX(U:W)</f>
        <v>4</v>
      </c>
      <c r="T10" s="519"/>
      <c r="U10" s="516"/>
      <c r="V10" s="517"/>
      <c r="W10" s="517"/>
      <c r="X10" s="517"/>
      <c r="AC10" s="500"/>
      <c r="AF10" s="498"/>
    </row>
    <row r="11" spans="1:34" s="518" customFormat="1" ht="12" customHeight="1">
      <c r="A11" s="515"/>
      <c r="B11" s="515"/>
      <c r="C11" s="387" t="s">
        <v>694</v>
      </c>
      <c r="D11" s="797">
        <v>45028</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D75</f>
        <v>nader te bepalen</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1146</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10.81</v>
      </c>
      <c r="M16" s="411"/>
      <c r="N16" s="409"/>
      <c r="O16" s="412"/>
      <c r="P16" s="412"/>
      <c r="Q16" s="525"/>
      <c r="R16" s="526"/>
      <c r="S16" s="527">
        <f>IF(D72="berekening op basis van minimale capaciteit",3,IF(D74="systeem A - natuurlijke toevoer &amp;  afvoer",1,IF(D74="systeem C - natuurlijke toevoer &amp; mechanische afvoer",1,2)))</f>
        <v>2</v>
      </c>
      <c r="T16" s="516" t="str">
        <f>IF(S16=1,"NT","MT")</f>
        <v>MT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157.12</v>
      </c>
      <c r="G17" s="403"/>
      <c r="H17" s="414"/>
      <c r="I17" s="404"/>
      <c r="J17" s="408" t="s">
        <v>687</v>
      </c>
      <c r="K17" s="409"/>
      <c r="L17" s="410">
        <v>68.98</v>
      </c>
      <c r="M17" s="415"/>
      <c r="N17" s="409"/>
      <c r="O17" s="404"/>
      <c r="P17" s="416"/>
      <c r="Q17" s="525"/>
      <c r="R17" s="526"/>
      <c r="S17" s="527">
        <f>IF(D75="nader te bepalen",1,2)</f>
        <v>1</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86.416000000000011</v>
      </c>
      <c r="G18" s="417"/>
      <c r="H18" s="418"/>
      <c r="I18" s="419"/>
      <c r="J18" s="408" t="s">
        <v>688</v>
      </c>
      <c r="K18" s="409"/>
      <c r="L18" s="410">
        <v>77.33</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F36</f>
        <v>75.05</v>
      </c>
      <c r="G19" s="420" t="s">
        <v>661</v>
      </c>
      <c r="H19" s="421">
        <f>IF(OR(F17=0,F19=0),0,F19/F17)</f>
        <v>0.47766038696537677</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nee, &lt; 55%</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2</v>
      </c>
      <c r="I22" s="805"/>
      <c r="J22" s="427" t="str">
        <f>IF(H22&lt;F22,"voldoet niet","")</f>
        <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1</v>
      </c>
      <c r="I23" s="805"/>
      <c r="J23" s="427" t="str">
        <f>IF(H23&lt;F23,"voldoet niet","")</f>
        <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28.45</v>
      </c>
      <c r="E28" s="433">
        <f>IF(C28="","",SUMPRODUCT(($Y$1:$Y$28075)*($U$1:$U$28075=C28)))</f>
        <v>0</v>
      </c>
      <c r="F28" s="799">
        <f>IF(E28="","",IF(SUMPRODUCT(($AD$1:$AD$28130)*($AC$1:$AC$28130=C28))-E28&lt;verzamelblad!$AG$7,"&lt; " &amp; verzamelblad!$AG$7 &amp; " m², geen VG",SUMPRODUCT(($AD$1:$AD$28130)*($AC$1:$AC$28130=C28))-E28))</f>
        <v>28.45</v>
      </c>
      <c r="G28" s="799"/>
      <c r="H28" s="434">
        <f>IF(C28="","",0)</f>
        <v>0</v>
      </c>
      <c r="I28" s="435"/>
      <c r="J28" s="800">
        <f t="shared" ref="J28" si="0">A28</f>
        <v>1</v>
      </c>
      <c r="K28" s="800"/>
      <c r="L28" s="436" t="s">
        <v>1147</v>
      </c>
      <c r="M28" s="436"/>
      <c r="N28" s="801">
        <v>28.45</v>
      </c>
      <c r="O28" s="801"/>
      <c r="P28" s="437"/>
      <c r="Q28" s="392"/>
      <c r="R28" s="516"/>
      <c r="S28" s="516"/>
      <c r="T28" s="521"/>
      <c r="U28" s="516"/>
      <c r="V28" s="517"/>
      <c r="W28" s="517"/>
      <c r="X28" s="536">
        <f t="shared" ref="X28" si="1">A28</f>
        <v>1</v>
      </c>
      <c r="Y28" s="517"/>
      <c r="Z28" s="517"/>
      <c r="AA28" s="517"/>
      <c r="AB28" s="517"/>
      <c r="AC28" s="537">
        <f t="shared" ref="AC28" si="2">IF(C28&lt;&gt;"",C28,AC27)</f>
        <v>1</v>
      </c>
      <c r="AD28" s="538">
        <f>IF(C28&lt;&gt;"",D28+H28,0)</f>
        <v>28.45</v>
      </c>
      <c r="AE28" s="539">
        <f t="shared" ref="AE28" si="3">N28</f>
        <v>28.45</v>
      </c>
      <c r="AF28" s="540"/>
      <c r="AG28" s="517"/>
      <c r="AH28" s="535"/>
    </row>
    <row r="29" spans="1:34" s="518" customFormat="1" ht="12" customHeight="1">
      <c r="A29" s="527">
        <f t="shared" ref="A29:A34" si="4">A28+1</f>
        <v>2</v>
      </c>
      <c r="B29" s="515" t="s">
        <v>258</v>
      </c>
      <c r="C29" s="438">
        <v>2</v>
      </c>
      <c r="D29" s="432">
        <v>22.4</v>
      </c>
      <c r="E29" s="725">
        <f>IF(C29="","",SUMPRODUCT(($Y$1:$Y$28181)*($U$1:$U$28181=C29)))</f>
        <v>0</v>
      </c>
      <c r="F29" s="802">
        <f>IF(E29="","",IF(SUMPRODUCT(($AD$1:$AD$28181)*($AC$1:$AC$28181=C29))-E29&lt;verzamelblad!$AG$7,"&lt; " &amp; verzamelblad!$AG$7 &amp; " m², geen VG",SUMPRODUCT(($AD$1:$AD$28181)*($AC$1:$AC$28181=C29))-E29))</f>
        <v>22.4</v>
      </c>
      <c r="G29" s="802"/>
      <c r="H29" s="434">
        <f t="shared" ref="H29:H34" si="5">IF(C29="","",0)</f>
        <v>0</v>
      </c>
      <c r="I29" s="439"/>
      <c r="J29" s="803">
        <f t="shared" ref="J29:J34" si="6">A29</f>
        <v>2</v>
      </c>
      <c r="K29" s="803"/>
      <c r="L29" s="440" t="s">
        <v>727</v>
      </c>
      <c r="M29" s="440"/>
      <c r="N29" s="804">
        <v>15.1</v>
      </c>
      <c r="O29" s="804"/>
      <c r="P29" s="441"/>
      <c r="Q29" s="404"/>
      <c r="R29" s="541"/>
      <c r="S29" s="541"/>
      <c r="T29" s="521"/>
      <c r="U29" s="516"/>
      <c r="V29" s="517"/>
      <c r="W29" s="517"/>
      <c r="X29" s="536">
        <f t="shared" ref="X29:X34" si="7">A29</f>
        <v>2</v>
      </c>
      <c r="Y29" s="517"/>
      <c r="Z29" s="517"/>
      <c r="AA29" s="517"/>
      <c r="AB29" s="517"/>
      <c r="AC29" s="537">
        <f>IF(C29&lt;&gt;"",C29,AC28)</f>
        <v>2</v>
      </c>
      <c r="AD29" s="538">
        <f t="shared" ref="AD29:AD34" si="8">IF(C29&lt;&gt;"",D29+H29,0)</f>
        <v>22.4</v>
      </c>
      <c r="AE29" s="539">
        <f t="shared" ref="AE29:AE34" si="9">N29</f>
        <v>15.1</v>
      </c>
      <c r="AF29" s="540"/>
      <c r="AG29" s="517"/>
      <c r="AH29" s="535"/>
    </row>
    <row r="30" spans="1:34" s="518" customFormat="1" ht="12" customHeight="1">
      <c r="A30" s="542">
        <f t="shared" si="4"/>
        <v>3</v>
      </c>
      <c r="B30" s="543" t="s">
        <v>258</v>
      </c>
      <c r="C30" s="438"/>
      <c r="D30" s="740">
        <v>0</v>
      </c>
      <c r="E30" s="725" t="str">
        <f>IF(C30="","",SUMPRODUCT(($Y$1:$Y$28240)*($U$1:$U$28240=C30)))</f>
        <v/>
      </c>
      <c r="F30" s="802" t="str">
        <f>IF(E30="","",IF(SUMPRODUCT(($AD$1:$AD$28240)*($AC$1:$AC$28240=C30))-E30&lt;verzamelblad!$AG$7,"&lt; " &amp; verzamelblad!$AG$7 &amp; " m², geen VG",SUMPRODUCT(($AD$1:$AD$28240)*($AC$1:$AC$28240=C30))-E30))</f>
        <v/>
      </c>
      <c r="G30" s="802"/>
      <c r="H30" s="756" t="str">
        <f t="shared" si="5"/>
        <v/>
      </c>
      <c r="I30" s="439"/>
      <c r="J30" s="803">
        <f t="shared" si="6"/>
        <v>3</v>
      </c>
      <c r="K30" s="803"/>
      <c r="L30" s="440" t="s">
        <v>1149</v>
      </c>
      <c r="M30" s="440"/>
      <c r="N30" s="804">
        <v>5.96</v>
      </c>
      <c r="O30" s="804"/>
      <c r="P30" s="441"/>
      <c r="Q30" s="404"/>
      <c r="R30" s="404"/>
      <c r="S30" s="404"/>
      <c r="T30" s="544"/>
      <c r="U30" s="392"/>
      <c r="V30" s="545"/>
      <c r="W30" s="545"/>
      <c r="X30" s="757">
        <f t="shared" si="7"/>
        <v>3</v>
      </c>
      <c r="Y30" s="545"/>
      <c r="Z30" s="545"/>
      <c r="AA30" s="546"/>
      <c r="AB30" s="517"/>
      <c r="AC30" s="537">
        <f t="shared" ref="AC30:AC34" si="10">IF(C30&lt;&gt;"",C30,AC29)</f>
        <v>2</v>
      </c>
      <c r="AD30" s="538">
        <f t="shared" si="8"/>
        <v>0</v>
      </c>
      <c r="AE30" s="539">
        <f t="shared" si="9"/>
        <v>5.96</v>
      </c>
      <c r="AF30" s="517"/>
      <c r="AG30" s="517">
        <f>IF(P30="ja",1,0)</f>
        <v>0</v>
      </c>
      <c r="AH30" s="535"/>
    </row>
    <row r="31" spans="1:34" s="518" customFormat="1" ht="12" customHeight="1">
      <c r="A31" s="542">
        <f t="shared" si="4"/>
        <v>4</v>
      </c>
      <c r="B31" s="543" t="s">
        <v>258</v>
      </c>
      <c r="C31" s="438">
        <v>3</v>
      </c>
      <c r="D31" s="740">
        <v>18.899999999999999</v>
      </c>
      <c r="E31" s="725">
        <f>IF(C31="","",SUMPRODUCT(($Y$1:$Y$28239)*($U$1:$U$28239=C31)))</f>
        <v>0</v>
      </c>
      <c r="F31" s="802">
        <f>IF(E31="","",IF(SUMPRODUCT(($AD$1:$AD$28239)*($AC$1:$AC$28239=C31))-E31&lt;verzamelblad!$AG$7,"&lt; " &amp; verzamelblad!$AG$7 &amp; " m², geen VG",SUMPRODUCT(($AD$1:$AD$28239)*($AC$1:$AC$28239=C31))-E31))</f>
        <v>18.899999999999999</v>
      </c>
      <c r="G31" s="802"/>
      <c r="H31" s="756">
        <f t="shared" si="5"/>
        <v>0</v>
      </c>
      <c r="I31" s="439"/>
      <c r="J31" s="803">
        <f t="shared" si="6"/>
        <v>4</v>
      </c>
      <c r="K31" s="803"/>
      <c r="L31" s="440" t="s">
        <v>742</v>
      </c>
      <c r="M31" s="440"/>
      <c r="N31" s="804">
        <v>7.57</v>
      </c>
      <c r="O31" s="804"/>
      <c r="P31" s="441"/>
      <c r="Q31" s="404"/>
      <c r="R31" s="404"/>
      <c r="S31" s="404"/>
      <c r="T31" s="544"/>
      <c r="U31" s="392"/>
      <c r="V31" s="545"/>
      <c r="W31" s="545"/>
      <c r="X31" s="757">
        <f t="shared" si="7"/>
        <v>4</v>
      </c>
      <c r="Y31" s="545"/>
      <c r="Z31" s="545"/>
      <c r="AA31" s="546"/>
      <c r="AB31" s="517"/>
      <c r="AC31" s="537">
        <f t="shared" si="10"/>
        <v>3</v>
      </c>
      <c r="AD31" s="538">
        <f t="shared" si="8"/>
        <v>18.899999999999999</v>
      </c>
      <c r="AE31" s="539">
        <f t="shared" si="9"/>
        <v>7.57</v>
      </c>
      <c r="AF31" s="517"/>
      <c r="AG31" s="517">
        <f>IF(P31="ja",1,0)</f>
        <v>0</v>
      </c>
      <c r="AH31" s="535"/>
    </row>
    <row r="32" spans="1:34" s="518" customFormat="1" ht="12" customHeight="1">
      <c r="A32" s="542">
        <f t="shared" si="4"/>
        <v>5</v>
      </c>
      <c r="B32" s="543" t="s">
        <v>258</v>
      </c>
      <c r="C32" s="438"/>
      <c r="D32" s="740">
        <v>0</v>
      </c>
      <c r="E32" s="725" t="str">
        <f>IF(C32="","",SUMPRODUCT(($Y$1:$Y$28252)*($U$1:$U$28252=C32)))</f>
        <v/>
      </c>
      <c r="F32" s="802" t="str">
        <f>IF(E32="","",IF(SUMPRODUCT(($AD$1:$AD$28252)*($AC$1:$AC$28252=C32))-E32&lt;verzamelblad!$AG$7,"&lt; " &amp; verzamelblad!$AG$7 &amp; " m², geen VG",SUMPRODUCT(($AD$1:$AD$28252)*($AC$1:$AC$28252=C32))-E32))</f>
        <v/>
      </c>
      <c r="G32" s="802"/>
      <c r="H32" s="756" t="str">
        <f t="shared" si="5"/>
        <v/>
      </c>
      <c r="I32" s="439"/>
      <c r="J32" s="803">
        <f t="shared" si="6"/>
        <v>5</v>
      </c>
      <c r="K32" s="803"/>
      <c r="L32" s="440" t="s">
        <v>1131</v>
      </c>
      <c r="M32" s="440"/>
      <c r="N32" s="804">
        <v>7.47</v>
      </c>
      <c r="O32" s="804"/>
      <c r="P32" s="441"/>
      <c r="Q32" s="404"/>
      <c r="R32" s="404"/>
      <c r="S32" s="404"/>
      <c r="T32" s="544"/>
      <c r="U32" s="392"/>
      <c r="V32" s="545"/>
      <c r="W32" s="545"/>
      <c r="X32" s="757">
        <f t="shared" si="7"/>
        <v>5</v>
      </c>
      <c r="Y32" s="545"/>
      <c r="Z32" s="545"/>
      <c r="AA32" s="546"/>
      <c r="AB32" s="517"/>
      <c r="AC32" s="537">
        <f t="shared" si="10"/>
        <v>3</v>
      </c>
      <c r="AD32" s="538">
        <f t="shared" si="8"/>
        <v>0</v>
      </c>
      <c r="AE32" s="539">
        <f t="shared" si="9"/>
        <v>7.47</v>
      </c>
      <c r="AF32" s="517"/>
      <c r="AG32" s="517">
        <f>IF(P32="ja",1,0)</f>
        <v>0</v>
      </c>
      <c r="AH32" s="535"/>
    </row>
    <row r="33" spans="1:34" s="518" customFormat="1" ht="12" customHeight="1">
      <c r="A33" s="542">
        <f t="shared" si="4"/>
        <v>6</v>
      </c>
      <c r="B33" s="543" t="s">
        <v>258</v>
      </c>
      <c r="C33" s="438"/>
      <c r="D33" s="740">
        <v>0</v>
      </c>
      <c r="E33" s="725" t="str">
        <f>IF(C33="","",SUMPRODUCT(($Y$1:$Y$28251)*($U$1:$U$28251=C33)))</f>
        <v/>
      </c>
      <c r="F33" s="802" t="str">
        <f>IF(E33="","",IF(SUMPRODUCT(($AD$1:$AD$28251)*($AC$1:$AC$28251=C33))-E33&lt;verzamelblad!$AG$7,"&lt; " &amp; verzamelblad!$AG$7 &amp; " m², geen VG",SUMPRODUCT(($AD$1:$AD$28251)*($AC$1:$AC$28251=C33))-E33))</f>
        <v/>
      </c>
      <c r="G33" s="802"/>
      <c r="H33" s="756" t="str">
        <f t="shared" si="5"/>
        <v/>
      </c>
      <c r="I33" s="439"/>
      <c r="J33" s="803">
        <f t="shared" si="6"/>
        <v>6</v>
      </c>
      <c r="K33" s="803"/>
      <c r="L33" s="440" t="s">
        <v>1148</v>
      </c>
      <c r="M33" s="440"/>
      <c r="N33" s="804">
        <v>3.33</v>
      </c>
      <c r="O33" s="804"/>
      <c r="P33" s="441"/>
      <c r="Q33" s="404"/>
      <c r="R33" s="404"/>
      <c r="S33" s="404"/>
      <c r="T33" s="544"/>
      <c r="U33" s="392"/>
      <c r="V33" s="545"/>
      <c r="W33" s="545"/>
      <c r="X33" s="757">
        <f t="shared" si="7"/>
        <v>6</v>
      </c>
      <c r="Y33" s="545"/>
      <c r="Z33" s="545"/>
      <c r="AA33" s="546"/>
      <c r="AB33" s="517"/>
      <c r="AC33" s="537">
        <f t="shared" si="10"/>
        <v>3</v>
      </c>
      <c r="AD33" s="538">
        <f t="shared" si="8"/>
        <v>0</v>
      </c>
      <c r="AE33" s="539">
        <f t="shared" si="9"/>
        <v>3.33</v>
      </c>
      <c r="AF33" s="517"/>
      <c r="AG33" s="517">
        <f>IF(P33="ja",1,0)</f>
        <v>0</v>
      </c>
      <c r="AH33" s="535"/>
    </row>
    <row r="34" spans="1:34" s="518" customFormat="1" ht="12" customHeight="1">
      <c r="A34" s="542">
        <f t="shared" si="4"/>
        <v>7</v>
      </c>
      <c r="B34" s="543" t="s">
        <v>258</v>
      </c>
      <c r="C34" s="438">
        <v>4</v>
      </c>
      <c r="D34" s="740">
        <v>6</v>
      </c>
      <c r="E34" s="725">
        <f>IF(C34="","",SUMPRODUCT(($Y$1:$Y$28250)*($U$1:$U$28250=C34)))</f>
        <v>0.69999999999999929</v>
      </c>
      <c r="F34" s="802">
        <f>IF(E34="","",IF(SUMPRODUCT(($AD$1:$AD$28250)*($AC$1:$AC$28250=C34))-E34&lt;verzamelblad!$AG$7,"&lt; " &amp; verzamelblad!$AG$7 &amp; " m², geen VG",SUMPRODUCT(($AD$1:$AD$28250)*($AC$1:$AC$28250=C34))-E34))</f>
        <v>5.3000000000000007</v>
      </c>
      <c r="G34" s="802"/>
      <c r="H34" s="756">
        <f t="shared" si="5"/>
        <v>0</v>
      </c>
      <c r="I34" s="439"/>
      <c r="J34" s="803">
        <f t="shared" si="6"/>
        <v>7</v>
      </c>
      <c r="K34" s="803"/>
      <c r="L34" s="440" t="s">
        <v>1132</v>
      </c>
      <c r="M34" s="440"/>
      <c r="N34" s="804">
        <v>6</v>
      </c>
      <c r="O34" s="804"/>
      <c r="P34" s="441"/>
      <c r="Q34" s="404"/>
      <c r="R34" s="404"/>
      <c r="S34" s="404"/>
      <c r="T34" s="544"/>
      <c r="U34" s="392"/>
      <c r="V34" s="545"/>
      <c r="W34" s="545"/>
      <c r="X34" s="757">
        <f t="shared" si="7"/>
        <v>7</v>
      </c>
      <c r="Y34" s="545"/>
      <c r="Z34" s="545"/>
      <c r="AA34" s="546"/>
      <c r="AB34" s="517"/>
      <c r="AC34" s="537">
        <f t="shared" si="10"/>
        <v>4</v>
      </c>
      <c r="AD34" s="538">
        <f t="shared" si="8"/>
        <v>6</v>
      </c>
      <c r="AE34" s="539">
        <f t="shared" si="9"/>
        <v>6</v>
      </c>
      <c r="AF34" s="517"/>
      <c r="AG34" s="517">
        <f>IF(P34="ja",1,0)</f>
        <v>0</v>
      </c>
      <c r="AH34" s="535"/>
    </row>
    <row r="35" spans="1:34" ht="12" customHeight="1">
      <c r="A35" s="492"/>
      <c r="B35" s="492"/>
      <c r="C35" s="442"/>
      <c r="D35" s="443"/>
      <c r="E35" s="443"/>
      <c r="F35" s="443"/>
      <c r="G35" s="444"/>
      <c r="H35" s="444"/>
      <c r="I35" s="444"/>
      <c r="J35" s="444"/>
      <c r="K35" s="445"/>
      <c r="L35" s="445"/>
      <c r="M35" s="445"/>
      <c r="N35" s="445"/>
      <c r="O35" s="445"/>
      <c r="P35" s="445"/>
      <c r="Q35" s="547"/>
      <c r="R35" s="516"/>
      <c r="S35" s="515"/>
      <c r="T35" s="532"/>
      <c r="U35" s="507"/>
      <c r="V35" s="508"/>
      <c r="W35" s="508"/>
      <c r="X35" s="508"/>
      <c r="Y35" s="508"/>
      <c r="Z35" s="508"/>
      <c r="AA35" s="508"/>
      <c r="AB35" s="508"/>
      <c r="AC35" s="524"/>
      <c r="AD35" s="508"/>
      <c r="AE35" s="517"/>
      <c r="AF35" s="508"/>
      <c r="AG35" s="508"/>
    </row>
    <row r="36" spans="1:34" ht="12" customHeight="1">
      <c r="A36" s="492"/>
      <c r="B36" s="492"/>
      <c r="C36" s="446" t="s">
        <v>16</v>
      </c>
      <c r="D36" s="728">
        <f>SUM(D24:D35)</f>
        <v>75.75</v>
      </c>
      <c r="E36" s="447"/>
      <c r="F36" s="808">
        <f>SUM(F24:F35)</f>
        <v>75.05</v>
      </c>
      <c r="G36" s="808"/>
      <c r="H36" s="448"/>
      <c r="I36" s="448"/>
      <c r="J36" s="728"/>
      <c r="K36" s="449"/>
      <c r="L36" s="450"/>
      <c r="M36" s="404"/>
      <c r="N36" s="728">
        <f>SUM(N24:N35)</f>
        <v>73.88</v>
      </c>
      <c r="O36" s="451"/>
      <c r="P36" s="452"/>
      <c r="Q36" s="452"/>
      <c r="R36" s="516"/>
      <c r="S36" s="515"/>
      <c r="T36" s="532"/>
      <c r="U36" s="507"/>
      <c r="V36" s="508"/>
      <c r="W36" s="508"/>
      <c r="X36" s="508"/>
      <c r="Y36" s="508"/>
      <c r="Z36" s="508"/>
      <c r="AA36" s="508"/>
      <c r="AB36" s="508"/>
      <c r="AC36" s="524"/>
      <c r="AD36" s="508"/>
      <c r="AE36" s="517"/>
      <c r="AF36" s="508"/>
      <c r="AG36" s="508"/>
      <c r="AH36" s="508"/>
    </row>
    <row r="37" spans="1:34" ht="12" customHeight="1">
      <c r="A37" s="492"/>
      <c r="B37" s="492"/>
      <c r="C37" s="453"/>
      <c r="D37" s="454"/>
      <c r="E37" s="454"/>
      <c r="F37" s="454"/>
      <c r="G37" s="455"/>
      <c r="H37" s="455"/>
      <c r="I37" s="455"/>
      <c r="J37" s="455"/>
      <c r="K37" s="456"/>
      <c r="L37" s="456"/>
      <c r="M37" s="456"/>
      <c r="N37" s="456"/>
      <c r="O37" s="456"/>
      <c r="P37" s="456"/>
      <c r="Q37" s="547"/>
      <c r="R37" s="516"/>
      <c r="S37" s="515"/>
      <c r="T37" s="532"/>
      <c r="U37" s="507"/>
      <c r="V37" s="508"/>
      <c r="W37" s="508"/>
      <c r="X37" s="508"/>
      <c r="Y37" s="508"/>
      <c r="Z37" s="508"/>
      <c r="AA37" s="508"/>
      <c r="AB37" s="508"/>
      <c r="AC37" s="524"/>
      <c r="AD37" s="508"/>
      <c r="AE37" s="517"/>
      <c r="AF37" s="508"/>
      <c r="AG37" s="508"/>
    </row>
    <row r="38" spans="1:34" s="518" customFormat="1" ht="15" customHeight="1">
      <c r="A38" s="515"/>
      <c r="B38" s="515"/>
      <c r="C38" s="457" t="s">
        <v>1083</v>
      </c>
      <c r="D38" s="457"/>
      <c r="E38" s="457"/>
      <c r="F38" s="457"/>
      <c r="G38" s="457"/>
      <c r="H38" s="457"/>
      <c r="I38" s="457"/>
      <c r="J38" s="457"/>
      <c r="K38" s="457"/>
      <c r="L38" s="457"/>
      <c r="M38" s="457"/>
      <c r="N38" s="457"/>
      <c r="O38" s="457"/>
      <c r="P38" s="457"/>
      <c r="Q38" s="522"/>
      <c r="R38" s="516"/>
      <c r="S38" s="516"/>
      <c r="T38" s="516"/>
      <c r="U38" s="516"/>
      <c r="V38" s="517"/>
      <c r="W38" s="548"/>
      <c r="X38" s="548"/>
      <c r="Y38" s="548"/>
      <c r="Z38" s="517"/>
      <c r="AA38" s="517"/>
      <c r="AB38" s="517"/>
      <c r="AC38" s="524"/>
      <c r="AD38" s="517"/>
      <c r="AE38" s="517"/>
      <c r="AF38" s="517"/>
      <c r="AG38" s="517"/>
    </row>
    <row r="39" spans="1:34" s="518" customFormat="1" ht="12.75" hidden="1" customHeight="1">
      <c r="A39" s="515"/>
      <c r="B39" s="515"/>
      <c r="C39" s="458"/>
      <c r="D39" s="458"/>
      <c r="E39" s="458"/>
      <c r="F39" s="458"/>
      <c r="G39" s="458"/>
      <c r="H39" s="459"/>
      <c r="I39" s="459"/>
      <c r="J39" s="459"/>
      <c r="K39" s="459"/>
      <c r="L39" s="459"/>
      <c r="M39" s="459"/>
      <c r="N39" s="459"/>
      <c r="O39" s="459"/>
      <c r="P39" s="459"/>
      <c r="Q39" s="522"/>
      <c r="R39" s="516"/>
      <c r="S39" s="516"/>
      <c r="T39" s="516"/>
      <c r="U39" s="516"/>
      <c r="V39" s="548"/>
      <c r="W39" s="548"/>
      <c r="X39" s="548"/>
      <c r="Y39" s="548"/>
      <c r="Z39" s="517"/>
      <c r="AA39" s="517"/>
      <c r="AB39" s="517"/>
      <c r="AC39" s="524"/>
      <c r="AD39" s="517"/>
      <c r="AE39" s="517"/>
      <c r="AF39" s="517"/>
      <c r="AG39" s="517"/>
      <c r="AH39" s="517"/>
    </row>
    <row r="40" spans="1:34" ht="15" customHeight="1">
      <c r="A40" s="492"/>
      <c r="B40" s="492"/>
      <c r="C40" s="736" t="s">
        <v>133</v>
      </c>
      <c r="D40" s="809" t="s">
        <v>134</v>
      </c>
      <c r="E40" s="809"/>
      <c r="F40" s="460" t="s">
        <v>135</v>
      </c>
      <c r="G40" s="460" t="s">
        <v>1101</v>
      </c>
      <c r="H40" s="460" t="s">
        <v>655</v>
      </c>
      <c r="I40" s="460" t="s">
        <v>1094</v>
      </c>
      <c r="J40" s="460" t="s">
        <v>1095</v>
      </c>
      <c r="K40" s="461" t="s">
        <v>1102</v>
      </c>
      <c r="L40" s="460" t="s">
        <v>1103</v>
      </c>
      <c r="M40" s="460" t="s">
        <v>1104</v>
      </c>
      <c r="N40" s="460" t="s">
        <v>1105</v>
      </c>
      <c r="O40" s="460" t="s">
        <v>16</v>
      </c>
      <c r="P40" s="460" t="s">
        <v>662</v>
      </c>
      <c r="Q40" s="507"/>
      <c r="R40" s="507"/>
      <c r="S40" s="507"/>
      <c r="T40" s="507"/>
      <c r="U40" s="507"/>
      <c r="V40" s="508"/>
      <c r="W40" s="508"/>
      <c r="X40" s="508"/>
      <c r="Y40" s="508"/>
      <c r="Z40" s="508"/>
      <c r="AA40" s="508"/>
      <c r="AB40" s="508"/>
      <c r="AC40" s="534"/>
      <c r="AD40" s="508"/>
      <c r="AE40" s="508"/>
      <c r="AF40" s="508"/>
      <c r="AG40" s="508"/>
      <c r="AH40" s="508"/>
    </row>
    <row r="41" spans="1:34" ht="12.75" customHeight="1">
      <c r="A41" s="492"/>
      <c r="B41" s="492"/>
      <c r="C41" s="462"/>
      <c r="D41" s="810"/>
      <c r="E41" s="810"/>
      <c r="F41" s="810"/>
      <c r="G41" s="456"/>
      <c r="H41" s="463"/>
      <c r="I41" s="463"/>
      <c r="J41" s="456"/>
      <c r="K41" s="456"/>
      <c r="L41" s="456"/>
      <c r="M41" s="456"/>
      <c r="N41" s="456"/>
      <c r="O41" s="456"/>
      <c r="P41" s="456"/>
      <c r="Q41" s="507"/>
      <c r="R41" s="507"/>
      <c r="S41" s="507"/>
      <c r="T41" s="507" t="str">
        <f>IF($B41&gt;0,$B41,"")</f>
        <v/>
      </c>
      <c r="U41" s="507"/>
      <c r="V41" s="508"/>
      <c r="W41" s="508"/>
      <c r="X41" s="508"/>
      <c r="Y41" s="508"/>
      <c r="Z41" s="508"/>
      <c r="AA41" s="508"/>
      <c r="AB41" s="508"/>
      <c r="AC41" s="524"/>
      <c r="AD41" s="508"/>
      <c r="AE41" s="517"/>
      <c r="AF41" s="508"/>
      <c r="AG41" s="508"/>
      <c r="AH41" s="508"/>
    </row>
    <row r="42" spans="1:34" s="518" customFormat="1" ht="12" customHeight="1">
      <c r="A42" s="515"/>
      <c r="B42" s="515"/>
      <c r="C42" s="464" t="str">
        <f>L28</f>
        <v>woonkamer / eetkamer</v>
      </c>
      <c r="D42" s="811" t="s">
        <v>1150</v>
      </c>
      <c r="E42" s="811"/>
      <c r="F42" s="657">
        <v>1</v>
      </c>
      <c r="G42" s="465">
        <v>2.4900000000000002</v>
      </c>
      <c r="H42" s="466">
        <v>90</v>
      </c>
      <c r="I42" s="466">
        <v>20</v>
      </c>
      <c r="J42" s="466">
        <v>25</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9">
        <f>ROUND(F42*G42*L42*M42,2)</f>
        <v>1.92</v>
      </c>
      <c r="O42" s="470"/>
      <c r="P42" s="404"/>
      <c r="Q42" s="525" t="str">
        <f t="shared" ref="Q42:Q46" si="11">IF(G42=0,"verbergen","")</f>
        <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49"/>
      <c r="B43" s="515"/>
      <c r="C43" s="464" t="str">
        <f>L28</f>
        <v>woonkamer / eetkamer</v>
      </c>
      <c r="D43" s="811" t="s">
        <v>1151</v>
      </c>
      <c r="E43" s="811"/>
      <c r="F43" s="657">
        <v>2</v>
      </c>
      <c r="G43" s="465">
        <v>0.89</v>
      </c>
      <c r="H43" s="466">
        <v>90</v>
      </c>
      <c r="I43" s="466">
        <v>31</v>
      </c>
      <c r="J43" s="466">
        <v>30</v>
      </c>
      <c r="K43" s="467" t="s">
        <v>737</v>
      </c>
      <c r="L43" s="467">
        <v>1</v>
      </c>
      <c r="M43" s="468">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0.67</v>
      </c>
      <c r="N43" s="469">
        <f>ROUND(F43*G43*L43*M43,2)</f>
        <v>1.19</v>
      </c>
      <c r="O43" s="470"/>
      <c r="P43" s="471"/>
      <c r="Q43" s="525" t="str">
        <f t="shared" si="11"/>
        <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20"/>
      <c r="B44" s="515"/>
      <c r="C44" s="464" t="str">
        <f>L28</f>
        <v>woonkamer / eetkamer</v>
      </c>
      <c r="D44" s="811" t="s">
        <v>1152</v>
      </c>
      <c r="E44" s="811"/>
      <c r="F44" s="657">
        <v>2</v>
      </c>
      <c r="G44" s="465">
        <v>0.89</v>
      </c>
      <c r="H44" s="466">
        <v>90</v>
      </c>
      <c r="I44" s="466">
        <v>31</v>
      </c>
      <c r="J44" s="466">
        <v>30</v>
      </c>
      <c r="K44" s="467" t="s">
        <v>737</v>
      </c>
      <c r="L44" s="467">
        <v>1</v>
      </c>
      <c r="M44" s="468">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0.67</v>
      </c>
      <c r="N44" s="469">
        <f>ROUND(F44*G44*L44*M44,2)</f>
        <v>1.19</v>
      </c>
      <c r="O44" s="470"/>
      <c r="P44" s="471"/>
      <c r="Q44" s="525" t="str">
        <f t="shared" si="11"/>
        <v/>
      </c>
      <c r="R44" s="516"/>
      <c r="S44" s="516"/>
      <c r="T44" s="507"/>
      <c r="U44" s="507">
        <v>1</v>
      </c>
      <c r="V44" s="508"/>
      <c r="W44" s="508"/>
      <c r="X44" s="508"/>
      <c r="Y44" s="508"/>
      <c r="Z44" s="508"/>
      <c r="AA44" s="508"/>
      <c r="AB44" s="508"/>
      <c r="AC44" s="524"/>
      <c r="AD44" s="517"/>
      <c r="AE44" s="517"/>
      <c r="AF44" s="517"/>
      <c r="AG44" s="517"/>
      <c r="AH44" s="517"/>
    </row>
    <row r="45" spans="1:34" s="518" customFormat="1" ht="12" hidden="1" customHeight="1">
      <c r="A45" s="520"/>
      <c r="B45" s="515"/>
      <c r="C45" s="464" t="s">
        <v>252</v>
      </c>
      <c r="D45" s="811" t="s">
        <v>251</v>
      </c>
      <c r="E45" s="811"/>
      <c r="F45" s="657">
        <v>1</v>
      </c>
      <c r="G45" s="465">
        <v>0</v>
      </c>
      <c r="H45" s="466">
        <v>90</v>
      </c>
      <c r="I45" s="466">
        <v>20</v>
      </c>
      <c r="J45" s="466">
        <v>0</v>
      </c>
      <c r="K45" s="467" t="s">
        <v>737</v>
      </c>
      <c r="L45" s="467">
        <v>1</v>
      </c>
      <c r="M45" s="468">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69">
        <f>ROUND(F45*G45*L45*M45,2)</f>
        <v>0</v>
      </c>
      <c r="O45" s="470"/>
      <c r="P45" s="471"/>
      <c r="Q45" s="525" t="str">
        <f t="shared" si="11"/>
        <v>verbergen</v>
      </c>
      <c r="R45" s="516"/>
      <c r="S45" s="516"/>
      <c r="T45" s="507"/>
      <c r="U45" s="507">
        <v>1</v>
      </c>
      <c r="V45" s="508"/>
      <c r="W45" s="508"/>
      <c r="X45" s="508"/>
      <c r="Y45" s="508"/>
      <c r="Z45" s="508"/>
      <c r="AA45" s="508"/>
      <c r="AB45" s="508"/>
      <c r="AC45" s="524"/>
      <c r="AD45" s="517"/>
      <c r="AE45" s="517"/>
      <c r="AF45" s="517"/>
      <c r="AG45" s="517"/>
      <c r="AH45" s="517"/>
    </row>
    <row r="46" spans="1:34" s="518" customFormat="1" ht="12" hidden="1" customHeight="1">
      <c r="A46" s="550"/>
      <c r="B46" s="551"/>
      <c r="C46" s="472" t="s">
        <v>252</v>
      </c>
      <c r="D46" s="812" t="s">
        <v>251</v>
      </c>
      <c r="E46" s="812"/>
      <c r="F46" s="727">
        <v>1</v>
      </c>
      <c r="G46" s="473">
        <v>0</v>
      </c>
      <c r="H46" s="474">
        <v>90</v>
      </c>
      <c r="I46" s="474">
        <v>20</v>
      </c>
      <c r="J46" s="474">
        <v>0</v>
      </c>
      <c r="K46" s="475" t="s">
        <v>737</v>
      </c>
      <c r="L46" s="475">
        <v>1</v>
      </c>
      <c r="M46" s="476">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77">
        <f>ROUND(F46*G46*L46*M46,2)</f>
        <v>0</v>
      </c>
      <c r="O46" s="478"/>
      <c r="P46" s="479"/>
      <c r="Q46" s="525" t="str">
        <f t="shared" si="11"/>
        <v>verbergen</v>
      </c>
      <c r="R46" s="516"/>
      <c r="S46" s="516"/>
      <c r="T46" s="507"/>
      <c r="U46" s="507">
        <v>1</v>
      </c>
      <c r="V46" s="508"/>
      <c r="W46" s="508"/>
      <c r="X46" s="508"/>
      <c r="Y46" s="508"/>
      <c r="Z46" s="508"/>
      <c r="AA46" s="508"/>
      <c r="AB46" s="508"/>
      <c r="AC46" s="524"/>
      <c r="AD46" s="517"/>
      <c r="AE46" s="517"/>
      <c r="AF46" s="517"/>
      <c r="AG46" s="517"/>
      <c r="AH46" s="517"/>
    </row>
    <row r="47" spans="1:34" s="518" customFormat="1" ht="12" customHeight="1">
      <c r="A47" s="552"/>
      <c r="B47" s="553">
        <v>1</v>
      </c>
      <c r="C47" s="480">
        <f>B47</f>
        <v>1</v>
      </c>
      <c r="D47" s="481">
        <f>IF(O47&gt;P47,P47*10,O47*10)</f>
        <v>28.450000000000003</v>
      </c>
      <c r="E47" s="813" t="str">
        <f>IF(O47&lt;P47,(P47*10)-(O47*10),"(voldoet)")</f>
        <v>(voldoet)</v>
      </c>
      <c r="F47" s="813"/>
      <c r="G47" s="813"/>
      <c r="H47" s="482"/>
      <c r="I47" s="482"/>
      <c r="J47" s="483"/>
      <c r="K47" s="484"/>
      <c r="L47" s="485"/>
      <c r="M47" s="485"/>
      <c r="N47" s="485"/>
      <c r="O47" s="486">
        <f>SUM(N42:N47)</f>
        <v>4.3</v>
      </c>
      <c r="P47" s="486">
        <f>SUMPRODUCT(($AD$1:$AD$28232)*($AC$1:$AC$28232=B47))*verzamelblad!$Y$7/100</f>
        <v>2.8450000000000002</v>
      </c>
      <c r="Q47" s="554"/>
      <c r="R47" s="554"/>
      <c r="S47" s="554"/>
      <c r="T47" s="554"/>
      <c r="U47" s="507">
        <v>1</v>
      </c>
      <c r="V47" s="508"/>
      <c r="W47" s="508"/>
      <c r="X47" s="508"/>
      <c r="Y47" s="555">
        <f>IF(E47="(voldoet)",0,IF(E47="(voldoet niet)",D47,E47))</f>
        <v>0</v>
      </c>
      <c r="Z47" s="508"/>
      <c r="AA47" s="508"/>
      <c r="AB47" s="508"/>
      <c r="AC47" s="517"/>
      <c r="AD47" s="517"/>
      <c r="AE47" s="508"/>
      <c r="AF47" s="517"/>
      <c r="AG47" s="517"/>
      <c r="AH47" s="517"/>
    </row>
    <row r="48" spans="1:34" ht="12" customHeight="1">
      <c r="A48" s="492"/>
      <c r="B48" s="492"/>
      <c r="C48" s="487"/>
      <c r="D48" s="487"/>
      <c r="E48" s="487"/>
      <c r="F48" s="463"/>
      <c r="G48" s="463"/>
      <c r="H48" s="456"/>
      <c r="I48" s="456"/>
      <c r="J48" s="456"/>
      <c r="K48" s="456"/>
      <c r="L48" s="456"/>
      <c r="M48" s="456"/>
      <c r="N48" s="456"/>
      <c r="O48" s="488"/>
      <c r="P48" s="489"/>
      <c r="Q48" s="507"/>
      <c r="R48" s="507"/>
      <c r="S48" s="507"/>
      <c r="T48" s="507"/>
      <c r="U48" s="507">
        <v>1</v>
      </c>
      <c r="V48" s="508"/>
      <c r="W48" s="508"/>
      <c r="X48" s="508"/>
      <c r="Y48" s="508"/>
      <c r="Z48" s="508"/>
      <c r="AA48" s="508"/>
      <c r="AB48" s="508"/>
      <c r="AC48" s="524"/>
      <c r="AD48" s="508"/>
      <c r="AE48" s="508"/>
      <c r="AF48" s="508"/>
      <c r="AG48" s="508"/>
      <c r="AH48" s="508"/>
    </row>
    <row r="49" spans="1:34" s="541" customFormat="1" ht="12" customHeight="1">
      <c r="A49" s="543"/>
      <c r="B49" s="543"/>
      <c r="C49" s="464" t="str">
        <f>L29</f>
        <v>keuken</v>
      </c>
      <c r="D49" s="811" t="s">
        <v>1153</v>
      </c>
      <c r="E49" s="811"/>
      <c r="F49" s="657">
        <v>1</v>
      </c>
      <c r="G49" s="465">
        <v>4.95</v>
      </c>
      <c r="H49" s="466">
        <v>90</v>
      </c>
      <c r="I49" s="466">
        <v>20</v>
      </c>
      <c r="J49" s="466">
        <v>66</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0.39</v>
      </c>
      <c r="N49" s="469">
        <f>ROUND(F49*G49*L49*M49,2)</f>
        <v>1.93</v>
      </c>
      <c r="O49" s="470"/>
      <c r="P49" s="404"/>
      <c r="Q49" s="729" t="str">
        <f>IF(G49=0,"verbergen","")</f>
        <v/>
      </c>
      <c r="R49" s="404"/>
      <c r="S49" s="404"/>
      <c r="T49" s="392"/>
      <c r="U49" s="547">
        <f>U48+1</f>
        <v>2</v>
      </c>
      <c r="V49" s="547"/>
      <c r="W49" s="547"/>
      <c r="X49" s="547"/>
      <c r="Y49" s="547"/>
      <c r="Z49" s="547"/>
      <c r="AA49" s="404"/>
      <c r="AB49" s="507"/>
      <c r="AC49" s="516"/>
      <c r="AD49" s="516"/>
      <c r="AE49" s="516"/>
      <c r="AF49" s="507"/>
      <c r="AG49" s="516"/>
      <c r="AH49" s="516"/>
    </row>
    <row r="50" spans="1:34" s="541" customFormat="1" ht="12" customHeight="1">
      <c r="A50" s="543"/>
      <c r="B50" s="543"/>
      <c r="C50" s="464" t="str">
        <f>L29</f>
        <v>keuken</v>
      </c>
      <c r="D50" s="811" t="s">
        <v>1154</v>
      </c>
      <c r="E50" s="811"/>
      <c r="F50" s="657">
        <v>1</v>
      </c>
      <c r="G50" s="465">
        <v>1.01</v>
      </c>
      <c r="H50" s="466">
        <v>90</v>
      </c>
      <c r="I50" s="466">
        <v>20</v>
      </c>
      <c r="J50" s="466">
        <v>39</v>
      </c>
      <c r="K50" s="467" t="s">
        <v>737</v>
      </c>
      <c r="L50" s="467">
        <v>1</v>
      </c>
      <c r="M50" s="468">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0.71</v>
      </c>
      <c r="N50" s="469">
        <f>ROUND(F50*G50*L50*M50,2)</f>
        <v>0.72</v>
      </c>
      <c r="O50" s="470"/>
      <c r="P50" s="471"/>
      <c r="Q50" s="729" t="str">
        <f>IF(G50=0,"verbergen","")</f>
        <v/>
      </c>
      <c r="R50" s="404"/>
      <c r="S50" s="404"/>
      <c r="T50" s="392"/>
      <c r="U50" s="547">
        <f t="shared" ref="U50:U55" si="12">U49</f>
        <v>2</v>
      </c>
      <c r="V50" s="547"/>
      <c r="W50" s="547"/>
      <c r="X50" s="547"/>
      <c r="Y50" s="547"/>
      <c r="Z50" s="547"/>
      <c r="AA50" s="404"/>
      <c r="AB50" s="507"/>
      <c r="AC50" s="516"/>
      <c r="AD50" s="516"/>
      <c r="AE50" s="516"/>
      <c r="AF50" s="507"/>
      <c r="AG50" s="516"/>
      <c r="AH50" s="516"/>
    </row>
    <row r="51" spans="1:34" s="541" customFormat="1" ht="12" customHeight="1">
      <c r="A51" s="543"/>
      <c r="B51" s="543"/>
      <c r="C51" s="464" t="str">
        <f>L30</f>
        <v>bijkeuken</v>
      </c>
      <c r="D51" s="811" t="s">
        <v>1152</v>
      </c>
      <c r="E51" s="811"/>
      <c r="F51" s="657">
        <v>2</v>
      </c>
      <c r="G51" s="465">
        <v>0.89</v>
      </c>
      <c r="H51" s="466">
        <v>90</v>
      </c>
      <c r="I51" s="466">
        <v>31</v>
      </c>
      <c r="J51" s="466">
        <v>30</v>
      </c>
      <c r="K51" s="467" t="s">
        <v>737</v>
      </c>
      <c r="L51" s="467">
        <v>1</v>
      </c>
      <c r="M51" s="468">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0.67</v>
      </c>
      <c r="N51" s="469">
        <f>ROUND(F51*G51*L51*M51,2)</f>
        <v>1.19</v>
      </c>
      <c r="O51" s="470"/>
      <c r="P51" s="471"/>
      <c r="Q51" s="729" t="str">
        <f>IF(G51=0,"verbergen","")</f>
        <v/>
      </c>
      <c r="R51" s="404"/>
      <c r="S51" s="404"/>
      <c r="T51" s="392"/>
      <c r="U51" s="547">
        <f t="shared" si="12"/>
        <v>2</v>
      </c>
      <c r="V51" s="547"/>
      <c r="W51" s="547"/>
      <c r="X51" s="547"/>
      <c r="Y51" s="547"/>
      <c r="Z51" s="547"/>
      <c r="AA51" s="404"/>
      <c r="AB51" s="507"/>
      <c r="AC51" s="516"/>
      <c r="AD51" s="516"/>
      <c r="AE51" s="516"/>
      <c r="AF51" s="507"/>
      <c r="AG51" s="516"/>
      <c r="AH51" s="516"/>
    </row>
    <row r="52" spans="1:34" s="541" customFormat="1" ht="12" hidden="1" customHeight="1">
      <c r="A52" s="543"/>
      <c r="B52" s="543"/>
      <c r="C52" s="464" t="s">
        <v>252</v>
      </c>
      <c r="D52" s="811" t="s">
        <v>251</v>
      </c>
      <c r="E52" s="811"/>
      <c r="F52" s="657">
        <v>1</v>
      </c>
      <c r="G52" s="465">
        <v>0</v>
      </c>
      <c r="H52" s="466">
        <v>90</v>
      </c>
      <c r="I52" s="466">
        <v>20</v>
      </c>
      <c r="J52" s="466">
        <v>0</v>
      </c>
      <c r="K52" s="467" t="s">
        <v>737</v>
      </c>
      <c r="L52" s="467">
        <v>1</v>
      </c>
      <c r="M52" s="468">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69">
        <f>ROUND(F52*G52*L52*M52,2)</f>
        <v>0</v>
      </c>
      <c r="O52" s="470"/>
      <c r="P52" s="471"/>
      <c r="Q52" s="729" t="str">
        <f>IF(G52=0,"verbergen","")</f>
        <v>verbergen</v>
      </c>
      <c r="R52" s="404"/>
      <c r="S52" s="404"/>
      <c r="T52" s="392"/>
      <c r="U52" s="547">
        <f t="shared" si="12"/>
        <v>2</v>
      </c>
      <c r="V52" s="547"/>
      <c r="W52" s="547"/>
      <c r="X52" s="547"/>
      <c r="Y52" s="547"/>
      <c r="Z52" s="547"/>
      <c r="AA52" s="404"/>
      <c r="AB52" s="507"/>
      <c r="AC52" s="516"/>
      <c r="AD52" s="516"/>
      <c r="AE52" s="516"/>
      <c r="AF52" s="507"/>
      <c r="AG52" s="516"/>
      <c r="AH52" s="516"/>
    </row>
    <row r="53" spans="1:34" s="541" customFormat="1" ht="12" hidden="1" customHeight="1">
      <c r="A53" s="543"/>
      <c r="B53" s="543"/>
      <c r="C53" s="464" t="s">
        <v>252</v>
      </c>
      <c r="D53" s="812" t="s">
        <v>251</v>
      </c>
      <c r="E53" s="812"/>
      <c r="F53" s="727">
        <v>1</v>
      </c>
      <c r="G53" s="473">
        <v>0</v>
      </c>
      <c r="H53" s="474">
        <v>90</v>
      </c>
      <c r="I53" s="474">
        <v>20</v>
      </c>
      <c r="J53" s="474">
        <v>0</v>
      </c>
      <c r="K53" s="475" t="s">
        <v>737</v>
      </c>
      <c r="L53" s="475">
        <v>1</v>
      </c>
      <c r="M53" s="476">
        <f>IF(H53&gt;80,(IF(J53&gt;75,0,IF(I53&gt;80,0,INDEX(verzamelblad!$A$81:$BK$158, MATCH((CEILING(IF(J53&gt;=75,75,J53),1)),verzamelblad!$A$81:$A$158,), MATCH((CEILING(IF(I53&lt;=20,20,IF(I53&gt;=80,80,I53)),1)),verzamelblad!$A$81:$BK$81,))))),IF(I53&gt;75,0,INDEX(verzamelblad!$A$164:$BM$245, MATCH((CEILING(IF(H53&gt;=80,80,H53),1)),verzamelblad!$A$164:$A$245,), MATCH((CEILING(IF(I53&lt;=1,1,IF(I53&gt;=75,75,I53)),1)),verzamelblad!$A$164:$BM$164,))))</f>
        <v>0.8</v>
      </c>
      <c r="N53" s="477">
        <f>ROUND(F53*G53*L53*M53,2)</f>
        <v>0</v>
      </c>
      <c r="O53" s="478"/>
      <c r="P53" s="479"/>
      <c r="Q53" s="729" t="str">
        <f>IF(G53=0,"verbergen","")</f>
        <v>verbergen</v>
      </c>
      <c r="R53" s="404"/>
      <c r="S53" s="404"/>
      <c r="T53" s="392"/>
      <c r="U53" s="547">
        <f t="shared" si="12"/>
        <v>2</v>
      </c>
      <c r="V53" s="547"/>
      <c r="W53" s="547"/>
      <c r="X53" s="547"/>
      <c r="Y53" s="547"/>
      <c r="Z53" s="547"/>
      <c r="AA53" s="404"/>
      <c r="AB53" s="507"/>
      <c r="AC53" s="516"/>
      <c r="AD53" s="516"/>
      <c r="AE53" s="516"/>
      <c r="AF53" s="507"/>
      <c r="AG53" s="516"/>
      <c r="AH53" s="516"/>
    </row>
    <row r="54" spans="1:34" s="404" customFormat="1" ht="12" customHeight="1">
      <c r="A54" s="542"/>
      <c r="B54" s="556">
        <f>B47+1</f>
        <v>2</v>
      </c>
      <c r="C54" s="480">
        <f>B54</f>
        <v>2</v>
      </c>
      <c r="D54" s="481">
        <f>IF(O54&gt;P54,P54*10,O54*10)</f>
        <v>22.400000000000002</v>
      </c>
      <c r="E54" s="813" t="str">
        <f>IF(O54&lt;P54,(P54*10)-(O54*10),"(voldoet)")</f>
        <v>(voldoet)</v>
      </c>
      <c r="F54" s="813"/>
      <c r="G54" s="813"/>
      <c r="H54" s="482"/>
      <c r="I54" s="482"/>
      <c r="J54" s="483"/>
      <c r="K54" s="484"/>
      <c r="L54" s="485"/>
      <c r="M54" s="485"/>
      <c r="N54" s="485"/>
      <c r="O54" s="486">
        <f>SUM(N49:N54)</f>
        <v>3.84</v>
      </c>
      <c r="P54" s="486">
        <f>SUMPRODUCT(($AD$1:$AD$28222)*($AC$1:$AC$28222=B54))*verzamelblad!$Y$7/100</f>
        <v>2.2400000000000002</v>
      </c>
      <c r="Q54" s="557"/>
      <c r="R54" s="557"/>
      <c r="S54" s="557"/>
      <c r="T54" s="558"/>
      <c r="U54" s="547">
        <f t="shared" si="12"/>
        <v>2</v>
      </c>
      <c r="V54" s="547"/>
      <c r="W54" s="547"/>
      <c r="X54" s="547"/>
      <c r="Y54" s="559">
        <f>IF(E54="(voldoet)",0,IF(E54="(voldoet niet)",D54,E54))</f>
        <v>0</v>
      </c>
      <c r="Z54" s="547"/>
      <c r="AB54" s="547"/>
      <c r="AC54" s="392"/>
      <c r="AD54" s="392"/>
      <c r="AE54" s="392"/>
      <c r="AF54" s="547"/>
      <c r="AG54" s="392"/>
      <c r="AH54" s="392"/>
    </row>
    <row r="55" spans="1:34" s="493" customFormat="1" ht="12" customHeight="1">
      <c r="A55" s="560"/>
      <c r="B55" s="560"/>
      <c r="C55" s="487"/>
      <c r="D55" s="487"/>
      <c r="E55" s="487"/>
      <c r="F55" s="463"/>
      <c r="G55" s="463"/>
      <c r="H55" s="456"/>
      <c r="I55" s="456"/>
      <c r="J55" s="456"/>
      <c r="K55" s="456"/>
      <c r="L55" s="456"/>
      <c r="M55" s="456"/>
      <c r="N55" s="456"/>
      <c r="O55" s="488"/>
      <c r="P55" s="489"/>
      <c r="Q55" s="451"/>
      <c r="R55" s="451"/>
      <c r="S55" s="451"/>
      <c r="T55" s="561"/>
      <c r="U55" s="547">
        <f t="shared" si="12"/>
        <v>2</v>
      </c>
      <c r="V55" s="547"/>
      <c r="W55" s="547"/>
      <c r="X55" s="547"/>
      <c r="Y55" s="547"/>
      <c r="Z55" s="547"/>
      <c r="AA55" s="451"/>
      <c r="AB55" s="507"/>
      <c r="AC55" s="507"/>
      <c r="AD55" s="507"/>
      <c r="AE55" s="507"/>
      <c r="AF55" s="507"/>
      <c r="AG55" s="507"/>
      <c r="AH55" s="507"/>
    </row>
    <row r="56" spans="1:34" s="541" customFormat="1" ht="12" customHeight="1">
      <c r="A56" s="543"/>
      <c r="B56" s="543"/>
      <c r="C56" s="464" t="str">
        <f>L31</f>
        <v>slaapkamer 1</v>
      </c>
      <c r="D56" s="811" t="s">
        <v>1155</v>
      </c>
      <c r="E56" s="811"/>
      <c r="F56" s="657">
        <v>1</v>
      </c>
      <c r="G56" s="465">
        <v>1.39</v>
      </c>
      <c r="H56" s="466">
        <v>90</v>
      </c>
      <c r="I56" s="466">
        <v>20</v>
      </c>
      <c r="J56" s="466">
        <v>33</v>
      </c>
      <c r="K56" s="467" t="s">
        <v>737</v>
      </c>
      <c r="L56" s="467">
        <v>1</v>
      </c>
      <c r="M56" s="468">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0.74</v>
      </c>
      <c r="N56" s="469">
        <f>ROUND(F56*G56*L56*M56,2)</f>
        <v>1.03</v>
      </c>
      <c r="O56" s="470"/>
      <c r="P56" s="404"/>
      <c r="Q56" s="729" t="str">
        <f>IF(G56=0,"verbergen","")</f>
        <v/>
      </c>
      <c r="R56" s="404"/>
      <c r="S56" s="404"/>
      <c r="T56" s="392"/>
      <c r="U56" s="547">
        <f>U55+1</f>
        <v>3</v>
      </c>
      <c r="V56" s="547"/>
      <c r="W56" s="547"/>
      <c r="X56" s="547"/>
      <c r="Y56" s="547"/>
      <c r="Z56" s="547"/>
      <c r="AA56" s="404"/>
      <c r="AB56" s="507"/>
      <c r="AC56" s="516"/>
      <c r="AD56" s="516"/>
      <c r="AE56" s="516"/>
      <c r="AF56" s="507"/>
      <c r="AG56" s="516"/>
      <c r="AH56" s="516"/>
    </row>
    <row r="57" spans="1:34" s="541" customFormat="1" ht="12" customHeight="1">
      <c r="A57" s="543"/>
      <c r="B57" s="543"/>
      <c r="C57" s="464" t="str">
        <f>L32</f>
        <v>slaapkamer 2</v>
      </c>
      <c r="D57" s="811" t="s">
        <v>1156</v>
      </c>
      <c r="E57" s="811"/>
      <c r="F57" s="657">
        <v>1</v>
      </c>
      <c r="G57" s="465">
        <v>1.36</v>
      </c>
      <c r="H57" s="466">
        <v>90</v>
      </c>
      <c r="I57" s="466">
        <v>20</v>
      </c>
      <c r="J57" s="466">
        <v>33</v>
      </c>
      <c r="K57" s="467" t="s">
        <v>737</v>
      </c>
      <c r="L57" s="467">
        <v>1</v>
      </c>
      <c r="M57" s="468">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0.74</v>
      </c>
      <c r="N57" s="469">
        <f>ROUND(F57*G57*L57*M57,2)</f>
        <v>1.01</v>
      </c>
      <c r="O57" s="470"/>
      <c r="P57" s="471"/>
      <c r="Q57" s="729" t="str">
        <f>IF(G57=0,"verbergen","")</f>
        <v/>
      </c>
      <c r="R57" s="404"/>
      <c r="S57" s="404"/>
      <c r="T57" s="392"/>
      <c r="U57" s="547">
        <f t="shared" ref="U57:U62" si="13">U56</f>
        <v>3</v>
      </c>
      <c r="V57" s="547"/>
      <c r="W57" s="547"/>
      <c r="X57" s="547"/>
      <c r="Y57" s="547"/>
      <c r="Z57" s="547"/>
      <c r="AA57" s="404"/>
      <c r="AB57" s="507"/>
      <c r="AC57" s="516"/>
      <c r="AD57" s="516"/>
      <c r="AE57" s="516"/>
      <c r="AF57" s="507"/>
      <c r="AG57" s="516"/>
      <c r="AH57" s="516"/>
    </row>
    <row r="58" spans="1:34" s="541" customFormat="1" ht="12" customHeight="1">
      <c r="A58" s="543"/>
      <c r="B58" s="543"/>
      <c r="C58" s="464" t="str">
        <f>L33</f>
        <v>studeerkamer</v>
      </c>
      <c r="D58" s="811" t="s">
        <v>1157</v>
      </c>
      <c r="E58" s="811"/>
      <c r="F58" s="657">
        <v>1</v>
      </c>
      <c r="G58" s="465">
        <v>1.59</v>
      </c>
      <c r="H58" s="466">
        <v>90</v>
      </c>
      <c r="I58" s="466">
        <v>20</v>
      </c>
      <c r="J58" s="466">
        <v>39</v>
      </c>
      <c r="K58" s="467" t="s">
        <v>737</v>
      </c>
      <c r="L58" s="467">
        <v>1</v>
      </c>
      <c r="M58" s="468">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0.71</v>
      </c>
      <c r="N58" s="469">
        <f>ROUND(F58*G58*L58*M58,2)</f>
        <v>1.1299999999999999</v>
      </c>
      <c r="O58" s="470"/>
      <c r="P58" s="471"/>
      <c r="Q58" s="729" t="str">
        <f>IF(G58=0,"verbergen","")</f>
        <v/>
      </c>
      <c r="R58" s="404"/>
      <c r="S58" s="404"/>
      <c r="T58" s="392"/>
      <c r="U58" s="547">
        <f t="shared" si="13"/>
        <v>3</v>
      </c>
      <c r="V58" s="547"/>
      <c r="W58" s="547"/>
      <c r="X58" s="547"/>
      <c r="Y58" s="547"/>
      <c r="Z58" s="547"/>
      <c r="AA58" s="404"/>
      <c r="AB58" s="507"/>
      <c r="AC58" s="516"/>
      <c r="AD58" s="516"/>
      <c r="AE58" s="516"/>
      <c r="AF58" s="507"/>
      <c r="AG58" s="516"/>
      <c r="AH58" s="516"/>
    </row>
    <row r="59" spans="1:34" s="541" customFormat="1" ht="12" hidden="1" customHeight="1">
      <c r="A59" s="543"/>
      <c r="B59" s="543"/>
      <c r="C59" s="464" t="s">
        <v>252</v>
      </c>
      <c r="D59" s="811" t="s">
        <v>251</v>
      </c>
      <c r="E59" s="811"/>
      <c r="F59" s="657">
        <v>1</v>
      </c>
      <c r="G59" s="465">
        <v>0</v>
      </c>
      <c r="H59" s="466">
        <v>90</v>
      </c>
      <c r="I59" s="466">
        <v>20</v>
      </c>
      <c r="J59" s="466">
        <v>0</v>
      </c>
      <c r="K59" s="467" t="s">
        <v>737</v>
      </c>
      <c r="L59" s="467">
        <v>1</v>
      </c>
      <c r="M59" s="468">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0.8</v>
      </c>
      <c r="N59" s="469">
        <f>ROUND(F59*G59*L59*M59,2)</f>
        <v>0</v>
      </c>
      <c r="O59" s="470"/>
      <c r="P59" s="471"/>
      <c r="Q59" s="729" t="str">
        <f>IF(G59=0,"verbergen","")</f>
        <v>verbergen</v>
      </c>
      <c r="R59" s="404"/>
      <c r="S59" s="404"/>
      <c r="T59" s="392"/>
      <c r="U59" s="547">
        <f t="shared" si="13"/>
        <v>3</v>
      </c>
      <c r="V59" s="547"/>
      <c r="W59" s="547"/>
      <c r="X59" s="547"/>
      <c r="Y59" s="547"/>
      <c r="Z59" s="547"/>
      <c r="AA59" s="404"/>
      <c r="AB59" s="507"/>
      <c r="AC59" s="516"/>
      <c r="AD59" s="516"/>
      <c r="AE59" s="516"/>
      <c r="AF59" s="507"/>
      <c r="AG59" s="516"/>
      <c r="AH59" s="516"/>
    </row>
    <row r="60" spans="1:34" s="541" customFormat="1" ht="12" hidden="1" customHeight="1">
      <c r="A60" s="543"/>
      <c r="B60" s="543"/>
      <c r="C60" s="472" t="s">
        <v>252</v>
      </c>
      <c r="D60" s="812" t="s">
        <v>251</v>
      </c>
      <c r="E60" s="812"/>
      <c r="F60" s="727">
        <v>1</v>
      </c>
      <c r="G60" s="473">
        <v>0</v>
      </c>
      <c r="H60" s="474">
        <v>90</v>
      </c>
      <c r="I60" s="474">
        <v>20</v>
      </c>
      <c r="J60" s="474">
        <v>0</v>
      </c>
      <c r="K60" s="475" t="s">
        <v>737</v>
      </c>
      <c r="L60" s="475">
        <v>1</v>
      </c>
      <c r="M60" s="476">
        <f>IF(H60&gt;80,(IF(J60&gt;75,0,IF(I60&gt;80,0,INDEX(verzamelblad!$A$81:$BK$158, MATCH((CEILING(IF(J60&gt;=75,75,J60),1)),verzamelblad!$A$81:$A$158,), MATCH((CEILING(IF(I60&lt;=20,20,IF(I60&gt;=80,80,I60)),1)),verzamelblad!$A$81:$BK$81,))))),IF(I60&gt;75,0,INDEX(verzamelblad!$A$164:$BM$245, MATCH((CEILING(IF(H60&gt;=80,80,H60),1)),verzamelblad!$A$164:$A$245,), MATCH((CEILING(IF(I60&lt;=1,1,IF(I60&gt;=75,75,I60)),1)),verzamelblad!$A$164:$BM$164,))))</f>
        <v>0.8</v>
      </c>
      <c r="N60" s="477">
        <f>ROUND(F60*G60*L60*M60,2)</f>
        <v>0</v>
      </c>
      <c r="O60" s="478"/>
      <c r="P60" s="479"/>
      <c r="Q60" s="729" t="str">
        <f>IF(G60=0,"verbergen","")</f>
        <v>verbergen</v>
      </c>
      <c r="R60" s="404"/>
      <c r="S60" s="404"/>
      <c r="T60" s="392"/>
      <c r="U60" s="547">
        <f t="shared" si="13"/>
        <v>3</v>
      </c>
      <c r="V60" s="547"/>
      <c r="W60" s="547"/>
      <c r="X60" s="547"/>
      <c r="Y60" s="547"/>
      <c r="Z60" s="547"/>
      <c r="AA60" s="404"/>
      <c r="AB60" s="507"/>
      <c r="AC60" s="516"/>
      <c r="AD60" s="516"/>
      <c r="AE60" s="516"/>
      <c r="AF60" s="507"/>
      <c r="AG60" s="516"/>
      <c r="AH60" s="516"/>
    </row>
    <row r="61" spans="1:34" s="404" customFormat="1" ht="12" customHeight="1">
      <c r="A61" s="542"/>
      <c r="B61" s="556">
        <f>B54+1</f>
        <v>3</v>
      </c>
      <c r="C61" s="480">
        <f>B61</f>
        <v>3</v>
      </c>
      <c r="D61" s="481">
        <f>IF(O61&gt;P61,P61*10,O61*10)</f>
        <v>18.899999999999999</v>
      </c>
      <c r="E61" s="813" t="str">
        <f>IF(O61&lt;P61,(P61*10)-(O61*10),"(voldoet)")</f>
        <v>(voldoet)</v>
      </c>
      <c r="F61" s="813"/>
      <c r="G61" s="813"/>
      <c r="H61" s="482"/>
      <c r="I61" s="482"/>
      <c r="J61" s="483"/>
      <c r="K61" s="484"/>
      <c r="L61" s="485"/>
      <c r="M61" s="485"/>
      <c r="N61" s="485"/>
      <c r="O61" s="486">
        <f>SUM(N56:N61)</f>
        <v>3.17</v>
      </c>
      <c r="P61" s="486">
        <f>SUMPRODUCT(($AD$1:$AD$28206)*($AC$1:$AC$28206=B61))*verzamelblad!$Y$7/100</f>
        <v>1.89</v>
      </c>
      <c r="Q61" s="557"/>
      <c r="R61" s="557"/>
      <c r="S61" s="557"/>
      <c r="T61" s="558"/>
      <c r="U61" s="547">
        <f t="shared" si="13"/>
        <v>3</v>
      </c>
      <c r="V61" s="547"/>
      <c r="W61" s="547"/>
      <c r="X61" s="547"/>
      <c r="Y61" s="559">
        <f>IF(E61="(voldoet)",0,IF(E61="(voldoet niet)",D61,E61))</f>
        <v>0</v>
      </c>
      <c r="Z61" s="547"/>
      <c r="AB61" s="547"/>
      <c r="AC61" s="392"/>
      <c r="AD61" s="392"/>
      <c r="AE61" s="392"/>
      <c r="AF61" s="547"/>
      <c r="AG61" s="392"/>
      <c r="AH61" s="392"/>
    </row>
    <row r="62" spans="1:34" s="493" customFormat="1" ht="12" customHeight="1">
      <c r="A62" s="560"/>
      <c r="B62" s="560"/>
      <c r="C62" s="487"/>
      <c r="D62" s="487"/>
      <c r="E62" s="487"/>
      <c r="F62" s="463"/>
      <c r="G62" s="463"/>
      <c r="H62" s="456"/>
      <c r="I62" s="456"/>
      <c r="J62" s="456"/>
      <c r="K62" s="456"/>
      <c r="L62" s="456"/>
      <c r="M62" s="456"/>
      <c r="N62" s="456"/>
      <c r="O62" s="488"/>
      <c r="P62" s="489"/>
      <c r="Q62" s="451"/>
      <c r="R62" s="451"/>
      <c r="S62" s="451"/>
      <c r="T62" s="561"/>
      <c r="U62" s="547">
        <f t="shared" si="13"/>
        <v>3</v>
      </c>
      <c r="V62" s="547"/>
      <c r="W62" s="547"/>
      <c r="X62" s="547"/>
      <c r="Y62" s="547"/>
      <c r="Z62" s="547"/>
      <c r="AA62" s="451"/>
      <c r="AB62" s="507"/>
      <c r="AC62" s="507"/>
      <c r="AD62" s="507"/>
      <c r="AE62" s="507"/>
      <c r="AF62" s="507"/>
      <c r="AG62" s="507"/>
      <c r="AH62" s="507"/>
    </row>
    <row r="63" spans="1:34" s="541" customFormat="1" ht="12" customHeight="1">
      <c r="A63" s="543"/>
      <c r="B63" s="543"/>
      <c r="C63" s="464" t="str">
        <f>L34</f>
        <v>slaapkamer 3</v>
      </c>
      <c r="D63" s="811" t="s">
        <v>1155</v>
      </c>
      <c r="E63" s="811"/>
      <c r="F63" s="657">
        <v>1</v>
      </c>
      <c r="G63" s="465">
        <v>1</v>
      </c>
      <c r="H63" s="466">
        <v>90</v>
      </c>
      <c r="I63" s="466">
        <v>45</v>
      </c>
      <c r="J63" s="466">
        <v>33</v>
      </c>
      <c r="K63" s="467" t="s">
        <v>737</v>
      </c>
      <c r="L63" s="467">
        <v>1</v>
      </c>
      <c r="M63" s="468">
        <f>IF(H63&gt;80,(IF(J63&gt;75,0,IF(I63&gt;80,0,INDEX(verzamelblad!$A$81:$BK$158, MATCH((CEILING(IF(J63&gt;=75,75,J63),1)),verzamelblad!$A$81:$A$158,), MATCH((CEILING(IF(I63&lt;=20,20,IF(I63&gt;=80,80,I63)),1)),verzamelblad!$A$81:$BK$81,))))),IF(I63&gt;75,0,INDEX(verzamelblad!$A$164:$BM$245, MATCH((CEILING(IF(H63&gt;=80,80,H63),1)),verzamelblad!$A$164:$A$245,), MATCH((CEILING(IF(I63&lt;=1,1,IF(I63&gt;=75,75,I63)),1)),verzamelblad!$A$164:$BM$164,))))</f>
        <v>0.53</v>
      </c>
      <c r="N63" s="469">
        <f>ROUND(F63*G63*L63*M63,2)</f>
        <v>0.53</v>
      </c>
      <c r="O63" s="470"/>
      <c r="P63" s="404"/>
      <c r="Q63" s="729" t="str">
        <f>IF(G63=0,"verbergen","")</f>
        <v/>
      </c>
      <c r="R63" s="404"/>
      <c r="S63" s="404"/>
      <c r="T63" s="392"/>
      <c r="U63" s="547">
        <f>U62+1</f>
        <v>4</v>
      </c>
      <c r="V63" s="547"/>
      <c r="W63" s="547"/>
      <c r="X63" s="547"/>
      <c r="Y63" s="547"/>
      <c r="Z63" s="547"/>
      <c r="AA63" s="404"/>
      <c r="AB63" s="507"/>
      <c r="AC63" s="516"/>
      <c r="AD63" s="516"/>
      <c r="AE63" s="516"/>
      <c r="AF63" s="507"/>
      <c r="AG63" s="516"/>
      <c r="AH63" s="516"/>
    </row>
    <row r="64" spans="1:34" s="541" customFormat="1" ht="12" hidden="1" customHeight="1">
      <c r="A64" s="543"/>
      <c r="B64" s="543"/>
      <c r="C64" s="464" t="s">
        <v>252</v>
      </c>
      <c r="D64" s="811" t="s">
        <v>251</v>
      </c>
      <c r="E64" s="811"/>
      <c r="F64" s="657">
        <v>1</v>
      </c>
      <c r="G64" s="465">
        <v>0</v>
      </c>
      <c r="H64" s="466">
        <v>90</v>
      </c>
      <c r="I64" s="466">
        <v>20</v>
      </c>
      <c r="J64" s="466">
        <v>0</v>
      </c>
      <c r="K64" s="467" t="s">
        <v>737</v>
      </c>
      <c r="L64" s="467">
        <v>1</v>
      </c>
      <c r="M64" s="468">
        <f>IF(H64&gt;80,(IF(J64&gt;75,0,IF(I64&gt;80,0,INDEX(verzamelblad!$A$81:$BK$158, MATCH((CEILING(IF(J64&gt;=75,75,J64),1)),verzamelblad!$A$81:$A$158,), MATCH((CEILING(IF(I64&lt;=20,20,IF(I64&gt;=80,80,I64)),1)),verzamelblad!$A$81:$BK$81,))))),IF(I64&gt;75,0,INDEX(verzamelblad!$A$164:$BM$245, MATCH((CEILING(IF(H64&gt;=80,80,H64),1)),verzamelblad!$A$164:$A$245,), MATCH((CEILING(IF(I64&lt;=1,1,IF(I64&gt;=75,75,I64)),1)),verzamelblad!$A$164:$BM$164,))))</f>
        <v>0.8</v>
      </c>
      <c r="N64" s="469">
        <f>ROUND(F64*G64*L64*M64,2)</f>
        <v>0</v>
      </c>
      <c r="O64" s="470"/>
      <c r="P64" s="471"/>
      <c r="Q64" s="729" t="str">
        <f>IF(G64=0,"verbergen","")</f>
        <v>verbergen</v>
      </c>
      <c r="R64" s="404"/>
      <c r="S64" s="404"/>
      <c r="T64" s="392"/>
      <c r="U64" s="547">
        <f t="shared" ref="U64:U69" si="14">U63</f>
        <v>4</v>
      </c>
      <c r="V64" s="547"/>
      <c r="W64" s="547"/>
      <c r="X64" s="547"/>
      <c r="Y64" s="547"/>
      <c r="Z64" s="547"/>
      <c r="AA64" s="404"/>
      <c r="AB64" s="507"/>
      <c r="AC64" s="516"/>
      <c r="AD64" s="516"/>
      <c r="AE64" s="516"/>
      <c r="AF64" s="507"/>
      <c r="AG64" s="516"/>
      <c r="AH64" s="516"/>
    </row>
    <row r="65" spans="1:43" s="541" customFormat="1" ht="12" hidden="1" customHeight="1">
      <c r="A65" s="543"/>
      <c r="B65" s="543"/>
      <c r="C65" s="464" t="s">
        <v>252</v>
      </c>
      <c r="D65" s="811" t="s">
        <v>251</v>
      </c>
      <c r="E65" s="811"/>
      <c r="F65" s="657">
        <v>1</v>
      </c>
      <c r="G65" s="465">
        <v>0</v>
      </c>
      <c r="H65" s="466">
        <v>90</v>
      </c>
      <c r="I65" s="466">
        <v>20</v>
      </c>
      <c r="J65" s="466">
        <v>0</v>
      </c>
      <c r="K65" s="467" t="s">
        <v>737</v>
      </c>
      <c r="L65" s="467">
        <v>1</v>
      </c>
      <c r="M65" s="468">
        <f>IF(H65&gt;80,(IF(J65&gt;75,0,IF(I65&gt;80,0,INDEX(verzamelblad!$A$81:$BK$158, MATCH((CEILING(IF(J65&gt;=75,75,J65),1)),verzamelblad!$A$81:$A$158,), MATCH((CEILING(IF(I65&lt;=20,20,IF(I65&gt;=80,80,I65)),1)),verzamelblad!$A$81:$BK$81,))))),IF(I65&gt;75,0,INDEX(verzamelblad!$A$164:$BM$245, MATCH((CEILING(IF(H65&gt;=80,80,H65),1)),verzamelblad!$A$164:$A$245,), MATCH((CEILING(IF(I65&lt;=1,1,IF(I65&gt;=75,75,I65)),1)),verzamelblad!$A$164:$BM$164,))))</f>
        <v>0.8</v>
      </c>
      <c r="N65" s="469">
        <f>ROUND(F65*G65*L65*M65,2)</f>
        <v>0</v>
      </c>
      <c r="O65" s="470"/>
      <c r="P65" s="471"/>
      <c r="Q65" s="729" t="str">
        <f>IF(G65=0,"verbergen","")</f>
        <v>verbergen</v>
      </c>
      <c r="R65" s="404"/>
      <c r="S65" s="404"/>
      <c r="T65" s="392"/>
      <c r="U65" s="547">
        <f t="shared" si="14"/>
        <v>4</v>
      </c>
      <c r="V65" s="547"/>
      <c r="W65" s="547"/>
      <c r="X65" s="547"/>
      <c r="Y65" s="547"/>
      <c r="Z65" s="547"/>
      <c r="AA65" s="404"/>
      <c r="AB65" s="507"/>
      <c r="AC65" s="516"/>
      <c r="AD65" s="516"/>
      <c r="AE65" s="516"/>
      <c r="AF65" s="507"/>
      <c r="AG65" s="516"/>
      <c r="AH65" s="516"/>
    </row>
    <row r="66" spans="1:43" s="541" customFormat="1" ht="12" hidden="1" customHeight="1">
      <c r="A66" s="543"/>
      <c r="B66" s="543"/>
      <c r="C66" s="464" t="s">
        <v>252</v>
      </c>
      <c r="D66" s="811" t="s">
        <v>251</v>
      </c>
      <c r="E66" s="811"/>
      <c r="F66" s="657">
        <v>1</v>
      </c>
      <c r="G66" s="465">
        <v>0</v>
      </c>
      <c r="H66" s="466">
        <v>90</v>
      </c>
      <c r="I66" s="466">
        <v>20</v>
      </c>
      <c r="J66" s="466">
        <v>0</v>
      </c>
      <c r="K66" s="467" t="s">
        <v>737</v>
      </c>
      <c r="L66" s="467">
        <v>1</v>
      </c>
      <c r="M66" s="468">
        <f>IF(H66&gt;80,(IF(J66&gt;75,0,IF(I66&gt;80,0,INDEX(verzamelblad!$A$81:$BK$158, MATCH((CEILING(IF(J66&gt;=75,75,J66),1)),verzamelblad!$A$81:$A$158,), MATCH((CEILING(IF(I66&lt;=20,20,IF(I66&gt;=80,80,I66)),1)),verzamelblad!$A$81:$BK$81,))))),IF(I66&gt;75,0,INDEX(verzamelblad!$A$164:$BM$245, MATCH((CEILING(IF(H66&gt;=80,80,H66),1)),verzamelblad!$A$164:$A$245,), MATCH((CEILING(IF(I66&lt;=1,1,IF(I66&gt;=75,75,I66)),1)),verzamelblad!$A$164:$BM$164,))))</f>
        <v>0.8</v>
      </c>
      <c r="N66" s="469">
        <f>ROUND(F66*G66*L66*M66,2)</f>
        <v>0</v>
      </c>
      <c r="O66" s="470"/>
      <c r="P66" s="471"/>
      <c r="Q66" s="729" t="str">
        <f>IF(G66=0,"verbergen","")</f>
        <v>verbergen</v>
      </c>
      <c r="R66" s="404"/>
      <c r="S66" s="404"/>
      <c r="T66" s="392"/>
      <c r="U66" s="547">
        <f t="shared" si="14"/>
        <v>4</v>
      </c>
      <c r="V66" s="547"/>
      <c r="W66" s="547"/>
      <c r="X66" s="547"/>
      <c r="Y66" s="547"/>
      <c r="Z66" s="547"/>
      <c r="AA66" s="404"/>
      <c r="AB66" s="507"/>
      <c r="AC66" s="516"/>
      <c r="AD66" s="516"/>
      <c r="AE66" s="516"/>
      <c r="AF66" s="507"/>
      <c r="AG66" s="516"/>
      <c r="AH66" s="516"/>
    </row>
    <row r="67" spans="1:43" s="541" customFormat="1" ht="12" hidden="1" customHeight="1">
      <c r="A67" s="543"/>
      <c r="B67" s="543"/>
      <c r="C67" s="472" t="s">
        <v>252</v>
      </c>
      <c r="D67" s="812" t="s">
        <v>251</v>
      </c>
      <c r="E67" s="812"/>
      <c r="F67" s="727">
        <v>1</v>
      </c>
      <c r="G67" s="473">
        <v>0</v>
      </c>
      <c r="H67" s="474">
        <v>90</v>
      </c>
      <c r="I67" s="474">
        <v>20</v>
      </c>
      <c r="J67" s="474">
        <v>0</v>
      </c>
      <c r="K67" s="475" t="s">
        <v>737</v>
      </c>
      <c r="L67" s="475">
        <v>1</v>
      </c>
      <c r="M67" s="476">
        <f>IF(H67&gt;80,(IF(J67&gt;75,0,IF(I67&gt;80,0,INDEX(verzamelblad!$A$81:$BK$158, MATCH((CEILING(IF(J67&gt;=75,75,J67),1)),verzamelblad!$A$81:$A$158,), MATCH((CEILING(IF(I67&lt;=20,20,IF(I67&gt;=80,80,I67)),1)),verzamelblad!$A$81:$BK$81,))))),IF(I67&gt;75,0,INDEX(verzamelblad!$A$164:$BM$245, MATCH((CEILING(IF(H67&gt;=80,80,H67),1)),verzamelblad!$A$164:$A$245,), MATCH((CEILING(IF(I67&lt;=1,1,IF(I67&gt;=75,75,I67)),1)),verzamelblad!$A$164:$BM$164,))))</f>
        <v>0.8</v>
      </c>
      <c r="N67" s="477">
        <f>ROUND(F67*G67*L67*M67,2)</f>
        <v>0</v>
      </c>
      <c r="O67" s="478"/>
      <c r="P67" s="479"/>
      <c r="Q67" s="729" t="str">
        <f>IF(G67=0,"verbergen","")</f>
        <v>verbergen</v>
      </c>
      <c r="R67" s="404"/>
      <c r="S67" s="404"/>
      <c r="T67" s="392"/>
      <c r="U67" s="547">
        <f t="shared" si="14"/>
        <v>4</v>
      </c>
      <c r="V67" s="547"/>
      <c r="W67" s="547"/>
      <c r="X67" s="547"/>
      <c r="Y67" s="547"/>
      <c r="Z67" s="547"/>
      <c r="AA67" s="404"/>
      <c r="AB67" s="507"/>
      <c r="AC67" s="516"/>
      <c r="AD67" s="516"/>
      <c r="AE67" s="516"/>
      <c r="AF67" s="507"/>
      <c r="AG67" s="516"/>
      <c r="AH67" s="516"/>
    </row>
    <row r="68" spans="1:43" s="404" customFormat="1" ht="12" customHeight="1">
      <c r="A68" s="542"/>
      <c r="B68" s="556">
        <f>B61+1</f>
        <v>4</v>
      </c>
      <c r="C68" s="480">
        <f>B68</f>
        <v>4</v>
      </c>
      <c r="D68" s="481">
        <f>IF(O68&gt;P68,P68*10,O68*10)</f>
        <v>5.3000000000000007</v>
      </c>
      <c r="E68" s="813">
        <f>IF(O68&lt;P68,(P68*10)-(O68*10),"(voldoet)")</f>
        <v>0.69999999999999929</v>
      </c>
      <c r="F68" s="813"/>
      <c r="G68" s="813"/>
      <c r="H68" s="482"/>
      <c r="I68" s="482"/>
      <c r="J68" s="483"/>
      <c r="K68" s="484"/>
      <c r="L68" s="485"/>
      <c r="M68" s="485"/>
      <c r="N68" s="485"/>
      <c r="O68" s="486">
        <f>SUM(N63:N68)</f>
        <v>0.53</v>
      </c>
      <c r="P68" s="486">
        <f>SUMPRODUCT(($AD$1:$AD$28178)*($AC$1:$AC$28178=B68))*verzamelblad!$Y$7/100</f>
        <v>0.6</v>
      </c>
      <c r="Q68" s="557"/>
      <c r="R68" s="557"/>
      <c r="S68" s="557"/>
      <c r="T68" s="558"/>
      <c r="U68" s="547">
        <f t="shared" si="14"/>
        <v>4</v>
      </c>
      <c r="V68" s="547"/>
      <c r="W68" s="547"/>
      <c r="X68" s="547"/>
      <c r="Y68" s="559">
        <f>IF(E68="(voldoet)",0,IF(E68="(voldoet niet)",D68,E68))</f>
        <v>0.69999999999999929</v>
      </c>
      <c r="Z68" s="547"/>
      <c r="AB68" s="547"/>
      <c r="AC68" s="392"/>
      <c r="AD68" s="392"/>
      <c r="AE68" s="392"/>
      <c r="AF68" s="547"/>
      <c r="AG68" s="392"/>
      <c r="AH68" s="392"/>
    </row>
    <row r="69" spans="1:43" s="493" customFormat="1" ht="12" customHeight="1">
      <c r="A69" s="560"/>
      <c r="B69" s="560"/>
      <c r="C69" s="487"/>
      <c r="D69" s="487"/>
      <c r="E69" s="487"/>
      <c r="F69" s="463"/>
      <c r="G69" s="463"/>
      <c r="H69" s="456"/>
      <c r="I69" s="456"/>
      <c r="J69" s="456"/>
      <c r="K69" s="456"/>
      <c r="L69" s="456"/>
      <c r="M69" s="456"/>
      <c r="N69" s="456"/>
      <c r="O69" s="488"/>
      <c r="P69" s="489"/>
      <c r="Q69" s="451"/>
      <c r="R69" s="451"/>
      <c r="S69" s="451"/>
      <c r="T69" s="561"/>
      <c r="U69" s="547">
        <f t="shared" si="14"/>
        <v>4</v>
      </c>
      <c r="V69" s="547"/>
      <c r="W69" s="547"/>
      <c r="X69" s="547"/>
      <c r="Y69" s="547"/>
      <c r="Z69" s="547"/>
      <c r="AA69" s="451"/>
      <c r="AB69" s="507"/>
      <c r="AC69" s="507"/>
      <c r="AD69" s="507"/>
      <c r="AE69" s="507"/>
      <c r="AF69" s="507"/>
      <c r="AG69" s="507"/>
      <c r="AH69" s="507"/>
    </row>
    <row r="70" spans="1:43" ht="12" customHeight="1">
      <c r="A70" s="492"/>
      <c r="B70" s="492"/>
      <c r="C70" s="463"/>
      <c r="D70" s="463"/>
      <c r="E70" s="451"/>
      <c r="F70" s="463"/>
      <c r="G70" s="463"/>
      <c r="H70" s="456"/>
      <c r="I70" s="456"/>
      <c r="J70" s="456"/>
      <c r="K70" s="490"/>
      <c r="L70" s="491"/>
      <c r="M70" s="456"/>
      <c r="N70" s="456"/>
      <c r="O70" s="488"/>
      <c r="P70" s="489"/>
      <c r="Q70" s="507"/>
      <c r="R70" s="507"/>
      <c r="S70" s="507"/>
      <c r="T70" s="507"/>
      <c r="U70" s="507"/>
      <c r="V70" s="508"/>
      <c r="W70" s="508"/>
      <c r="X70" s="508"/>
      <c r="Y70" s="508"/>
      <c r="Z70" s="508"/>
      <c r="AA70" s="508"/>
      <c r="AB70" s="508"/>
      <c r="AC70" s="524"/>
      <c r="AD70" s="508"/>
      <c r="AE70" s="508"/>
      <c r="AF70" s="508"/>
      <c r="AG70" s="508"/>
      <c r="AH70" s="508"/>
    </row>
    <row r="71" spans="1:43" s="518" customFormat="1" ht="15" customHeight="1">
      <c r="A71" s="515"/>
      <c r="B71" s="515"/>
      <c r="C71" s="457" t="s">
        <v>1084</v>
      </c>
      <c r="D71" s="457"/>
      <c r="E71" s="457"/>
      <c r="F71" s="457"/>
      <c r="G71" s="457"/>
      <c r="H71" s="457"/>
      <c r="I71" s="457"/>
      <c r="J71" s="457"/>
      <c r="K71" s="457"/>
      <c r="L71" s="457"/>
      <c r="M71" s="457"/>
      <c r="N71" s="457"/>
      <c r="O71" s="457"/>
      <c r="P71" s="457"/>
      <c r="Q71" s="522"/>
      <c r="R71" s="562"/>
      <c r="S71" s="516"/>
      <c r="T71" s="521"/>
      <c r="U71" s="516"/>
      <c r="V71" s="548"/>
      <c r="W71" s="548"/>
      <c r="X71" s="548"/>
      <c r="Y71" s="548"/>
      <c r="Z71" s="517"/>
      <c r="AA71" s="517"/>
      <c r="AB71" s="517"/>
      <c r="AC71" s="524"/>
      <c r="AD71" s="517"/>
      <c r="AE71" s="517"/>
      <c r="AF71" s="517"/>
      <c r="AG71" s="517"/>
      <c r="AH71" s="517"/>
    </row>
    <row r="72" spans="1:43" s="518" customFormat="1" ht="12" customHeight="1">
      <c r="A72" s="543"/>
      <c r="B72" s="543"/>
      <c r="C72" s="563" t="s">
        <v>1019</v>
      </c>
      <c r="D72" s="814" t="s">
        <v>743</v>
      </c>
      <c r="E72" s="814"/>
      <c r="F72" s="814"/>
      <c r="G72" s="814"/>
      <c r="H72" s="566"/>
      <c r="I72" s="566"/>
      <c r="J72" s="566"/>
      <c r="K72" s="566"/>
      <c r="L72" s="566"/>
      <c r="M72" s="566"/>
      <c r="N72" s="566"/>
      <c r="O72" s="566"/>
      <c r="P72" s="566"/>
      <c r="Q72" s="459"/>
      <c r="Y72" s="517"/>
      <c r="Z72" s="517"/>
      <c r="AA72" s="517"/>
      <c r="AB72" s="517"/>
      <c r="AC72" s="517"/>
      <c r="AD72" s="517"/>
      <c r="AE72" s="517"/>
      <c r="AF72" s="517"/>
      <c r="AG72" s="517"/>
      <c r="AH72" s="517"/>
    </row>
    <row r="73" spans="1:43" s="518" customFormat="1" ht="12" customHeight="1">
      <c r="A73" s="543"/>
      <c r="B73" s="543"/>
      <c r="C73" s="563"/>
      <c r="D73" s="464"/>
      <c r="E73" s="464"/>
      <c r="F73" s="464"/>
      <c r="G73" s="464"/>
      <c r="H73" s="566"/>
      <c r="I73" s="566"/>
      <c r="J73" s="566"/>
      <c r="K73" s="566"/>
      <c r="L73" s="566"/>
      <c r="M73" s="566"/>
      <c r="N73" s="566"/>
      <c r="O73" s="566"/>
      <c r="P73" s="566"/>
      <c r="Q73" s="459"/>
      <c r="Y73" s="517"/>
      <c r="Z73" s="517"/>
      <c r="AA73" s="517"/>
      <c r="AB73" s="517"/>
      <c r="AC73" s="517"/>
      <c r="AD73" s="517"/>
      <c r="AE73" s="517"/>
      <c r="AF73" s="517"/>
      <c r="AG73" s="517"/>
      <c r="AH73" s="517"/>
    </row>
    <row r="74" spans="1:43" s="518" customFormat="1" ht="12" customHeight="1">
      <c r="A74" s="543"/>
      <c r="B74" s="546"/>
      <c r="C74" s="563" t="s">
        <v>726</v>
      </c>
      <c r="D74" s="814" t="s">
        <v>724</v>
      </c>
      <c r="E74" s="814"/>
      <c r="F74" s="814"/>
      <c r="G74" s="814"/>
      <c r="H74" s="566"/>
      <c r="I74" s="566"/>
      <c r="J74" s="566"/>
      <c r="K74" s="566"/>
      <c r="L74" s="566"/>
      <c r="M74" s="566"/>
      <c r="N74" s="566"/>
      <c r="O74" s="566"/>
      <c r="P74" s="566"/>
      <c r="Q74" s="459"/>
      <c r="Y74" s="517"/>
      <c r="Z74" s="517"/>
      <c r="AA74" s="517"/>
      <c r="AB74" s="517"/>
      <c r="AC74" s="517"/>
      <c r="AD74" s="517"/>
      <c r="AE74" s="517"/>
      <c r="AF74" s="517"/>
      <c r="AG74" s="517"/>
      <c r="AH74" s="517"/>
    </row>
    <row r="75" spans="1:43" s="518" customFormat="1" ht="12" hidden="1" customHeight="1">
      <c r="A75" s="543"/>
      <c r="B75" s="546"/>
      <c r="C75" s="563" t="s">
        <v>718</v>
      </c>
      <c r="D75" s="814" t="s">
        <v>720</v>
      </c>
      <c r="E75" s="814"/>
      <c r="F75" s="814"/>
      <c r="G75" s="814"/>
      <c r="H75" s="566"/>
      <c r="I75" s="566"/>
      <c r="J75" s="566"/>
      <c r="K75" s="566"/>
      <c r="L75" s="566"/>
      <c r="M75" s="566"/>
      <c r="N75" s="566"/>
      <c r="O75" s="566"/>
      <c r="P75" s="566"/>
      <c r="Q75" s="459" t="str">
        <f>IF(D74="systeem D - mechanische toevoer &amp; afvoer","verbergen","")</f>
        <v>verbergen</v>
      </c>
      <c r="Y75" s="517"/>
      <c r="Z75" s="517"/>
      <c r="AA75" s="517"/>
      <c r="AB75" s="517"/>
      <c r="AC75" s="517"/>
      <c r="AD75" s="517"/>
      <c r="AE75" s="517"/>
      <c r="AF75" s="517"/>
      <c r="AG75" s="517"/>
      <c r="AH75" s="517"/>
      <c r="AQ75" s="517"/>
    </row>
    <row r="76" spans="1:43" s="518" customFormat="1" ht="12" customHeight="1">
      <c r="A76" s="543"/>
      <c r="B76" s="546"/>
      <c r="C76" s="563"/>
      <c r="D76" s="730"/>
      <c r="E76" s="730"/>
      <c r="F76" s="730"/>
      <c r="G76" s="730"/>
      <c r="H76" s="566"/>
      <c r="I76" s="566"/>
      <c r="J76" s="566"/>
      <c r="K76" s="566"/>
      <c r="L76" s="566"/>
      <c r="M76" s="566"/>
      <c r="N76" s="566"/>
      <c r="O76" s="567"/>
      <c r="P76" s="564"/>
      <c r="Q76" s="459"/>
      <c r="Y76" s="517"/>
      <c r="Z76" s="517"/>
      <c r="AA76" s="517"/>
      <c r="AB76" s="517"/>
      <c r="AC76" s="517"/>
      <c r="AD76" s="517"/>
      <c r="AE76" s="517"/>
      <c r="AF76" s="517"/>
      <c r="AG76" s="517"/>
      <c r="AH76" s="517"/>
      <c r="AQ76" s="517"/>
    </row>
    <row r="77" spans="1:43" s="518" customFormat="1" ht="12" customHeight="1">
      <c r="A77" s="543"/>
      <c r="B77" s="546"/>
      <c r="C77" s="563" t="s">
        <v>746</v>
      </c>
      <c r="D77" s="730" t="s">
        <v>737</v>
      </c>
      <c r="E77" s="730"/>
      <c r="F77" s="730"/>
      <c r="G77" s="730"/>
      <c r="H77" s="568" t="str">
        <f>IF(D77="n.v.t.","","minimale luchtverversing, privaatrechterlijke eisen in 'hoogstand':")</f>
        <v/>
      </c>
      <c r="I77" s="546"/>
      <c r="J77" s="773"/>
      <c r="K77" s="569"/>
      <c r="L77" s="570"/>
      <c r="M77" s="404"/>
      <c r="N77" s="566" t="str">
        <f>IF(D77="n.v.t.","",N74+G139)</f>
        <v/>
      </c>
      <c r="O77" s="567" t="str">
        <f>IF(D77="n.v.t.","",N77*3.6)</f>
        <v/>
      </c>
      <c r="P77" s="564"/>
      <c r="Q77" s="459"/>
      <c r="Y77" s="517"/>
      <c r="Z77" s="517"/>
      <c r="AA77" s="517"/>
      <c r="AB77" s="517"/>
      <c r="AC77" s="517"/>
      <c r="AD77" s="517"/>
      <c r="AE77" s="517"/>
      <c r="AF77" s="517"/>
      <c r="AG77" s="517"/>
      <c r="AH77" s="517"/>
      <c r="AQ77" s="517"/>
    </row>
    <row r="78" spans="1:43" s="518" customFormat="1" ht="12" customHeight="1">
      <c r="A78" s="543"/>
      <c r="B78" s="546"/>
      <c r="C78" s="563"/>
      <c r="D78" s="730"/>
      <c r="E78" s="730"/>
      <c r="F78" s="730"/>
      <c r="G78" s="730"/>
      <c r="H78" s="766" t="s">
        <v>1133</v>
      </c>
      <c r="I78" s="774"/>
      <c r="J78" s="767"/>
      <c r="K78" s="767"/>
      <c r="L78" s="768"/>
      <c r="M78" s="769"/>
      <c r="N78" s="770"/>
      <c r="O78" s="771"/>
      <c r="P78" s="772"/>
      <c r="Q78" s="459"/>
      <c r="Y78" s="517"/>
      <c r="Z78" s="517"/>
      <c r="AA78" s="517"/>
      <c r="AB78" s="517"/>
      <c r="AC78" s="517"/>
      <c r="AD78" s="517"/>
      <c r="AE78" s="517"/>
      <c r="AF78" s="517"/>
      <c r="AG78" s="517"/>
      <c r="AH78" s="517"/>
      <c r="AQ78" s="517"/>
    </row>
    <row r="79" spans="1:43" s="518" customFormat="1" ht="12" customHeight="1">
      <c r="A79" s="543"/>
      <c r="B79" s="546"/>
      <c r="C79" s="563"/>
      <c r="D79" s="730"/>
      <c r="E79" s="730"/>
      <c r="F79" s="730"/>
      <c r="G79" s="730"/>
      <c r="H79" s="766" t="s">
        <v>1134</v>
      </c>
      <c r="I79" s="774"/>
      <c r="J79" s="775"/>
      <c r="K79" s="775"/>
      <c r="L79" s="768"/>
      <c r="M79" s="769"/>
      <c r="N79" s="770"/>
      <c r="O79" s="771"/>
      <c r="P79" s="772"/>
      <c r="Q79" s="459"/>
      <c r="Y79" s="517"/>
      <c r="Z79" s="517"/>
      <c r="AA79" s="517"/>
      <c r="AB79" s="517"/>
      <c r="AC79" s="517"/>
      <c r="AD79" s="517"/>
      <c r="AE79" s="517"/>
      <c r="AF79" s="517"/>
      <c r="AG79" s="517"/>
      <c r="AH79" s="517"/>
      <c r="AQ79" s="517"/>
    </row>
    <row r="80" spans="1:43" s="518" customFormat="1" ht="12" customHeight="1">
      <c r="A80" s="543"/>
      <c r="B80" s="543"/>
      <c r="C80" s="571" t="str">
        <f>IF(A42:A80=TRUE,"* vanwege het niet direct grenzen van ramen aan grens VG is op basis van gelijkwaardigheid een groter fictief oppervlak aan VG toegekend (zie ook toelichting rapport)","")</f>
        <v/>
      </c>
      <c r="D80" s="572"/>
      <c r="E80" s="572"/>
      <c r="F80" s="572"/>
      <c r="G80" s="572"/>
      <c r="H80" s="572"/>
      <c r="I80" s="572"/>
      <c r="J80" s="468"/>
      <c r="K80" s="490"/>
      <c r="L80" s="422"/>
      <c r="M80" s="471"/>
      <c r="N80" s="470"/>
      <c r="O80" s="573"/>
      <c r="P80" s="574"/>
      <c r="Q80" s="525"/>
      <c r="Y80" s="508"/>
      <c r="Z80" s="508"/>
      <c r="AA80" s="508"/>
      <c r="AB80" s="508"/>
      <c r="AC80" s="517"/>
      <c r="AD80" s="517"/>
      <c r="AE80" s="517"/>
      <c r="AF80" s="517"/>
      <c r="AG80" s="517"/>
      <c r="AH80" s="517"/>
    </row>
    <row r="81" spans="1:38" s="518" customFormat="1" ht="15" customHeight="1">
      <c r="A81" s="515"/>
      <c r="B81" s="515"/>
      <c r="C81" s="457" t="s">
        <v>1085</v>
      </c>
      <c r="D81" s="575"/>
      <c r="E81" s="575"/>
      <c r="F81" s="817"/>
      <c r="G81" s="817"/>
      <c r="H81" s="817"/>
      <c r="I81" s="575"/>
      <c r="J81" s="575"/>
      <c r="K81" s="575"/>
      <c r="L81" s="575"/>
      <c r="M81" s="575"/>
      <c r="N81" s="575"/>
      <c r="O81" s="575"/>
      <c r="P81" s="575"/>
      <c r="Q81" s="522"/>
      <c r="R81" s="516"/>
      <c r="S81" s="516"/>
      <c r="T81" s="521"/>
      <c r="U81" s="516"/>
      <c r="V81" s="548"/>
      <c r="W81" s="548"/>
      <c r="X81" s="548"/>
      <c r="Y81" s="548"/>
      <c r="Z81" s="517"/>
      <c r="AA81" s="517"/>
      <c r="AB81" s="517"/>
      <c r="AC81" s="524"/>
      <c r="AD81" s="517"/>
      <c r="AE81" s="517"/>
      <c r="AF81" s="517"/>
      <c r="AG81" s="517"/>
      <c r="AH81" s="517"/>
    </row>
    <row r="82" spans="1:38" s="518" customFormat="1" ht="12.75" hidden="1" customHeight="1">
      <c r="A82" s="515"/>
      <c r="B82" s="515"/>
      <c r="C82" s="576"/>
      <c r="D82" s="576"/>
      <c r="E82" s="576"/>
      <c r="F82" s="576"/>
      <c r="G82" s="576"/>
      <c r="H82" s="577"/>
      <c r="I82" s="577"/>
      <c r="J82" s="577"/>
      <c r="K82" s="577"/>
      <c r="L82" s="577"/>
      <c r="M82" s="577"/>
      <c r="N82" s="577"/>
      <c r="O82" s="577"/>
      <c r="P82" s="577"/>
      <c r="Q82" s="522"/>
      <c r="R82" s="516"/>
      <c r="S82" s="516"/>
      <c r="T82" s="521"/>
      <c r="U82" s="516"/>
      <c r="V82" s="548"/>
      <c r="W82" s="548"/>
      <c r="X82" s="548"/>
      <c r="Y82" s="548"/>
      <c r="Z82" s="517"/>
      <c r="AA82" s="517"/>
      <c r="AB82" s="517"/>
      <c r="AC82" s="524"/>
      <c r="AD82" s="517"/>
      <c r="AE82" s="517"/>
      <c r="AF82" s="517"/>
    </row>
    <row r="83" spans="1:38" ht="35.25" customHeight="1">
      <c r="A83" s="492"/>
      <c r="B83" s="492"/>
      <c r="C83" s="736" t="s">
        <v>133</v>
      </c>
      <c r="D83" s="460" t="s">
        <v>1106</v>
      </c>
      <c r="E83" s="578" t="s">
        <v>1066</v>
      </c>
      <c r="F83" s="809" t="str">
        <f>IF(S16=3,"","advies toevoercapaciteit")</f>
        <v>advies toevoercapaciteit</v>
      </c>
      <c r="G83" s="809"/>
      <c r="H83" s="809"/>
      <c r="I83" s="809" t="str">
        <f>IF(S16=1,"kozijnmerk","")</f>
        <v/>
      </c>
      <c r="J83" s="809"/>
      <c r="K83" s="579" t="str">
        <f>IF(S16=1,"roostermaat","")</f>
        <v/>
      </c>
      <c r="L83" s="818" t="str">
        <f>IF(AND(S16=1,S17=1),"benodigde capaciteit","")</f>
        <v/>
      </c>
      <c r="M83" s="818"/>
      <c r="N83" s="579" t="str">
        <f>IF(AND(S16=1,S17=2),"type","")</f>
        <v/>
      </c>
      <c r="O83" s="580"/>
      <c r="P83" s="581" t="str">
        <f>IF(AND(S16=1,S17=2),"maximale roostercapaciteit","")</f>
        <v/>
      </c>
      <c r="Q83" s="582"/>
      <c r="R83" s="582"/>
      <c r="S83" s="583"/>
      <c r="T83" s="532"/>
      <c r="U83" s="507"/>
      <c r="V83" s="508"/>
      <c r="W83" s="508"/>
      <c r="X83" s="508"/>
      <c r="Y83" s="508"/>
      <c r="Z83" s="508"/>
      <c r="AA83" s="508"/>
      <c r="AB83" s="508"/>
      <c r="AC83" s="534"/>
      <c r="AD83" s="508"/>
      <c r="AE83" s="508"/>
      <c r="AF83" s="508"/>
    </row>
    <row r="84" spans="1:38" s="541" customFormat="1" ht="12" customHeight="1">
      <c r="B84" s="515"/>
      <c r="C84" s="464" t="str">
        <f>L28</f>
        <v>woonkamer / eetkamer</v>
      </c>
      <c r="D84" s="733">
        <f>IF(F84="intern","",SUMPRODUCT(($AE$1:$AE$28098)*($L$1:$L$28098=C84)))</f>
        <v>28.45</v>
      </c>
      <c r="E84" s="566">
        <f>IF(F84="intern","",IF(D84=0,0,(IF(verzamelblad!$K$7*D84&gt;verzamelblad!$P$7,CEILING(verzamelblad!$K$7*D84,0.1),verzamelblad!$P$7))))</f>
        <v>20</v>
      </c>
      <c r="F84" s="584" t="str">
        <f>IF($S$16=1,"NT","MT")</f>
        <v>MT</v>
      </c>
      <c r="G84" s="731" t="s">
        <v>140</v>
      </c>
      <c r="H84" s="565">
        <v>21</v>
      </c>
      <c r="I84" s="811" t="s">
        <v>251</v>
      </c>
      <c r="J84" s="811"/>
      <c r="K84" s="585">
        <v>0</v>
      </c>
      <c r="L84" s="819" t="str">
        <f>IF(AND(S$16=1,S$17=2),"",IF(S$16=2,"",IF(K84=0,"",H84/(K84/1000))))</f>
        <v/>
      </c>
      <c r="M84" s="819"/>
      <c r="N84" s="816" t="s">
        <v>268</v>
      </c>
      <c r="O84" s="816"/>
      <c r="P84" s="586" t="str">
        <f>IF(K84=0,"-",INDEX('data roosters'!F:J,MATCH(N84,'data roosters'!F:F,0),2)*(K84/1000))</f>
        <v>-</v>
      </c>
      <c r="Q84" s="525" t="str">
        <f>IF(AND($S$16=1,$S$17=2),IF(OR(E84&lt;&gt;0,H84&lt;&gt;0,P84&lt;&gt;"-"),"","verbergen"),IF(OR(E84&lt;&gt;0,H84&lt;&gt;0),"","verbergen"))</f>
        <v/>
      </c>
      <c r="R84" s="587"/>
      <c r="S84" s="529"/>
      <c r="T84" s="516"/>
      <c r="U84" s="516"/>
      <c r="V84" s="507">
        <v>1</v>
      </c>
      <c r="W84" s="516"/>
      <c r="X84" s="516"/>
      <c r="Y84" s="516"/>
      <c r="Z84" s="516"/>
      <c r="AB84" s="516"/>
      <c r="AC84" s="516"/>
      <c r="AD84" s="516"/>
      <c r="AE84" s="516"/>
      <c r="AF84" s="515" t="str">
        <f>IF(E84&gt;0,"x","")</f>
        <v>x</v>
      </c>
      <c r="AG84" s="516"/>
      <c r="AH84" s="516"/>
    </row>
    <row r="85" spans="1:38" s="541" customFormat="1" ht="12" customHeight="1">
      <c r="B85" s="515"/>
      <c r="C85" s="464" t="str">
        <f>L28</f>
        <v>woonkamer / eetkamer</v>
      </c>
      <c r="D85" s="733" t="str">
        <f>IF(F85="intern","",SUMPRODUCT(($AE$1:$AE$28098)*($L$1:$L$28098=C85)))</f>
        <v/>
      </c>
      <c r="E85" s="566" t="str">
        <f>IF(F85="intern","",IF(D85=0,0,(IF(verzamelblad!$K$7*D85&gt;verzamelblad!$P$7,CEILING(verzamelblad!$K$7*D85,0.1),verzamelblad!$P$7))))</f>
        <v/>
      </c>
      <c r="F85" s="584" t="s">
        <v>725</v>
      </c>
      <c r="G85" s="731" t="s">
        <v>1158</v>
      </c>
      <c r="H85" s="565">
        <v>7</v>
      </c>
      <c r="I85" s="811" t="s">
        <v>251</v>
      </c>
      <c r="J85" s="811"/>
      <c r="K85" s="585">
        <v>0</v>
      </c>
      <c r="M85" s="564"/>
      <c r="N85" s="816" t="s">
        <v>268</v>
      </c>
      <c r="O85" s="816"/>
      <c r="P85" s="586" t="str">
        <f>IF(K85=0,"-",INDEX('data roosters'!F:J,MATCH(N85,'data roosters'!F:F,0),2)*(K85/1000))</f>
        <v>-</v>
      </c>
      <c r="Q85" s="525" t="str">
        <f t="shared" ref="Q85:Q88" si="15">IF(AND($S$16=1,$S$17=2),IF(OR(E85&lt;&gt;0,H85&lt;&gt;0,P85&lt;&gt;"-"),"","verbergen"),IF(OR(E85&lt;&gt;0,H85&lt;&gt;0),"","verbergen"))</f>
        <v/>
      </c>
      <c r="R85" s="588"/>
      <c r="S85" s="529"/>
      <c r="T85" s="516"/>
      <c r="U85" s="516"/>
      <c r="V85" s="507">
        <v>1</v>
      </c>
      <c r="W85" s="516"/>
      <c r="X85" s="516"/>
      <c r="Y85" s="516"/>
      <c r="Z85" s="516"/>
      <c r="AB85" s="516"/>
      <c r="AC85" s="516"/>
      <c r="AD85" s="516"/>
      <c r="AE85" s="516"/>
      <c r="AF85" s="515" t="str">
        <f>IF(E85&gt;0,"x","")</f>
        <v>x</v>
      </c>
      <c r="AG85" s="516"/>
      <c r="AH85" s="516"/>
      <c r="AJ85" s="815"/>
      <c r="AK85" s="815"/>
      <c r="AL85" s="815"/>
    </row>
    <row r="86" spans="1:38" s="541" customFormat="1" ht="12" hidden="1" customHeight="1">
      <c r="B86" s="515"/>
      <c r="C86" s="464" t="s">
        <v>252</v>
      </c>
      <c r="D86" s="733">
        <f>IF(F86="intern","",SUMPRODUCT(($AE$1:$AE$28098)*($L$1:$L$28098=C86)))</f>
        <v>0</v>
      </c>
      <c r="E86" s="566">
        <f>IF(F86="intern","",IF(D86=0,0,(IF(verzamelblad!$K$7*D86&gt;verzamelblad!$P$7,CEILING(verzamelblad!$K$7*D86,0.1),verzamelblad!$P$7))))</f>
        <v>0</v>
      </c>
      <c r="F86" s="584" t="str">
        <f>IF($S$16=1,"NT","MT")</f>
        <v>MT</v>
      </c>
      <c r="G86" s="731" t="s">
        <v>140</v>
      </c>
      <c r="H86" s="565">
        <v>0</v>
      </c>
      <c r="I86" s="811" t="s">
        <v>251</v>
      </c>
      <c r="J86" s="811"/>
      <c r="K86" s="585">
        <v>0</v>
      </c>
      <c r="L86" s="564" t="str">
        <f>IF(AND(S$16=1,S$17=2),"",IF(S$16=2,"",IF(K86=0,"",H86/(K86/1000))))</f>
        <v/>
      </c>
      <c r="M86" s="564"/>
      <c r="N86" s="816" t="s">
        <v>268</v>
      </c>
      <c r="O86" s="816"/>
      <c r="P86" s="586" t="str">
        <f>IF(K86=0,"-",INDEX('data roosters'!F:J,MATCH(N86,'data roosters'!F:F,0),2)*(K86/1000))</f>
        <v>-</v>
      </c>
      <c r="Q86" s="525" t="str">
        <f t="shared" si="15"/>
        <v>verbergen</v>
      </c>
      <c r="R86" s="589"/>
      <c r="S86" s="529"/>
      <c r="T86" s="516"/>
      <c r="U86" s="516"/>
      <c r="V86" s="507">
        <v>1</v>
      </c>
      <c r="W86" s="516"/>
      <c r="X86" s="516"/>
      <c r="Y86" s="516"/>
      <c r="Z86" s="516"/>
      <c r="AB86" s="516"/>
      <c r="AC86" s="516"/>
      <c r="AD86" s="516"/>
      <c r="AE86" s="516"/>
      <c r="AF86" s="515" t="str">
        <f>IF(E86&gt;0,"x","")</f>
        <v/>
      </c>
      <c r="AG86" s="516"/>
      <c r="AH86" s="516"/>
      <c r="AJ86" s="815"/>
      <c r="AK86" s="815"/>
      <c r="AL86" s="815"/>
    </row>
    <row r="87" spans="1:38" s="541" customFormat="1" ht="12" hidden="1" customHeight="1">
      <c r="B87" s="515"/>
      <c r="C87" s="464" t="s">
        <v>252</v>
      </c>
      <c r="D87" s="733">
        <f>IF(F87="intern","",SUMPRODUCT(($AE$1:$AE$28098)*($L$1:$L$28098=C87)))</f>
        <v>0</v>
      </c>
      <c r="E87" s="566">
        <f>IF(F87="intern","",IF(D87=0,0,(IF(verzamelblad!$K$7*D87&gt;verzamelblad!$P$7,CEILING(verzamelblad!$K$7*D87,0.1),verzamelblad!$P$7))))</f>
        <v>0</v>
      </c>
      <c r="F87" s="584" t="str">
        <f>IF($S$16=1,"NT","MT")</f>
        <v>MT</v>
      </c>
      <c r="G87" s="731" t="s">
        <v>140</v>
      </c>
      <c r="H87" s="565">
        <v>0</v>
      </c>
      <c r="I87" s="811" t="s">
        <v>251</v>
      </c>
      <c r="J87" s="811"/>
      <c r="K87" s="585">
        <v>0</v>
      </c>
      <c r="L87" s="564" t="str">
        <f>IF(AND(S$16=1,S$17=2),"",IF(S$16=2,"",IF(K87=0,"",H87/(K87/1000))))</f>
        <v/>
      </c>
      <c r="M87" s="564"/>
      <c r="N87" s="816" t="s">
        <v>268</v>
      </c>
      <c r="O87" s="816"/>
      <c r="P87" s="586" t="str">
        <f>IF(K87=0,"-",INDEX('data roosters'!F:J,MATCH(N87,'data roosters'!F:F,0),2)*(K87/1000))</f>
        <v>-</v>
      </c>
      <c r="Q87" s="525" t="str">
        <f t="shared" si="15"/>
        <v>verbergen</v>
      </c>
      <c r="R87" s="589"/>
      <c r="S87" s="529"/>
      <c r="T87" s="516"/>
      <c r="U87" s="516"/>
      <c r="V87" s="507">
        <v>1</v>
      </c>
      <c r="W87" s="516"/>
      <c r="X87" s="516"/>
      <c r="Y87" s="516"/>
      <c r="Z87" s="516"/>
      <c r="AB87" s="516"/>
      <c r="AC87" s="516"/>
      <c r="AD87" s="516"/>
      <c r="AE87" s="516"/>
      <c r="AF87" s="515" t="str">
        <f>IF(E87&gt;0,"x","")</f>
        <v/>
      </c>
      <c r="AG87" s="516"/>
      <c r="AH87" s="516"/>
      <c r="AJ87" s="815"/>
      <c r="AK87" s="815"/>
      <c r="AL87" s="815"/>
    </row>
    <row r="88" spans="1:38" s="541" customFormat="1" ht="12" hidden="1" customHeight="1">
      <c r="B88" s="515"/>
      <c r="C88" s="464" t="s">
        <v>252</v>
      </c>
      <c r="D88" s="733">
        <f>IF(F88="intern","",SUMPRODUCT(($AE$1:$AE$28098)*($L$1:$L$28098=C88)))</f>
        <v>0</v>
      </c>
      <c r="E88" s="566">
        <f>IF(F88="intern","",IF(D88=0,0,(IF(verzamelblad!$K$7*D88&gt;verzamelblad!$P$7,CEILING(verzamelblad!$K$7*D88,0.1),verzamelblad!$P$7))))</f>
        <v>0</v>
      </c>
      <c r="F88" s="584" t="str">
        <f>IF($S$16=1,"NT","MT")</f>
        <v>MT</v>
      </c>
      <c r="G88" s="731" t="s">
        <v>140</v>
      </c>
      <c r="H88" s="565">
        <v>0</v>
      </c>
      <c r="I88" s="811" t="s">
        <v>251</v>
      </c>
      <c r="J88" s="811"/>
      <c r="K88" s="585">
        <v>0</v>
      </c>
      <c r="L88" s="564"/>
      <c r="M88" s="564"/>
      <c r="N88" s="816" t="s">
        <v>268</v>
      </c>
      <c r="O88" s="816"/>
      <c r="P88" s="586" t="str">
        <f>IF(K88=0,"-",INDEX('data roosters'!F:J,MATCH(N88,'data roosters'!F:F,0),2)*(K88/1000))</f>
        <v>-</v>
      </c>
      <c r="Q88" s="525" t="str">
        <f t="shared" si="15"/>
        <v>verbergen</v>
      </c>
      <c r="R88" s="589"/>
      <c r="S88" s="529"/>
      <c r="T88" s="516"/>
      <c r="U88" s="516"/>
      <c r="V88" s="507">
        <v>1</v>
      </c>
      <c r="W88" s="516"/>
      <c r="X88" s="516"/>
      <c r="Y88" s="516"/>
      <c r="Z88" s="516"/>
      <c r="AB88" s="516"/>
      <c r="AC88" s="516"/>
      <c r="AD88" s="516"/>
      <c r="AE88" s="516"/>
      <c r="AF88" s="515" t="str">
        <f>IF(E88&gt;0,"x","")</f>
        <v/>
      </c>
      <c r="AG88" s="516"/>
      <c r="AH88" s="516"/>
      <c r="AJ88" s="815"/>
      <c r="AK88" s="815"/>
      <c r="AL88" s="815"/>
    </row>
    <row r="89" spans="1:38" s="541" customFormat="1" ht="12" customHeight="1">
      <c r="B89" s="590">
        <v>1</v>
      </c>
      <c r="C89" s="480">
        <f>B89</f>
        <v>1</v>
      </c>
      <c r="D89" s="481">
        <f>SUMPRODUCT(($AD$1:$AD$50054)*($AC$1:$AC$50054=B89))</f>
        <v>28.45</v>
      </c>
      <c r="E89" s="591">
        <f>IF(D89=0,0,(IF(verzamelblad!$E$7*D89&gt;verzamelblad!$J$7,CEILING(verzamelblad!$E$7*D89,0.1),verzamelblad!$J$7)))</f>
        <v>25.700000000000003</v>
      </c>
      <c r="F89" s="820" t="str">
        <f>IF(SUM(H84:H88)&lt;E89,"voldoet niet op VG-niveau","totaal: "&amp;SUM(H84:H88) &amp; " dm³/s ")</f>
        <v xml:space="preserve">totaal: 28 dm³/s </v>
      </c>
      <c r="G89" s="820"/>
      <c r="H89" s="820"/>
      <c r="I89" s="592"/>
      <c r="J89" s="593"/>
      <c r="K89" s="594"/>
      <c r="L89" s="595"/>
      <c r="M89" s="821"/>
      <c r="N89" s="821"/>
      <c r="O89" s="596"/>
      <c r="P89" s="597"/>
      <c r="Q89" s="459"/>
      <c r="R89" s="589"/>
      <c r="S89" s="529"/>
      <c r="T89" s="516"/>
      <c r="U89" s="516"/>
      <c r="V89" s="547">
        <v>1</v>
      </c>
      <c r="W89" s="516"/>
      <c r="X89" s="516"/>
      <c r="Y89" s="516"/>
      <c r="Z89" s="516"/>
      <c r="AB89" s="516"/>
      <c r="AC89" s="516"/>
      <c r="AD89" s="516"/>
      <c r="AE89" s="516"/>
      <c r="AF89" s="515" t="str">
        <f>IF(B89&gt;0,"ja")</f>
        <v>ja</v>
      </c>
      <c r="AG89" s="516"/>
      <c r="AH89" s="516"/>
    </row>
    <row r="90" spans="1:38" s="541" customFormat="1" ht="12" customHeight="1">
      <c r="B90" s="515"/>
      <c r="C90" s="598"/>
      <c r="D90" s="422"/>
      <c r="E90" s="422"/>
      <c r="F90" s="422"/>
      <c r="G90" s="422"/>
      <c r="H90" s="599"/>
      <c r="I90" s="599"/>
      <c r="J90" s="530"/>
      <c r="K90" s="600"/>
      <c r="L90" s="600"/>
      <c r="M90" s="600"/>
      <c r="N90" s="600"/>
      <c r="O90" s="600"/>
      <c r="P90" s="600"/>
      <c r="Q90" s="459"/>
      <c r="R90" s="589"/>
      <c r="S90" s="529"/>
      <c r="T90" s="516"/>
      <c r="U90" s="516"/>
      <c r="V90" s="507">
        <v>1</v>
      </c>
      <c r="W90" s="516"/>
      <c r="X90" s="516"/>
      <c r="Y90" s="516"/>
      <c r="Z90" s="516"/>
      <c r="AB90" s="516"/>
      <c r="AC90" s="516"/>
      <c r="AD90" s="516"/>
      <c r="AE90" s="516"/>
      <c r="AF90" s="515"/>
      <c r="AG90" s="516"/>
      <c r="AH90" s="516"/>
    </row>
    <row r="91" spans="1:38" s="541" customFormat="1" ht="12" customHeight="1">
      <c r="A91" s="404"/>
      <c r="B91" s="543"/>
      <c r="C91" s="464" t="str">
        <f>L29</f>
        <v>keuken</v>
      </c>
      <c r="D91" s="733">
        <f>IF(F91="intern","",SUMPRODUCT(($AE$1:$AE$28098)*($L$1:$L$28098=C91)))</f>
        <v>15.1</v>
      </c>
      <c r="E91" s="566">
        <f>IF(F91="intern","",IF(D91=0,0,(IF(verzamelblad!$K$7*D91&gt;verzamelblad!$P$7,CEILING(verzamelblad!$K$7*D91,0.1),verzamelblad!$P$7))))</f>
        <v>10.600000000000001</v>
      </c>
      <c r="F91" s="584" t="str">
        <f>IF($S$16=1,"NT","MT")</f>
        <v>MT</v>
      </c>
      <c r="G91" s="731" t="s">
        <v>140</v>
      </c>
      <c r="H91" s="565">
        <v>7</v>
      </c>
      <c r="I91" s="811" t="s">
        <v>251</v>
      </c>
      <c r="J91" s="811"/>
      <c r="K91" s="585">
        <v>0</v>
      </c>
      <c r="L91" s="819" t="str">
        <f>IF(AND(S$16=1,S$17=2),"",IF(S$16=2,"",IF(K91=0,"",H91/(K91/1000))))</f>
        <v/>
      </c>
      <c r="M91" s="819"/>
      <c r="N91" s="816" t="s">
        <v>268</v>
      </c>
      <c r="O91" s="816"/>
      <c r="P91" s="586" t="str">
        <f>IF(K91=0,"-",INDEX('data roosters'!F:J,MATCH(N91,'data roosters'!F:F,0),2)*(K91/1000))</f>
        <v>-</v>
      </c>
      <c r="Q91" s="729" t="str">
        <f>IF(AND($S$16=1,$S$17=2),IF(OR(E91&lt;&gt;0,H91&lt;&gt;0,P91&lt;&gt;"-"),"","verbergen"),IF(OR(E91&lt;&gt;0,H91&lt;&gt;0),"","verbergen"))</f>
        <v/>
      </c>
      <c r="R91" s="601"/>
      <c r="S91" s="602"/>
      <c r="T91" s="392"/>
      <c r="U91" s="392"/>
      <c r="V91" s="547">
        <f>V90+1</f>
        <v>2</v>
      </c>
      <c r="W91" s="392"/>
      <c r="X91" s="392"/>
      <c r="Y91" s="392"/>
      <c r="Z91" s="392"/>
      <c r="AA91" s="404"/>
      <c r="AB91" s="516"/>
      <c r="AC91" s="516"/>
      <c r="AD91" s="516"/>
      <c r="AE91" s="516"/>
      <c r="AF91" s="515" t="str">
        <f>IF(E91&gt;0,"x","")</f>
        <v>x</v>
      </c>
      <c r="AG91" s="516"/>
      <c r="AH91" s="516"/>
    </row>
    <row r="92" spans="1:38" s="541" customFormat="1" ht="12" customHeight="1">
      <c r="A92" s="404"/>
      <c r="B92" s="543"/>
      <c r="C92" s="464" t="str">
        <f>L29</f>
        <v>keuken</v>
      </c>
      <c r="D92" s="733" t="str">
        <f>IF(F92="intern","",SUMPRODUCT(($AE$1:$AE$28066)*($L$1:$L$28066=C92)))</f>
        <v/>
      </c>
      <c r="E92" s="566" t="str">
        <f>IF(F92="intern","",IF(D92=0,0,(IF(verzamelblad!$K$7*D92&gt;verzamelblad!$P$7,CEILING(verzamelblad!$K$7*D92,0.1),verzamelblad!$P$7))))</f>
        <v/>
      </c>
      <c r="F92" s="584" t="s">
        <v>725</v>
      </c>
      <c r="G92" s="731" t="s">
        <v>1158</v>
      </c>
      <c r="H92" s="565">
        <v>7</v>
      </c>
      <c r="I92" s="811" t="s">
        <v>251</v>
      </c>
      <c r="J92" s="811"/>
      <c r="K92" s="585">
        <v>0</v>
      </c>
      <c r="L92" s="819" t="str">
        <f>IF(AND(S$16=1,S$17=2),"",IF(S$16=2,"",IF(K92=0,"",H92/(K92/1000))))</f>
        <v/>
      </c>
      <c r="M92" s="819"/>
      <c r="N92" s="816" t="s">
        <v>268</v>
      </c>
      <c r="O92" s="816"/>
      <c r="P92" s="586" t="str">
        <f>IF(K92=0,"-",INDEX('data roosters'!F:J,MATCH(N92,'data roosters'!F:F,0),2)*(K92/1000))</f>
        <v>-</v>
      </c>
      <c r="Q92" s="729" t="str">
        <f t="shared" ref="Q92:Q95" si="16">IF(AND($S$16=1,$S$17=2),IF(OR(E92&lt;&gt;0,H92&lt;&gt;0,P92&lt;&gt;"-"),"","verbergen"),IF(OR(E92&lt;&gt;0,H92&lt;&gt;0),"","verbergen"))</f>
        <v/>
      </c>
      <c r="R92" s="418"/>
      <c r="S92" s="602"/>
      <c r="T92" s="392"/>
      <c r="U92" s="392"/>
      <c r="V92" s="547">
        <f t="shared" ref="V92:V97" si="17">V91</f>
        <v>2</v>
      </c>
      <c r="W92" s="392"/>
      <c r="X92" s="392"/>
      <c r="Y92" s="392"/>
      <c r="Z92" s="392"/>
      <c r="AA92" s="404"/>
      <c r="AB92" s="516"/>
      <c r="AC92" s="516"/>
      <c r="AD92" s="516"/>
      <c r="AE92" s="516"/>
      <c r="AF92" s="515" t="str">
        <f>IF(E92&gt;0,"x","")</f>
        <v>x</v>
      </c>
      <c r="AG92" s="516"/>
      <c r="AH92" s="516"/>
    </row>
    <row r="93" spans="1:38" s="541" customFormat="1" ht="12" customHeight="1">
      <c r="A93" s="404"/>
      <c r="B93" s="543"/>
      <c r="C93" s="464" t="str">
        <f>L30</f>
        <v>bijkeuken</v>
      </c>
      <c r="D93" s="733">
        <f>IF(F93="intern","",SUMPRODUCT(($AE$1:$AE$28098)*($L$1:$L$28098=C93)))</f>
        <v>5.96</v>
      </c>
      <c r="E93" s="566">
        <f>IF(F93="intern","",IF(D93=0,0,(IF(verzamelblad!$K$7*D93&gt;verzamelblad!$P$7,CEILING(verzamelblad!$K$7*D93,0.1),verzamelblad!$P$7))))</f>
        <v>7</v>
      </c>
      <c r="F93" s="584" t="str">
        <f>IF($S$16=1,"NT","MT")</f>
        <v>MT</v>
      </c>
      <c r="G93" s="731" t="s">
        <v>140</v>
      </c>
      <c r="H93" s="565">
        <v>7</v>
      </c>
      <c r="I93" s="811" t="s">
        <v>251</v>
      </c>
      <c r="J93" s="811"/>
      <c r="K93" s="585">
        <v>0</v>
      </c>
      <c r="L93" s="819" t="str">
        <f>IF(AND(S$16=1,S$17=2),"",IF(S$16=2,"",IF(K93=0,"",H93/(K93/1000))))</f>
        <v/>
      </c>
      <c r="M93" s="819"/>
      <c r="N93" s="816" t="s">
        <v>268</v>
      </c>
      <c r="O93" s="816"/>
      <c r="P93" s="586" t="str">
        <f>IF(K93=0,"-",INDEX('data roosters'!F:J,MATCH(N93,'data roosters'!F:F,0),2)*(K93/1000))</f>
        <v>-</v>
      </c>
      <c r="Q93" s="729" t="str">
        <f t="shared" si="16"/>
        <v/>
      </c>
      <c r="R93" s="603"/>
      <c r="S93" s="602"/>
      <c r="T93" s="392"/>
      <c r="U93" s="392"/>
      <c r="V93" s="547">
        <f t="shared" si="17"/>
        <v>2</v>
      </c>
      <c r="W93" s="392"/>
      <c r="X93" s="392"/>
      <c r="Y93" s="392"/>
      <c r="Z93" s="392"/>
      <c r="AA93" s="404"/>
      <c r="AB93" s="516"/>
      <c r="AC93" s="516"/>
      <c r="AD93" s="516"/>
      <c r="AE93" s="516"/>
      <c r="AF93" s="515" t="str">
        <f>IF(E93&gt;0,"x","")</f>
        <v>x</v>
      </c>
      <c r="AG93" s="516"/>
      <c r="AH93" s="516"/>
    </row>
    <row r="94" spans="1:38" s="541" customFormat="1" ht="12" hidden="1" customHeight="1">
      <c r="A94" s="404"/>
      <c r="B94" s="543"/>
      <c r="C94" s="464" t="s">
        <v>252</v>
      </c>
      <c r="D94" s="733">
        <f>IF(F94="intern","",SUMPRODUCT(($AE$1:$AE$28066)*($L$1:$L$28066=C94)))</f>
        <v>0</v>
      </c>
      <c r="E94" s="566">
        <f>IF(F94="intern","",IF(D94=0,0,(IF(verzamelblad!$K$7*D94&gt;verzamelblad!$P$7,CEILING(verzamelblad!$K$7*D94,0.1),verzamelblad!$P$7))))</f>
        <v>0</v>
      </c>
      <c r="F94" s="584" t="str">
        <f>IF($S$16=1,"NT","MT")</f>
        <v>MT</v>
      </c>
      <c r="G94" s="731" t="s">
        <v>140</v>
      </c>
      <c r="H94" s="565">
        <v>0</v>
      </c>
      <c r="I94" s="811" t="s">
        <v>251</v>
      </c>
      <c r="J94" s="811"/>
      <c r="K94" s="585">
        <v>0</v>
      </c>
      <c r="L94" s="819" t="str">
        <f>IF(AND(S$16=1,S$17=2),"",IF(S$16=2,"",IF(K94=0,"",H94/(K94/1000))))</f>
        <v/>
      </c>
      <c r="M94" s="819"/>
      <c r="N94" s="816" t="s">
        <v>268</v>
      </c>
      <c r="O94" s="816"/>
      <c r="P94" s="586" t="str">
        <f>IF(K94=0,"-",INDEX('data roosters'!F:J,MATCH(N94,'data roosters'!F:F,0),2)*(K94/1000))</f>
        <v>-</v>
      </c>
      <c r="Q94" s="729" t="str">
        <f t="shared" si="16"/>
        <v>verbergen</v>
      </c>
      <c r="R94" s="603"/>
      <c r="S94" s="602"/>
      <c r="T94" s="392"/>
      <c r="U94" s="392"/>
      <c r="V94" s="547">
        <f t="shared" si="17"/>
        <v>2</v>
      </c>
      <c r="W94" s="392"/>
      <c r="X94" s="392"/>
      <c r="Y94" s="392"/>
      <c r="Z94" s="392"/>
      <c r="AA94" s="404"/>
      <c r="AB94" s="516"/>
      <c r="AC94" s="516"/>
      <c r="AD94" s="516"/>
      <c r="AE94" s="516"/>
      <c r="AF94" s="515" t="str">
        <f>IF(E94&gt;0,"x","")</f>
        <v/>
      </c>
      <c r="AG94" s="516"/>
      <c r="AH94" s="516"/>
    </row>
    <row r="95" spans="1:38" s="541" customFormat="1" ht="12" hidden="1" customHeight="1">
      <c r="A95" s="404"/>
      <c r="B95" s="543"/>
      <c r="C95" s="464" t="s">
        <v>252</v>
      </c>
      <c r="D95" s="737">
        <f>IF(F95="intern","",SUMPRODUCT(($AE$1:$AE$28066)*($L$1:$L$28066=C95)))</f>
        <v>0</v>
      </c>
      <c r="E95" s="604">
        <f>IF(F95="intern","",IF(D95=0,0,(IF(verzamelblad!$K$7*D95&gt;verzamelblad!$P$7,CEILING(verzamelblad!$K$7*D95,0.1),verzamelblad!$P$7))))</f>
        <v>0</v>
      </c>
      <c r="F95" s="605" t="str">
        <f>IF($S$16=1,"NT","MT")</f>
        <v>MT</v>
      </c>
      <c r="G95" s="606" t="s">
        <v>140</v>
      </c>
      <c r="H95" s="607">
        <v>0</v>
      </c>
      <c r="I95" s="812" t="s">
        <v>251</v>
      </c>
      <c r="J95" s="812"/>
      <c r="K95" s="608">
        <v>0</v>
      </c>
      <c r="L95" s="822" t="str">
        <f>IF(AND(S$16=1,S$17=2),"",IF(S$16=2,"",IF(K95=0,"",H95/(K95/1000))))</f>
        <v/>
      </c>
      <c r="M95" s="822"/>
      <c r="N95" s="823" t="s">
        <v>268</v>
      </c>
      <c r="O95" s="823"/>
      <c r="P95" s="609" t="str">
        <f>IF(K95=0,"-",INDEX('data roosters'!F:J,MATCH(N95,'data roosters'!F:F,0),2)*(K95/1000))</f>
        <v>-</v>
      </c>
      <c r="Q95" s="729" t="str">
        <f t="shared" si="16"/>
        <v>verbergen</v>
      </c>
      <c r="R95" s="603"/>
      <c r="S95" s="602"/>
      <c r="T95" s="392"/>
      <c r="U95" s="392"/>
      <c r="V95" s="547">
        <f t="shared" si="17"/>
        <v>2</v>
      </c>
      <c r="W95" s="392"/>
      <c r="X95" s="392"/>
      <c r="Y95" s="392"/>
      <c r="Z95" s="392"/>
      <c r="AA95" s="404"/>
      <c r="AB95" s="516"/>
      <c r="AC95" s="516"/>
      <c r="AD95" s="516"/>
      <c r="AE95" s="516"/>
      <c r="AF95" s="515" t="str">
        <f>IF(E95&gt;0,"x","")</f>
        <v/>
      </c>
      <c r="AG95" s="516"/>
      <c r="AH95" s="516"/>
    </row>
    <row r="96" spans="1:38" s="541" customFormat="1" ht="12" customHeight="1">
      <c r="A96" s="404"/>
      <c r="B96" s="556">
        <f>B89+1</f>
        <v>2</v>
      </c>
      <c r="C96" s="480">
        <f>B96</f>
        <v>2</v>
      </c>
      <c r="D96" s="481">
        <f>SUMPRODUCT(($AD$1:$AD$50108)*($AC$1:$AC$50108=B96))</f>
        <v>22.4</v>
      </c>
      <c r="E96" s="591">
        <f>IF(D96=0,0,(IF(verzamelblad!$E$7*D96&gt;verzamelblad!$J$7,CEILING(verzamelblad!$E$7*D96,0.1),verzamelblad!$J$7)))</f>
        <v>20.200000000000003</v>
      </c>
      <c r="F96" s="824" t="str">
        <f>IF(SUM(H91:H95)&lt;E96,"voldoet niet op VG-niveau","totaal: "&amp;SUM(H91:H95) &amp; " dm³/s ")</f>
        <v xml:space="preserve">totaal: 21 dm³/s </v>
      </c>
      <c r="G96" s="824"/>
      <c r="H96" s="824"/>
      <c r="I96" s="592"/>
      <c r="J96" s="593"/>
      <c r="K96" s="594"/>
      <c r="L96" s="595"/>
      <c r="M96" s="821"/>
      <c r="N96" s="821"/>
      <c r="O96" s="596"/>
      <c r="P96" s="597"/>
      <c r="Q96" s="403"/>
      <c r="R96" s="603"/>
      <c r="S96" s="602"/>
      <c r="T96" s="392"/>
      <c r="U96" s="392"/>
      <c r="V96" s="547">
        <f t="shared" si="17"/>
        <v>2</v>
      </c>
      <c r="W96" s="392"/>
      <c r="X96" s="392"/>
      <c r="Y96" s="392"/>
      <c r="Z96" s="392"/>
      <c r="AA96" s="404"/>
      <c r="AB96" s="516"/>
      <c r="AC96" s="516"/>
      <c r="AD96" s="516"/>
      <c r="AE96" s="516"/>
      <c r="AF96" s="515" t="str">
        <f>IF(B96&gt;0,"ja")</f>
        <v>ja</v>
      </c>
      <c r="AG96" s="516"/>
      <c r="AH96" s="516"/>
    </row>
    <row r="97" spans="1:34" s="541" customFormat="1" ht="12" customHeight="1">
      <c r="A97" s="543"/>
      <c r="B97" s="543"/>
      <c r="C97" s="598"/>
      <c r="D97" s="422"/>
      <c r="E97" s="422"/>
      <c r="F97" s="422"/>
      <c r="G97" s="422"/>
      <c r="H97" s="599"/>
      <c r="I97" s="599"/>
      <c r="J97" s="530"/>
      <c r="K97" s="600"/>
      <c r="L97" s="600"/>
      <c r="M97" s="600"/>
      <c r="N97" s="600"/>
      <c r="O97" s="600"/>
      <c r="P97" s="600"/>
      <c r="Q97" s="403"/>
      <c r="R97" s="603"/>
      <c r="S97" s="602"/>
      <c r="T97" s="392"/>
      <c r="U97" s="392"/>
      <c r="V97" s="547">
        <f t="shared" si="17"/>
        <v>2</v>
      </c>
      <c r="W97" s="392"/>
      <c r="X97" s="392"/>
      <c r="Y97" s="392"/>
      <c r="Z97" s="392"/>
      <c r="AA97" s="404"/>
      <c r="AB97" s="516"/>
      <c r="AC97" s="516"/>
      <c r="AD97" s="516"/>
      <c r="AE97" s="516"/>
      <c r="AF97" s="516"/>
      <c r="AG97" s="516"/>
      <c r="AH97" s="516"/>
    </row>
    <row r="98" spans="1:34" s="541" customFormat="1" ht="12" customHeight="1">
      <c r="A98" s="404"/>
      <c r="B98" s="543"/>
      <c r="C98" s="464" t="str">
        <f>L31</f>
        <v>slaapkamer 1</v>
      </c>
      <c r="D98" s="733">
        <f>IF(F98="intern","",SUMPRODUCT(($AE$1:$AE$28050)*($L$1:$L$28050=C98)))</f>
        <v>7.57</v>
      </c>
      <c r="E98" s="566">
        <f>IF(F98="intern","",IF(D98=0,0,(IF(verzamelblad!$K$7*D98&gt;verzamelblad!$P$7,CEILING(verzamelblad!$K$7*D98,0.1),verzamelblad!$P$7))))</f>
        <v>7</v>
      </c>
      <c r="F98" s="584" t="str">
        <f>IF($S$16=1,"NT","MT")</f>
        <v>MT</v>
      </c>
      <c r="G98" s="731" t="s">
        <v>140</v>
      </c>
      <c r="H98" s="565">
        <v>14</v>
      </c>
      <c r="I98" s="811" t="s">
        <v>251</v>
      </c>
      <c r="J98" s="811"/>
      <c r="K98" s="585">
        <v>0</v>
      </c>
      <c r="L98" s="819" t="str">
        <f>IF(AND(S$16=1,S$17=2),"",IF(S$16=2,"",IF(K98=0,"",H98/(K98/1000))))</f>
        <v/>
      </c>
      <c r="M98" s="819"/>
      <c r="N98" s="816" t="s">
        <v>268</v>
      </c>
      <c r="O98" s="816"/>
      <c r="P98" s="586" t="str">
        <f>IF(K98=0,"-",INDEX('data roosters'!F:J,MATCH(N98,'data roosters'!F:F,0),2)*(K98/1000))</f>
        <v>-</v>
      </c>
      <c r="Q98" s="729" t="str">
        <f>IF(AND($S$16=1,$S$17=2),IF(OR(E98&lt;&gt;0,H98&lt;&gt;0,P98&lt;&gt;"-"),"","verbergen"),IF(OR(E98&lt;&gt;0,H98&lt;&gt;0),"","verbergen"))</f>
        <v/>
      </c>
      <c r="R98" s="601"/>
      <c r="S98" s="602"/>
      <c r="T98" s="392"/>
      <c r="U98" s="392"/>
      <c r="V98" s="547">
        <f>V97+1</f>
        <v>3</v>
      </c>
      <c r="W98" s="392"/>
      <c r="X98" s="392"/>
      <c r="Y98" s="392"/>
      <c r="Z98" s="392"/>
      <c r="AA98" s="404"/>
      <c r="AB98" s="516"/>
      <c r="AC98" s="516"/>
      <c r="AD98" s="516"/>
      <c r="AE98" s="516"/>
      <c r="AF98" s="515" t="str">
        <f>IF(E98&gt;0,"x","")</f>
        <v>x</v>
      </c>
      <c r="AG98" s="516"/>
      <c r="AH98" s="516"/>
    </row>
    <row r="99" spans="1:34" s="541" customFormat="1" ht="12" customHeight="1">
      <c r="A99" s="404"/>
      <c r="B99" s="543"/>
      <c r="C99" s="464" t="str">
        <f t="shared" ref="C99:C100" si="18">L32</f>
        <v>slaapkamer 2</v>
      </c>
      <c r="D99" s="733">
        <f>IF(F99="intern","",SUMPRODUCT(($AE$1:$AE$28050)*($L$1:$L$28050=C99)))</f>
        <v>7.47</v>
      </c>
      <c r="E99" s="566">
        <f>IF(F99="intern","",IF(D99=0,0,(IF(verzamelblad!$K$7*D99&gt;verzamelblad!$P$7,CEILING(verzamelblad!$K$7*D99,0.1),verzamelblad!$P$7))))</f>
        <v>7</v>
      </c>
      <c r="F99" s="584" t="str">
        <f>IF($S$16=1,"NT","MT")</f>
        <v>MT</v>
      </c>
      <c r="G99" s="731" t="s">
        <v>140</v>
      </c>
      <c r="H99" s="565">
        <v>14</v>
      </c>
      <c r="I99" s="811" t="s">
        <v>251</v>
      </c>
      <c r="J99" s="811"/>
      <c r="K99" s="585">
        <v>0</v>
      </c>
      <c r="L99" s="819" t="str">
        <f>IF(AND(S$16=1,S$17=2),"",IF(S$16=2,"",IF(K99=0,"",H99/(K99/1000))))</f>
        <v/>
      </c>
      <c r="M99" s="819"/>
      <c r="N99" s="816" t="s">
        <v>268</v>
      </c>
      <c r="O99" s="816"/>
      <c r="P99" s="586" t="str">
        <f>IF(K99=0,"-",INDEX('data roosters'!F:J,MATCH(N99,'data roosters'!F:F,0),2)*(K99/1000))</f>
        <v>-</v>
      </c>
      <c r="Q99" s="729" t="str">
        <f t="shared" ref="Q99:Q102" si="19">IF(AND($S$16=1,$S$17=2),IF(OR(E99&lt;&gt;0,H99&lt;&gt;0,P99&lt;&gt;"-"),"","verbergen"),IF(OR(E99&lt;&gt;0,H99&lt;&gt;0),"","verbergen"))</f>
        <v/>
      </c>
      <c r="R99" s="418"/>
      <c r="S99" s="602"/>
      <c r="T99" s="392"/>
      <c r="U99" s="392"/>
      <c r="V99" s="547">
        <f t="shared" ref="V99:V104" si="20">V98</f>
        <v>3</v>
      </c>
      <c r="W99" s="392"/>
      <c r="X99" s="392"/>
      <c r="Y99" s="392"/>
      <c r="Z99" s="392"/>
      <c r="AA99" s="404"/>
      <c r="AB99" s="516"/>
      <c r="AC99" s="516"/>
      <c r="AD99" s="516"/>
      <c r="AE99" s="516"/>
      <c r="AF99" s="515" t="str">
        <f>IF(E99&gt;0,"x","")</f>
        <v>x</v>
      </c>
      <c r="AG99" s="516"/>
      <c r="AH99" s="516"/>
    </row>
    <row r="100" spans="1:34" s="541" customFormat="1" ht="12" customHeight="1">
      <c r="A100" s="404"/>
      <c r="B100" s="543"/>
      <c r="C100" s="464" t="str">
        <f t="shared" si="18"/>
        <v>studeerkamer</v>
      </c>
      <c r="D100" s="733">
        <f>IF(F100="intern","",SUMPRODUCT(($AE$1:$AE$28050)*($L$1:$L$28050=C100)))</f>
        <v>3.33</v>
      </c>
      <c r="E100" s="566">
        <f>IF(F100="intern","",IF(D100=0,0,(IF(verzamelblad!$K$7*D100&gt;verzamelblad!$P$7,CEILING(verzamelblad!$K$7*D100,0.1),verzamelblad!$P$7))))</f>
        <v>7</v>
      </c>
      <c r="F100" s="584" t="str">
        <f>IF($S$16=1,"NT","MT")</f>
        <v>MT</v>
      </c>
      <c r="G100" s="731" t="s">
        <v>140</v>
      </c>
      <c r="H100" s="565">
        <v>14</v>
      </c>
      <c r="I100" s="811" t="s">
        <v>251</v>
      </c>
      <c r="J100" s="811"/>
      <c r="K100" s="585">
        <v>0</v>
      </c>
      <c r="L100" s="819" t="str">
        <f>IF(AND(S$16=1,S$17=2),"",IF(S$16=2,"",IF(K100=0,"",H100/(K100/1000))))</f>
        <v/>
      </c>
      <c r="M100" s="819"/>
      <c r="N100" s="816" t="s">
        <v>268</v>
      </c>
      <c r="O100" s="816"/>
      <c r="P100" s="586" t="str">
        <f>IF(K100=0,"-",INDEX('data roosters'!F:J,MATCH(N100,'data roosters'!F:F,0),2)*(K100/1000))</f>
        <v>-</v>
      </c>
      <c r="Q100" s="729" t="str">
        <f t="shared" si="19"/>
        <v/>
      </c>
      <c r="R100" s="603"/>
      <c r="S100" s="602"/>
      <c r="T100" s="392"/>
      <c r="U100" s="392"/>
      <c r="V100" s="547">
        <f t="shared" si="20"/>
        <v>3</v>
      </c>
      <c r="W100" s="392"/>
      <c r="X100" s="392"/>
      <c r="Y100" s="392"/>
      <c r="Z100" s="392"/>
      <c r="AA100" s="404"/>
      <c r="AB100" s="516"/>
      <c r="AC100" s="516"/>
      <c r="AD100" s="516"/>
      <c r="AE100" s="516"/>
      <c r="AF100" s="515" t="str">
        <f>IF(E100&gt;0,"x","")</f>
        <v>x</v>
      </c>
      <c r="AG100" s="516"/>
      <c r="AH100" s="516"/>
    </row>
    <row r="101" spans="1:34" s="541" customFormat="1" ht="12" hidden="1" customHeight="1">
      <c r="A101" s="404"/>
      <c r="B101" s="543"/>
      <c r="C101" s="464" t="s">
        <v>252</v>
      </c>
      <c r="D101" s="733">
        <f>IF(F101="intern","",SUMPRODUCT(($AE$1:$AE$28050)*($L$1:$L$28050=C101)))</f>
        <v>0</v>
      </c>
      <c r="E101" s="566">
        <f>IF(F101="intern","",IF(D101=0,0,(IF(verzamelblad!$K$7*D101&gt;verzamelblad!$P$7,CEILING(verzamelblad!$K$7*D101,0.1),verzamelblad!$P$7))))</f>
        <v>0</v>
      </c>
      <c r="F101" s="584" t="str">
        <f>IF($S$16=1,"NT","MT")</f>
        <v>MT</v>
      </c>
      <c r="G101" s="731" t="s">
        <v>140</v>
      </c>
      <c r="H101" s="565">
        <v>0</v>
      </c>
      <c r="I101" s="811" t="s">
        <v>251</v>
      </c>
      <c r="J101" s="811"/>
      <c r="K101" s="585">
        <v>0</v>
      </c>
      <c r="L101" s="819" t="str">
        <f>IF(AND(S$16=1,S$17=2),"",IF(S$16=2,"",IF(K101=0,"",H101/(K101/1000))))</f>
        <v/>
      </c>
      <c r="M101" s="819"/>
      <c r="N101" s="816" t="s">
        <v>268</v>
      </c>
      <c r="O101" s="816"/>
      <c r="P101" s="586" t="str">
        <f>IF(K101=0,"-",INDEX('data roosters'!F:J,MATCH(N101,'data roosters'!F:F,0),2)*(K101/1000))</f>
        <v>-</v>
      </c>
      <c r="Q101" s="729" t="str">
        <f t="shared" si="19"/>
        <v>verbergen</v>
      </c>
      <c r="R101" s="603"/>
      <c r="S101" s="602"/>
      <c r="T101" s="392"/>
      <c r="U101" s="392"/>
      <c r="V101" s="547">
        <f t="shared" si="20"/>
        <v>3</v>
      </c>
      <c r="W101" s="392"/>
      <c r="X101" s="392"/>
      <c r="Y101" s="392"/>
      <c r="Z101" s="392"/>
      <c r="AA101" s="404"/>
      <c r="AB101" s="516"/>
      <c r="AC101" s="516"/>
      <c r="AD101" s="516"/>
      <c r="AE101" s="516"/>
      <c r="AF101" s="515" t="str">
        <f>IF(E101&gt;0,"x","")</f>
        <v/>
      </c>
      <c r="AG101" s="516"/>
      <c r="AH101" s="516"/>
    </row>
    <row r="102" spans="1:34" s="541" customFormat="1" ht="12" hidden="1" customHeight="1">
      <c r="A102" s="404"/>
      <c r="B102" s="543"/>
      <c r="C102" s="472" t="s">
        <v>252</v>
      </c>
      <c r="D102" s="737">
        <f>IF(F102="intern","",SUMPRODUCT(($AE$1:$AE$28050)*($L$1:$L$28050=C102)))</f>
        <v>0</v>
      </c>
      <c r="E102" s="604">
        <f>IF(F102="intern","",IF(D102=0,0,(IF(verzamelblad!$K$7*D102&gt;verzamelblad!$P$7,CEILING(verzamelblad!$K$7*D102,0.1),verzamelblad!$P$7))))</f>
        <v>0</v>
      </c>
      <c r="F102" s="605" t="str">
        <f>IF($S$16=1,"NT","MT")</f>
        <v>MT</v>
      </c>
      <c r="G102" s="606" t="s">
        <v>140</v>
      </c>
      <c r="H102" s="607">
        <v>0</v>
      </c>
      <c r="I102" s="812" t="s">
        <v>251</v>
      </c>
      <c r="J102" s="812"/>
      <c r="K102" s="608">
        <v>0</v>
      </c>
      <c r="L102" s="822" t="str">
        <f>IF(AND(S$16=1,S$17=2),"",IF(S$16=2,"",IF(K102=0,"",H102/(K102/1000))))</f>
        <v/>
      </c>
      <c r="M102" s="822"/>
      <c r="N102" s="823" t="s">
        <v>268</v>
      </c>
      <c r="O102" s="823"/>
      <c r="P102" s="609" t="str">
        <f>IF(K102=0,"-",INDEX('data roosters'!F:J,MATCH(N102,'data roosters'!F:F,0),2)*(K102/1000))</f>
        <v>-</v>
      </c>
      <c r="Q102" s="729" t="str">
        <f t="shared" si="19"/>
        <v>verbergen</v>
      </c>
      <c r="R102" s="603"/>
      <c r="S102" s="602"/>
      <c r="T102" s="392"/>
      <c r="U102" s="392"/>
      <c r="V102" s="547">
        <f t="shared" si="20"/>
        <v>3</v>
      </c>
      <c r="W102" s="392"/>
      <c r="X102" s="392"/>
      <c r="Y102" s="392"/>
      <c r="Z102" s="392"/>
      <c r="AA102" s="404"/>
      <c r="AB102" s="516"/>
      <c r="AC102" s="516"/>
      <c r="AD102" s="516"/>
      <c r="AE102" s="516"/>
      <c r="AF102" s="515" t="str">
        <f>IF(E102&gt;0,"x","")</f>
        <v/>
      </c>
      <c r="AG102" s="516"/>
      <c r="AH102" s="516"/>
    </row>
    <row r="103" spans="1:34" s="541" customFormat="1" ht="12" customHeight="1">
      <c r="A103" s="404"/>
      <c r="B103" s="556">
        <f>B96+1</f>
        <v>3</v>
      </c>
      <c r="C103" s="480">
        <f>B103</f>
        <v>3</v>
      </c>
      <c r="D103" s="481">
        <f>SUMPRODUCT(($AD$1:$AD$50092)*($AC$1:$AC$50092=B103))</f>
        <v>18.899999999999999</v>
      </c>
      <c r="E103" s="591">
        <f>IF(D103=0,0,(IF(verzamelblad!$E$7*D103&gt;verzamelblad!$J$7,CEILING(verzamelblad!$E$7*D103,0.1),verzamelblad!$J$7)))</f>
        <v>17.100000000000001</v>
      </c>
      <c r="F103" s="824" t="str">
        <f>IF(SUM(H98:H102)&lt;E103,"voldoet niet op VG-niveau","totaal: "&amp;SUM(H98:H102) &amp; " dm³/s ")</f>
        <v xml:space="preserve">totaal: 42 dm³/s </v>
      </c>
      <c r="G103" s="824"/>
      <c r="H103" s="824"/>
      <c r="I103" s="592"/>
      <c r="J103" s="593"/>
      <c r="K103" s="594"/>
      <c r="L103" s="595"/>
      <c r="M103" s="821"/>
      <c r="N103" s="821"/>
      <c r="O103" s="596"/>
      <c r="P103" s="597"/>
      <c r="Q103" s="403"/>
      <c r="R103" s="603"/>
      <c r="S103" s="602"/>
      <c r="T103" s="392"/>
      <c r="U103" s="392"/>
      <c r="V103" s="547">
        <f t="shared" si="20"/>
        <v>3</v>
      </c>
      <c r="W103" s="392"/>
      <c r="X103" s="392"/>
      <c r="Y103" s="392"/>
      <c r="Z103" s="392"/>
      <c r="AA103" s="404"/>
      <c r="AB103" s="516"/>
      <c r="AC103" s="516"/>
      <c r="AD103" s="516"/>
      <c r="AE103" s="516"/>
      <c r="AF103" s="515" t="str">
        <f>IF(B103&gt;0,"ja")</f>
        <v>ja</v>
      </c>
      <c r="AG103" s="516"/>
      <c r="AH103" s="516"/>
    </row>
    <row r="104" spans="1:34" s="541" customFormat="1" ht="12" customHeight="1">
      <c r="A104" s="543"/>
      <c r="B104" s="543"/>
      <c r="C104" s="598"/>
      <c r="D104" s="422"/>
      <c r="E104" s="422"/>
      <c r="F104" s="422"/>
      <c r="G104" s="422"/>
      <c r="H104" s="599"/>
      <c r="I104" s="599"/>
      <c r="J104" s="530"/>
      <c r="K104" s="600"/>
      <c r="L104" s="600"/>
      <c r="M104" s="600"/>
      <c r="N104" s="600"/>
      <c r="O104" s="600"/>
      <c r="P104" s="600"/>
      <c r="Q104" s="403"/>
      <c r="R104" s="603"/>
      <c r="S104" s="602"/>
      <c r="T104" s="392"/>
      <c r="U104" s="392"/>
      <c r="V104" s="547">
        <f t="shared" si="20"/>
        <v>3</v>
      </c>
      <c r="W104" s="392"/>
      <c r="X104" s="392"/>
      <c r="Y104" s="392"/>
      <c r="Z104" s="392"/>
      <c r="AA104" s="404"/>
      <c r="AB104" s="516"/>
      <c r="AC104" s="516"/>
      <c r="AD104" s="516"/>
      <c r="AE104" s="516"/>
      <c r="AF104" s="516"/>
      <c r="AG104" s="516"/>
      <c r="AH104" s="516"/>
    </row>
    <row r="105" spans="1:34" s="541" customFormat="1" ht="12" customHeight="1">
      <c r="A105" s="404"/>
      <c r="B105" s="543"/>
      <c r="C105" s="464" t="str">
        <f>L34</f>
        <v>slaapkamer 3</v>
      </c>
      <c r="D105" s="733">
        <f>IF(F105="intern","",SUMPRODUCT(($AE$1:$AE$28022)*($L$1:$L$28022=C105)))</f>
        <v>6</v>
      </c>
      <c r="E105" s="566">
        <f>IF(F105="intern","",IF(D105=0,0,(IF(verzamelblad!$K$7*D105&gt;verzamelblad!$P$7,CEILING(verzamelblad!$K$7*D105,0.1),verzamelblad!$P$7))))</f>
        <v>7</v>
      </c>
      <c r="F105" s="584" t="str">
        <f>IF($S$16=1,"NT","MT")</f>
        <v>MT</v>
      </c>
      <c r="G105" s="731" t="s">
        <v>140</v>
      </c>
      <c r="H105" s="565">
        <v>14</v>
      </c>
      <c r="I105" s="811" t="s">
        <v>251</v>
      </c>
      <c r="J105" s="811"/>
      <c r="K105" s="585">
        <v>0</v>
      </c>
      <c r="L105" s="819" t="str">
        <f>IF(AND(S$16=1,S$17=2),"",IF(S$16=2,"",IF(K105=0,"",H105/(K105/1000))))</f>
        <v/>
      </c>
      <c r="M105" s="819"/>
      <c r="N105" s="816" t="s">
        <v>268</v>
      </c>
      <c r="O105" s="816"/>
      <c r="P105" s="586" t="str">
        <f>IF(K105=0,"-",INDEX('data roosters'!F:J,MATCH(N105,'data roosters'!F:F,0),2)*(K105/1000))</f>
        <v>-</v>
      </c>
      <c r="Q105" s="729" t="str">
        <f>IF(AND($S$16=1,$S$17=2),IF(OR(E105&lt;&gt;0,H105&lt;&gt;0,P105&lt;&gt;"-"),"","verbergen"),IF(OR(E105&lt;&gt;0,H105&lt;&gt;0),"","verbergen"))</f>
        <v/>
      </c>
      <c r="R105" s="601"/>
      <c r="S105" s="602"/>
      <c r="T105" s="392"/>
      <c r="U105" s="392"/>
      <c r="V105" s="547">
        <f>V104+1</f>
        <v>4</v>
      </c>
      <c r="W105" s="392"/>
      <c r="X105" s="392"/>
      <c r="Y105" s="392"/>
      <c r="Z105" s="392"/>
      <c r="AA105" s="404"/>
      <c r="AB105" s="516"/>
      <c r="AC105" s="516"/>
      <c r="AD105" s="516"/>
      <c r="AE105" s="516"/>
      <c r="AF105" s="515" t="str">
        <f>IF(E105&gt;0,"x","")</f>
        <v>x</v>
      </c>
      <c r="AG105" s="516"/>
      <c r="AH105" s="516"/>
    </row>
    <row r="106" spans="1:34" s="541" customFormat="1" ht="12" hidden="1" customHeight="1">
      <c r="A106" s="404"/>
      <c r="B106" s="543"/>
      <c r="C106" s="464" t="s">
        <v>252</v>
      </c>
      <c r="D106" s="733">
        <f>IF(F106="intern","",SUMPRODUCT(($AE$1:$AE$28022)*($L$1:$L$28022=C106)))</f>
        <v>0</v>
      </c>
      <c r="E106" s="566">
        <f>IF(F106="intern","",IF(D106=0,0,(IF(verzamelblad!$K$7*D106&gt;verzamelblad!$P$7,CEILING(verzamelblad!$K$7*D106,0.1),verzamelblad!$P$7))))</f>
        <v>0</v>
      </c>
      <c r="F106" s="584" t="str">
        <f>IF($S$16=1,"NT","MT")</f>
        <v>MT</v>
      </c>
      <c r="G106" s="731" t="s">
        <v>140</v>
      </c>
      <c r="H106" s="565">
        <v>0</v>
      </c>
      <c r="I106" s="811" t="s">
        <v>251</v>
      </c>
      <c r="J106" s="811"/>
      <c r="K106" s="585">
        <v>0</v>
      </c>
      <c r="L106" s="819" t="str">
        <f>IF(AND(S$16=1,S$17=2),"",IF(S$16=2,"",IF(K106=0,"",H106/(K106/1000))))</f>
        <v/>
      </c>
      <c r="M106" s="819"/>
      <c r="N106" s="816" t="s">
        <v>268</v>
      </c>
      <c r="O106" s="816"/>
      <c r="P106" s="586" t="str">
        <f>IF(K106=0,"-",INDEX('data roosters'!F:J,MATCH(N106,'data roosters'!F:F,0),2)*(K106/1000))</f>
        <v>-</v>
      </c>
      <c r="Q106" s="729" t="str">
        <f t="shared" ref="Q106:Q109" si="21">IF(AND($S$16=1,$S$17=2),IF(OR(E106&lt;&gt;0,H106&lt;&gt;0,P106&lt;&gt;"-"),"","verbergen"),IF(OR(E106&lt;&gt;0,H106&lt;&gt;0),"","verbergen"))</f>
        <v>verbergen</v>
      </c>
      <c r="R106" s="418"/>
      <c r="S106" s="602"/>
      <c r="T106" s="392"/>
      <c r="U106" s="392"/>
      <c r="V106" s="547">
        <f t="shared" ref="V106:V111" si="22">V105</f>
        <v>4</v>
      </c>
      <c r="W106" s="392"/>
      <c r="X106" s="392"/>
      <c r="Y106" s="392"/>
      <c r="Z106" s="392"/>
      <c r="AA106" s="404"/>
      <c r="AB106" s="516"/>
      <c r="AC106" s="516"/>
      <c r="AD106" s="516"/>
      <c r="AE106" s="516"/>
      <c r="AF106" s="515" t="str">
        <f>IF(E106&gt;0,"x","")</f>
        <v/>
      </c>
      <c r="AG106" s="516"/>
      <c r="AH106" s="516"/>
    </row>
    <row r="107" spans="1:34" s="541" customFormat="1" ht="12" hidden="1" customHeight="1">
      <c r="A107" s="404"/>
      <c r="B107" s="543"/>
      <c r="C107" s="464" t="s">
        <v>252</v>
      </c>
      <c r="D107" s="733">
        <f>IF(F107="intern","",SUMPRODUCT(($AE$1:$AE$28022)*($L$1:$L$28022=C107)))</f>
        <v>0</v>
      </c>
      <c r="E107" s="566">
        <f>IF(F107="intern","",IF(D107=0,0,(IF(verzamelblad!$K$7*D107&gt;verzamelblad!$P$7,CEILING(verzamelblad!$K$7*D107,0.1),verzamelblad!$P$7))))</f>
        <v>0</v>
      </c>
      <c r="F107" s="584" t="str">
        <f>IF($S$16=1,"NT","MT")</f>
        <v>MT</v>
      </c>
      <c r="G107" s="731" t="s">
        <v>140</v>
      </c>
      <c r="H107" s="565">
        <v>0</v>
      </c>
      <c r="I107" s="811" t="s">
        <v>251</v>
      </c>
      <c r="J107" s="811"/>
      <c r="K107" s="585">
        <v>0</v>
      </c>
      <c r="L107" s="819" t="str">
        <f>IF(AND(S$16=1,S$17=2),"",IF(S$16=2,"",IF(K107=0,"",H107/(K107/1000))))</f>
        <v/>
      </c>
      <c r="M107" s="819"/>
      <c r="N107" s="816" t="s">
        <v>268</v>
      </c>
      <c r="O107" s="816"/>
      <c r="P107" s="586" t="str">
        <f>IF(K107=0,"-",INDEX('data roosters'!F:J,MATCH(N107,'data roosters'!F:F,0),2)*(K107/1000))</f>
        <v>-</v>
      </c>
      <c r="Q107" s="729" t="str">
        <f t="shared" si="21"/>
        <v>verbergen</v>
      </c>
      <c r="R107" s="603"/>
      <c r="S107" s="602"/>
      <c r="T107" s="392"/>
      <c r="U107" s="392"/>
      <c r="V107" s="547">
        <f t="shared" si="22"/>
        <v>4</v>
      </c>
      <c r="W107" s="392"/>
      <c r="X107" s="392"/>
      <c r="Y107" s="392"/>
      <c r="Z107" s="392"/>
      <c r="AA107" s="404"/>
      <c r="AB107" s="516"/>
      <c r="AC107" s="516"/>
      <c r="AD107" s="516"/>
      <c r="AE107" s="516"/>
      <c r="AF107" s="515" t="str">
        <f>IF(E107&gt;0,"x","")</f>
        <v/>
      </c>
      <c r="AG107" s="516"/>
      <c r="AH107" s="516"/>
    </row>
    <row r="108" spans="1:34" s="541" customFormat="1" ht="12" hidden="1" customHeight="1">
      <c r="A108" s="404"/>
      <c r="B108" s="543"/>
      <c r="C108" s="464" t="s">
        <v>252</v>
      </c>
      <c r="D108" s="733">
        <f>IF(F108="intern","",SUMPRODUCT(($AE$1:$AE$28022)*($L$1:$L$28022=C108)))</f>
        <v>0</v>
      </c>
      <c r="E108" s="566">
        <f>IF(F108="intern","",IF(D108=0,0,(IF(verzamelblad!$K$7*D108&gt;verzamelblad!$P$7,CEILING(verzamelblad!$K$7*D108,0.1),verzamelblad!$P$7))))</f>
        <v>0</v>
      </c>
      <c r="F108" s="584" t="str">
        <f>IF($S$16=1,"NT","MT")</f>
        <v>MT</v>
      </c>
      <c r="G108" s="731" t="s">
        <v>140</v>
      </c>
      <c r="H108" s="565">
        <v>0</v>
      </c>
      <c r="I108" s="811" t="s">
        <v>251</v>
      </c>
      <c r="J108" s="811"/>
      <c r="K108" s="585">
        <v>0</v>
      </c>
      <c r="L108" s="819" t="str">
        <f>IF(AND(S$16=1,S$17=2),"",IF(S$16=2,"",IF(K108=0,"",H108/(K108/1000))))</f>
        <v/>
      </c>
      <c r="M108" s="819"/>
      <c r="N108" s="816" t="s">
        <v>268</v>
      </c>
      <c r="O108" s="816"/>
      <c r="P108" s="586" t="str">
        <f>IF(K108=0,"-",INDEX('data roosters'!F:J,MATCH(N108,'data roosters'!F:F,0),2)*(K108/1000))</f>
        <v>-</v>
      </c>
      <c r="Q108" s="729" t="str">
        <f t="shared" si="21"/>
        <v>verbergen</v>
      </c>
      <c r="R108" s="603"/>
      <c r="S108" s="602"/>
      <c r="T108" s="392"/>
      <c r="U108" s="392"/>
      <c r="V108" s="547">
        <f t="shared" si="22"/>
        <v>4</v>
      </c>
      <c r="W108" s="392"/>
      <c r="X108" s="392"/>
      <c r="Y108" s="392"/>
      <c r="Z108" s="392"/>
      <c r="AA108" s="404"/>
      <c r="AB108" s="516"/>
      <c r="AC108" s="516"/>
      <c r="AD108" s="516"/>
      <c r="AE108" s="516"/>
      <c r="AF108" s="515" t="str">
        <f>IF(E108&gt;0,"x","")</f>
        <v/>
      </c>
      <c r="AG108" s="516"/>
      <c r="AH108" s="516"/>
    </row>
    <row r="109" spans="1:34" s="541" customFormat="1" ht="12" hidden="1" customHeight="1">
      <c r="A109" s="404"/>
      <c r="B109" s="543"/>
      <c r="C109" s="472" t="s">
        <v>252</v>
      </c>
      <c r="D109" s="737">
        <f>IF(F109="intern","",SUMPRODUCT(($AE$1:$AE$28022)*($L$1:$L$28022=C109)))</f>
        <v>0</v>
      </c>
      <c r="E109" s="604">
        <f>IF(F109="intern","",IF(D109=0,0,(IF(verzamelblad!$K$7*D109&gt;verzamelblad!$P$7,CEILING(verzamelblad!$K$7*D109,0.1),verzamelblad!$P$7))))</f>
        <v>0</v>
      </c>
      <c r="F109" s="605" t="str">
        <f>IF($S$16=1,"NT","MT")</f>
        <v>MT</v>
      </c>
      <c r="G109" s="606" t="s">
        <v>140</v>
      </c>
      <c r="H109" s="607">
        <v>0</v>
      </c>
      <c r="I109" s="812" t="s">
        <v>251</v>
      </c>
      <c r="J109" s="812"/>
      <c r="K109" s="608">
        <v>0</v>
      </c>
      <c r="L109" s="822" t="str">
        <f>IF(AND(S$16=1,S$17=2),"",IF(S$16=2,"",IF(K109=0,"",H109/(K109/1000))))</f>
        <v/>
      </c>
      <c r="M109" s="822"/>
      <c r="N109" s="823" t="s">
        <v>268</v>
      </c>
      <c r="O109" s="823"/>
      <c r="P109" s="609" t="str">
        <f>IF(K109=0,"-",INDEX('data roosters'!F:J,MATCH(N109,'data roosters'!F:F,0),2)*(K109/1000))</f>
        <v>-</v>
      </c>
      <c r="Q109" s="729" t="str">
        <f t="shared" si="21"/>
        <v>verbergen</v>
      </c>
      <c r="R109" s="603"/>
      <c r="S109" s="602"/>
      <c r="T109" s="392"/>
      <c r="U109" s="392"/>
      <c r="V109" s="547">
        <f t="shared" si="22"/>
        <v>4</v>
      </c>
      <c r="W109" s="392"/>
      <c r="X109" s="392"/>
      <c r="Y109" s="392"/>
      <c r="Z109" s="392"/>
      <c r="AA109" s="404"/>
      <c r="AB109" s="516"/>
      <c r="AC109" s="516"/>
      <c r="AD109" s="516"/>
      <c r="AE109" s="516"/>
      <c r="AF109" s="515" t="str">
        <f>IF(E109&gt;0,"x","")</f>
        <v/>
      </c>
      <c r="AG109" s="516"/>
      <c r="AH109" s="516"/>
    </row>
    <row r="110" spans="1:34" s="541" customFormat="1" ht="12" customHeight="1">
      <c r="A110" s="404"/>
      <c r="B110" s="556">
        <f>B103+1</f>
        <v>4</v>
      </c>
      <c r="C110" s="480">
        <f>B110</f>
        <v>4</v>
      </c>
      <c r="D110" s="481">
        <f>SUMPRODUCT(($AD$1:$AD$50064)*($AC$1:$AC$50064=B110))</f>
        <v>6</v>
      </c>
      <c r="E110" s="591">
        <f>IF(D110=0,0,(IF(verzamelblad!$E$7*D110&gt;verzamelblad!$J$7,CEILING(verzamelblad!$E$7*D110,0.1),verzamelblad!$J$7)))</f>
        <v>7</v>
      </c>
      <c r="F110" s="824" t="str">
        <f>IF(SUM(H105:H109)&lt;E110,"voldoet niet op VG-niveau","totaal: "&amp;SUM(H105:H109) &amp; " dm³/s ")</f>
        <v xml:space="preserve">totaal: 14 dm³/s </v>
      </c>
      <c r="G110" s="824"/>
      <c r="H110" s="824"/>
      <c r="I110" s="592"/>
      <c r="J110" s="593"/>
      <c r="K110" s="594"/>
      <c r="L110" s="595"/>
      <c r="M110" s="821"/>
      <c r="N110" s="821"/>
      <c r="O110" s="596"/>
      <c r="P110" s="597"/>
      <c r="Q110" s="403"/>
      <c r="R110" s="603"/>
      <c r="S110" s="602"/>
      <c r="T110" s="392"/>
      <c r="U110" s="392"/>
      <c r="V110" s="547">
        <f t="shared" si="22"/>
        <v>4</v>
      </c>
      <c r="W110" s="392"/>
      <c r="X110" s="392"/>
      <c r="Y110" s="392"/>
      <c r="Z110" s="392"/>
      <c r="AA110" s="404"/>
      <c r="AB110" s="516"/>
      <c r="AC110" s="516"/>
      <c r="AD110" s="516"/>
      <c r="AE110" s="516"/>
      <c r="AF110" s="515" t="str">
        <f>IF(B110&gt;0,"ja")</f>
        <v>ja</v>
      </c>
      <c r="AG110" s="516"/>
      <c r="AH110" s="516"/>
    </row>
    <row r="111" spans="1:34" s="541" customFormat="1" ht="12" customHeight="1">
      <c r="A111" s="543"/>
      <c r="B111" s="543"/>
      <c r="C111" s="598"/>
      <c r="D111" s="422"/>
      <c r="E111" s="422"/>
      <c r="F111" s="422"/>
      <c r="G111" s="422"/>
      <c r="H111" s="599"/>
      <c r="I111" s="599"/>
      <c r="J111" s="530"/>
      <c r="K111" s="600"/>
      <c r="L111" s="600"/>
      <c r="M111" s="600"/>
      <c r="N111" s="600"/>
      <c r="O111" s="600"/>
      <c r="P111" s="600"/>
      <c r="Q111" s="403"/>
      <c r="R111" s="603"/>
      <c r="S111" s="602"/>
      <c r="T111" s="392"/>
      <c r="U111" s="392"/>
      <c r="V111" s="547">
        <f t="shared" si="22"/>
        <v>4</v>
      </c>
      <c r="W111" s="392"/>
      <c r="X111" s="392"/>
      <c r="Y111" s="392"/>
      <c r="Z111" s="392"/>
      <c r="AA111" s="404"/>
      <c r="AB111" s="516"/>
      <c r="AC111" s="516"/>
      <c r="AD111" s="516"/>
      <c r="AE111" s="516"/>
      <c r="AF111" s="516"/>
      <c r="AG111" s="516"/>
      <c r="AH111" s="516"/>
    </row>
    <row r="112" spans="1:34" s="541" customFormat="1" ht="12" customHeight="1">
      <c r="A112" s="515"/>
      <c r="B112" s="515"/>
      <c r="C112" s="610" t="s">
        <v>745</v>
      </c>
      <c r="D112" s="422"/>
      <c r="E112" s="611" t="str">
        <f>IF(SUM(H112:H116)=0,"n.v.t.","")</f>
        <v>n.v.t.</v>
      </c>
      <c r="F112" s="422"/>
      <c r="G112" s="422"/>
      <c r="H112" s="599"/>
      <c r="I112" s="599"/>
      <c r="J112" s="530"/>
      <c r="K112" s="600"/>
      <c r="L112" s="600"/>
      <c r="M112" s="600"/>
      <c r="N112" s="600"/>
      <c r="O112" s="600"/>
      <c r="P112" s="600"/>
      <c r="Q112" s="459"/>
      <c r="R112" s="589"/>
      <c r="S112" s="529"/>
      <c r="T112" s="516"/>
      <c r="U112" s="516"/>
      <c r="V112" s="507"/>
      <c r="W112" s="516"/>
      <c r="X112" s="516"/>
      <c r="Y112" s="516"/>
      <c r="Z112" s="516"/>
      <c r="AB112" s="516"/>
      <c r="AC112" s="516"/>
      <c r="AD112" s="516"/>
      <c r="AE112" s="516"/>
      <c r="AF112" s="516"/>
      <c r="AG112" s="516"/>
      <c r="AH112" s="516"/>
    </row>
    <row r="113" spans="1:34" s="541" customFormat="1" ht="12" hidden="1" customHeight="1">
      <c r="B113" s="515"/>
      <c r="C113" s="464" t="s">
        <v>140</v>
      </c>
      <c r="D113" s="733"/>
      <c r="E113" s="566"/>
      <c r="F113" s="584" t="str">
        <f>IF($S$16=1,"NT","MT")</f>
        <v>MT</v>
      </c>
      <c r="G113" s="731" t="s">
        <v>140</v>
      </c>
      <c r="H113" s="565">
        <v>0</v>
      </c>
      <c r="I113" s="811" t="s">
        <v>251</v>
      </c>
      <c r="J113" s="811"/>
      <c r="K113" s="585">
        <v>0</v>
      </c>
      <c r="L113" s="819" t="str">
        <f>IF(AND(S$16=1,S$17=2),"",IF(S$16=2,"",IF(K113=0,"",H113/(K113/1000))))</f>
        <v/>
      </c>
      <c r="M113" s="819"/>
      <c r="N113" s="816" t="s">
        <v>268</v>
      </c>
      <c r="O113" s="816"/>
      <c r="P113" s="586" t="str">
        <f>IF(K113=0,"-",INDEX('data roosters'!F:J,MATCH(N113,'data roosters'!F:F,0),2)*(K113/1000))</f>
        <v>-</v>
      </c>
      <c r="Q113" s="525" t="str">
        <f>IF(AND($S$16=1,$S$17=2),IF(OR(H113&lt;&gt;0,P113&lt;&gt;"-"),"","verbergen"),IF(H113&lt;&gt;0,"","verbergen"))</f>
        <v>verbergen</v>
      </c>
      <c r="R113" s="612"/>
      <c r="S113" s="529"/>
      <c r="T113" s="516"/>
      <c r="U113" s="516"/>
      <c r="V113" s="507"/>
      <c r="W113" s="516"/>
      <c r="X113" s="516"/>
      <c r="Y113" s="516"/>
      <c r="Z113" s="516"/>
      <c r="AB113" s="516"/>
      <c r="AC113" s="516"/>
      <c r="AD113" s="516"/>
      <c r="AE113" s="516"/>
      <c r="AF113" s="515"/>
      <c r="AG113" s="516"/>
      <c r="AH113" s="516"/>
    </row>
    <row r="114" spans="1:34" s="541" customFormat="1" ht="12" hidden="1" customHeight="1">
      <c r="B114" s="515"/>
      <c r="C114" s="464" t="s">
        <v>140</v>
      </c>
      <c r="D114" s="733"/>
      <c r="E114" s="566"/>
      <c r="F114" s="584" t="str">
        <f>IF($S$16=1,"NT","MT")</f>
        <v>MT</v>
      </c>
      <c r="G114" s="731" t="s">
        <v>140</v>
      </c>
      <c r="H114" s="565">
        <v>0</v>
      </c>
      <c r="I114" s="811" t="s">
        <v>251</v>
      </c>
      <c r="J114" s="811"/>
      <c r="K114" s="585">
        <v>0</v>
      </c>
      <c r="L114" s="819" t="str">
        <f>IF(AND(S$16=1,S$17=2),"",IF(S$16=2,"",IF(K114=0,"",H114/(K114/1000))))</f>
        <v/>
      </c>
      <c r="M114" s="819"/>
      <c r="N114" s="816" t="s">
        <v>268</v>
      </c>
      <c r="O114" s="816"/>
      <c r="P114" s="586" t="str">
        <f>IF(K114=0,"-",INDEX('data roosters'!F:J,MATCH(N114,'data roosters'!F:F,0),2)*(K114/1000))</f>
        <v>-</v>
      </c>
      <c r="Q114" s="525" t="str">
        <f t="shared" ref="Q114:Q116" si="23">IF(AND($S$16=1,$S$17=2),IF(OR(H114&lt;&gt;0,P114&lt;&gt;"-"),"","verbergen"),IF(H114&lt;&gt;0,"","verbergen"))</f>
        <v>verbergen</v>
      </c>
      <c r="R114" s="589"/>
      <c r="S114" s="529"/>
      <c r="T114" s="516"/>
      <c r="U114" s="516"/>
      <c r="V114" s="507"/>
      <c r="W114" s="516"/>
      <c r="X114" s="516"/>
      <c r="Y114" s="516"/>
      <c r="Z114" s="516"/>
      <c r="AB114" s="516"/>
      <c r="AC114" s="516"/>
      <c r="AD114" s="516"/>
      <c r="AE114" s="516"/>
      <c r="AF114" s="515"/>
      <c r="AG114" s="516"/>
      <c r="AH114" s="516"/>
    </row>
    <row r="115" spans="1:34" s="541" customFormat="1" ht="12" hidden="1" customHeight="1">
      <c r="B115" s="515"/>
      <c r="C115" s="464" t="s">
        <v>140</v>
      </c>
      <c r="D115" s="733"/>
      <c r="E115" s="566"/>
      <c r="F115" s="584" t="str">
        <f>IF($S$16=1,"NT","MT")</f>
        <v>MT</v>
      </c>
      <c r="G115" s="731" t="s">
        <v>140</v>
      </c>
      <c r="H115" s="565">
        <v>0</v>
      </c>
      <c r="I115" s="811" t="s">
        <v>251</v>
      </c>
      <c r="J115" s="811"/>
      <c r="K115" s="585">
        <v>0</v>
      </c>
      <c r="L115" s="819" t="str">
        <f>IF(AND(S$16=1,S$17=2),"",IF(S$16=2,"",IF(K115=0,"",H115/(K115/1000))))</f>
        <v/>
      </c>
      <c r="M115" s="819"/>
      <c r="N115" s="816" t="s">
        <v>268</v>
      </c>
      <c r="O115" s="816"/>
      <c r="P115" s="586" t="str">
        <f>IF(K115=0,"-",INDEX('data roosters'!F:J,MATCH(N115,'data roosters'!F:F,0),2)*(K115/1000))</f>
        <v>-</v>
      </c>
      <c r="Q115" s="525" t="str">
        <f t="shared" si="23"/>
        <v>verbergen</v>
      </c>
      <c r="R115" s="589"/>
      <c r="S115" s="529"/>
      <c r="T115" s="516"/>
      <c r="U115" s="516"/>
      <c r="V115" s="507"/>
      <c r="W115" s="516"/>
      <c r="X115" s="516"/>
      <c r="Y115" s="516"/>
      <c r="Z115" s="516"/>
      <c r="AB115" s="516"/>
      <c r="AC115" s="516"/>
      <c r="AD115" s="516"/>
      <c r="AE115" s="516"/>
      <c r="AF115" s="515"/>
      <c r="AG115" s="516"/>
      <c r="AH115" s="516"/>
    </row>
    <row r="116" spans="1:34" s="541" customFormat="1" ht="12" hidden="1" customHeight="1">
      <c r="B116" s="515"/>
      <c r="C116" s="464" t="s">
        <v>140</v>
      </c>
      <c r="D116" s="733"/>
      <c r="E116" s="566"/>
      <c r="F116" s="584" t="str">
        <f>IF($S$16=1,"NT","MT")</f>
        <v>MT</v>
      </c>
      <c r="G116" s="731" t="s">
        <v>140</v>
      </c>
      <c r="H116" s="565">
        <v>0</v>
      </c>
      <c r="I116" s="811" t="s">
        <v>251</v>
      </c>
      <c r="J116" s="811"/>
      <c r="K116" s="585">
        <v>0</v>
      </c>
      <c r="L116" s="819" t="str">
        <f>IF(AND(S$16=1,S$17=2),"",IF(S$16=2,"",IF(K116=0,"",H116/(K116/1000))))</f>
        <v/>
      </c>
      <c r="M116" s="819"/>
      <c r="N116" s="816" t="s">
        <v>268</v>
      </c>
      <c r="O116" s="816"/>
      <c r="P116" s="586" t="str">
        <f>IF(K116=0,"-",INDEX('data roosters'!F:J,MATCH(N116,'data roosters'!F:F,0),2)*(K116/1000))</f>
        <v>-</v>
      </c>
      <c r="Q116" s="525" t="str">
        <f t="shared" si="23"/>
        <v>verbergen</v>
      </c>
      <c r="R116" s="589"/>
      <c r="S116" s="529"/>
      <c r="T116" s="516"/>
      <c r="U116" s="516"/>
      <c r="V116" s="507"/>
      <c r="W116" s="516"/>
      <c r="X116" s="516"/>
      <c r="Y116" s="516"/>
      <c r="Z116" s="516"/>
      <c r="AB116" s="516"/>
      <c r="AC116" s="516"/>
      <c r="AD116" s="516"/>
      <c r="AE116" s="516"/>
      <c r="AF116" s="515"/>
      <c r="AG116" s="516"/>
      <c r="AH116" s="516"/>
    </row>
    <row r="117" spans="1:34" s="541" customFormat="1" ht="12" customHeight="1">
      <c r="B117" s="590"/>
      <c r="C117" s="610"/>
      <c r="D117" s="733"/>
      <c r="E117" s="566"/>
      <c r="F117" s="825"/>
      <c r="G117" s="825"/>
      <c r="H117" s="825"/>
      <c r="I117" s="404"/>
      <c r="J117" s="613"/>
      <c r="K117" s="422"/>
      <c r="L117" s="614"/>
      <c r="M117" s="826"/>
      <c r="N117" s="826"/>
      <c r="O117" s="565"/>
      <c r="P117" s="615"/>
      <c r="Q117" s="459"/>
      <c r="R117" s="589"/>
      <c r="S117" s="529"/>
      <c r="T117" s="516"/>
      <c r="U117" s="516"/>
      <c r="V117" s="547"/>
      <c r="W117" s="516"/>
      <c r="X117" s="516"/>
      <c r="Y117" s="516"/>
      <c r="Z117" s="516"/>
      <c r="AB117" s="516"/>
      <c r="AC117" s="516"/>
      <c r="AD117" s="516"/>
      <c r="AE117" s="516"/>
      <c r="AF117" s="515"/>
      <c r="AG117" s="516"/>
      <c r="AH117" s="516"/>
    </row>
    <row r="118" spans="1:34" s="518" customFormat="1" ht="15" customHeight="1">
      <c r="A118" s="515"/>
      <c r="B118" s="515"/>
      <c r="C118" s="457" t="s">
        <v>1086</v>
      </c>
      <c r="D118" s="575"/>
      <c r="E118" s="575"/>
      <c r="F118" s="575"/>
      <c r="G118" s="575"/>
      <c r="H118" s="575"/>
      <c r="I118" s="575"/>
      <c r="J118" s="575"/>
      <c r="K118" s="575"/>
      <c r="L118" s="575"/>
      <c r="M118" s="575"/>
      <c r="N118" s="575"/>
      <c r="O118" s="575"/>
      <c r="P118" s="575"/>
      <c r="Q118" s="516"/>
      <c r="R118" s="616"/>
      <c r="S118" s="516"/>
      <c r="T118" s="521"/>
      <c r="U118" s="516"/>
      <c r="V118" s="517"/>
      <c r="W118" s="517"/>
      <c r="X118" s="517"/>
      <c r="Y118" s="517"/>
      <c r="Z118" s="517"/>
      <c r="AA118" s="517"/>
      <c r="AB118" s="517"/>
      <c r="AC118" s="524"/>
      <c r="AD118" s="517"/>
      <c r="AE118" s="517"/>
      <c r="AF118" s="517"/>
    </row>
    <row r="119" spans="1:34" s="518" customFormat="1" ht="12.75" hidden="1" customHeight="1">
      <c r="A119" s="515"/>
      <c r="B119" s="515"/>
      <c r="C119" s="576"/>
      <c r="D119" s="576"/>
      <c r="E119" s="576"/>
      <c r="F119" s="576"/>
      <c r="G119" s="576"/>
      <c r="H119" s="577"/>
      <c r="I119" s="577"/>
      <c r="J119" s="577"/>
      <c r="K119" s="577"/>
      <c r="L119" s="577"/>
      <c r="M119" s="577"/>
      <c r="N119" s="577"/>
      <c r="O119" s="577"/>
      <c r="P119" s="577"/>
      <c r="Q119" s="522"/>
      <c r="R119" s="516"/>
      <c r="S119" s="516"/>
      <c r="T119" s="521"/>
      <c r="U119" s="516"/>
      <c r="V119" s="548"/>
      <c r="W119" s="548"/>
      <c r="X119" s="548"/>
      <c r="Y119" s="548"/>
      <c r="Z119" s="517"/>
      <c r="AA119" s="517"/>
      <c r="AB119" s="517"/>
      <c r="AC119" s="524"/>
      <c r="AD119" s="517"/>
      <c r="AE119" s="517"/>
      <c r="AF119" s="517"/>
    </row>
    <row r="120" spans="1:34" ht="15" customHeight="1">
      <c r="A120" s="492"/>
      <c r="B120" s="492"/>
      <c r="C120" s="579" t="s">
        <v>133</v>
      </c>
      <c r="D120" s="580"/>
      <c r="E120" s="580"/>
      <c r="F120" s="460" t="s">
        <v>653</v>
      </c>
      <c r="G120" s="736" t="s">
        <v>34</v>
      </c>
      <c r="H120" s="736" t="s">
        <v>1135</v>
      </c>
      <c r="I120" s="580"/>
      <c r="J120" s="580"/>
      <c r="K120" s="580"/>
      <c r="L120" s="580"/>
      <c r="M120" s="580"/>
      <c r="N120" s="580"/>
      <c r="O120" s="580"/>
      <c r="P120" s="580"/>
      <c r="Q120" s="507"/>
      <c r="R120" s="507"/>
      <c r="S120" s="507"/>
      <c r="T120" s="532"/>
      <c r="U120" s="507"/>
      <c r="V120" s="508"/>
      <c r="W120" s="508"/>
      <c r="X120" s="508"/>
      <c r="Y120" s="508"/>
      <c r="Z120" s="508"/>
      <c r="AA120" s="508"/>
      <c r="AB120" s="508"/>
      <c r="AC120" s="534"/>
      <c r="AD120" s="508"/>
      <c r="AE120" s="508"/>
      <c r="AF120" s="508"/>
    </row>
    <row r="121" spans="1:34" s="518" customFormat="1" ht="12" customHeight="1">
      <c r="A121" s="515"/>
      <c r="B121" s="515"/>
      <c r="C121" s="617" t="s">
        <v>728</v>
      </c>
      <c r="D121" s="404"/>
      <c r="E121" s="404"/>
      <c r="F121" s="618">
        <v>2</v>
      </c>
      <c r="G121" s="619">
        <f>F121*7</f>
        <v>14</v>
      </c>
      <c r="H121" s="620">
        <v>28</v>
      </c>
      <c r="I121" s="621"/>
      <c r="J121" s="622"/>
      <c r="K121" s="827"/>
      <c r="L121" s="827"/>
      <c r="M121" s="827"/>
      <c r="N121" s="827"/>
      <c r="O121" s="827"/>
      <c r="P121" s="827"/>
      <c r="Q121" s="525" t="str">
        <f t="shared" ref="Q121:Q126" si="24">IF(H121&gt;0,"","verbergen")</f>
        <v/>
      </c>
      <c r="R121" s="589"/>
      <c r="S121" s="529"/>
      <c r="T121" s="516"/>
      <c r="U121" s="516"/>
      <c r="V121" s="508"/>
      <c r="W121" s="517"/>
      <c r="X121" s="517"/>
      <c r="Y121" s="517"/>
      <c r="Z121" s="517"/>
      <c r="AA121" s="517"/>
      <c r="AB121" s="517"/>
      <c r="AC121" s="517"/>
      <c r="AD121" s="517"/>
      <c r="AE121" s="517"/>
      <c r="AF121" s="517"/>
      <c r="AG121" s="517"/>
      <c r="AH121" s="517"/>
    </row>
    <row r="122" spans="1:34" s="518" customFormat="1" ht="12" customHeight="1">
      <c r="A122" s="515"/>
      <c r="B122" s="590"/>
      <c r="C122" s="617" t="s">
        <v>729</v>
      </c>
      <c r="D122" s="404"/>
      <c r="E122" s="404"/>
      <c r="F122" s="618">
        <v>1</v>
      </c>
      <c r="G122" s="619">
        <f>F122*14</f>
        <v>14</v>
      </c>
      <c r="H122" s="620">
        <v>21</v>
      </c>
      <c r="I122" s="621"/>
      <c r="J122" s="622"/>
      <c r="K122" s="827"/>
      <c r="L122" s="827"/>
      <c r="M122" s="827"/>
      <c r="N122" s="827"/>
      <c r="O122" s="827"/>
      <c r="P122" s="827"/>
      <c r="Q122" s="525" t="str">
        <f t="shared" si="24"/>
        <v/>
      </c>
      <c r="R122" s="623"/>
      <c r="S122" s="624"/>
      <c r="T122" s="516"/>
      <c r="U122" s="516"/>
      <c r="V122" s="508"/>
      <c r="W122" s="517"/>
      <c r="X122" s="517"/>
      <c r="Y122" s="517"/>
      <c r="Z122" s="517"/>
      <c r="AA122" s="517"/>
      <c r="AB122" s="517"/>
      <c r="AC122" s="517"/>
      <c r="AD122" s="517"/>
      <c r="AE122" s="517"/>
      <c r="AF122" s="517"/>
    </row>
    <row r="123" spans="1:34" s="518" customFormat="1" ht="12" customHeight="1">
      <c r="A123" s="515"/>
      <c r="B123" s="515"/>
      <c r="C123" s="617" t="s">
        <v>727</v>
      </c>
      <c r="D123" s="404"/>
      <c r="E123" s="404"/>
      <c r="F123" s="618">
        <v>1</v>
      </c>
      <c r="G123" s="619">
        <f>F123*21</f>
        <v>21</v>
      </c>
      <c r="H123" s="620">
        <v>28</v>
      </c>
      <c r="I123" s="621"/>
      <c r="J123" s="622"/>
      <c r="K123" s="827"/>
      <c r="L123" s="827"/>
      <c r="M123" s="827"/>
      <c r="N123" s="827"/>
      <c r="O123" s="827"/>
      <c r="P123" s="827"/>
      <c r="Q123" s="525" t="str">
        <f t="shared" si="24"/>
        <v/>
      </c>
      <c r="R123" s="625"/>
      <c r="S123" s="624"/>
      <c r="T123" s="516"/>
      <c r="U123" s="516"/>
      <c r="V123" s="508"/>
      <c r="W123" s="517"/>
      <c r="X123" s="517"/>
      <c r="Y123" s="517"/>
      <c r="Z123" s="517"/>
      <c r="AA123" s="517"/>
      <c r="AB123" s="517"/>
      <c r="AC123" s="517"/>
      <c r="AD123" s="517"/>
      <c r="AE123" s="517"/>
      <c r="AF123" s="517"/>
    </row>
    <row r="124" spans="1:34" s="518" customFormat="1" ht="12" hidden="1" customHeight="1">
      <c r="A124" s="515"/>
      <c r="B124" s="515"/>
      <c r="C124" s="617" t="s">
        <v>140</v>
      </c>
      <c r="D124" s="404"/>
      <c r="E124" s="404"/>
      <c r="F124" s="626"/>
      <c r="G124" s="619" t="s">
        <v>268</v>
      </c>
      <c r="H124" s="620"/>
      <c r="I124" s="621"/>
      <c r="J124" s="622"/>
      <c r="K124" s="827"/>
      <c r="L124" s="827"/>
      <c r="M124" s="827"/>
      <c r="N124" s="827"/>
      <c r="O124" s="827"/>
      <c r="P124" s="827"/>
      <c r="Q124" s="525" t="str">
        <f t="shared" si="24"/>
        <v>verbergen</v>
      </c>
      <c r="R124" s="625"/>
      <c r="S124" s="624"/>
      <c r="T124" s="516"/>
      <c r="U124" s="516"/>
      <c r="V124" s="508"/>
      <c r="W124" s="517"/>
      <c r="X124" s="517"/>
      <c r="Y124" s="517"/>
      <c r="Z124" s="517"/>
      <c r="AA124" s="517"/>
      <c r="AB124" s="517"/>
      <c r="AC124" s="517"/>
      <c r="AD124" s="517"/>
      <c r="AE124" s="517"/>
      <c r="AF124" s="517"/>
    </row>
    <row r="125" spans="1:34" s="518" customFormat="1" ht="12" hidden="1" customHeight="1">
      <c r="A125" s="515"/>
      <c r="B125" s="515"/>
      <c r="C125" s="617" t="s">
        <v>140</v>
      </c>
      <c r="D125" s="404"/>
      <c r="E125" s="404"/>
      <c r="F125" s="626"/>
      <c r="G125" s="619" t="s">
        <v>268</v>
      </c>
      <c r="H125" s="620"/>
      <c r="I125" s="621"/>
      <c r="J125" s="622"/>
      <c r="K125" s="827"/>
      <c r="L125" s="827"/>
      <c r="M125" s="827"/>
      <c r="N125" s="827"/>
      <c r="O125" s="827"/>
      <c r="P125" s="827"/>
      <c r="Q125" s="525" t="str">
        <f t="shared" si="24"/>
        <v>verbergen</v>
      </c>
      <c r="R125" s="625"/>
      <c r="S125" s="624"/>
      <c r="T125" s="516"/>
      <c r="U125" s="516"/>
      <c r="V125" s="508"/>
      <c r="W125" s="517"/>
      <c r="X125" s="517"/>
      <c r="Y125" s="517"/>
      <c r="Z125" s="517"/>
      <c r="AA125" s="517"/>
      <c r="AB125" s="517"/>
      <c r="AC125" s="517"/>
      <c r="AD125" s="517"/>
      <c r="AE125" s="517"/>
      <c r="AF125" s="517"/>
    </row>
    <row r="126" spans="1:34" s="518" customFormat="1" ht="12" hidden="1" customHeight="1">
      <c r="A126" s="515"/>
      <c r="B126" s="515"/>
      <c r="C126" s="627" t="s">
        <v>140</v>
      </c>
      <c r="D126" s="628"/>
      <c r="E126" s="628"/>
      <c r="F126" s="629"/>
      <c r="G126" s="630" t="s">
        <v>268</v>
      </c>
      <c r="H126" s="631"/>
      <c r="I126" s="632"/>
      <c r="J126" s="633"/>
      <c r="K126" s="828"/>
      <c r="L126" s="828"/>
      <c r="M126" s="828"/>
      <c r="N126" s="828"/>
      <c r="O126" s="828"/>
      <c r="P126" s="828"/>
      <c r="Q126" s="525" t="str">
        <f t="shared" si="24"/>
        <v>verbergen</v>
      </c>
      <c r="R126" s="625"/>
      <c r="S126" s="624"/>
      <c r="T126" s="516"/>
      <c r="U126" s="516"/>
      <c r="V126" s="508"/>
      <c r="W126" s="517"/>
      <c r="X126" s="517"/>
      <c r="Y126" s="517"/>
      <c r="Z126" s="517"/>
      <c r="AA126" s="517"/>
      <c r="AB126" s="517"/>
      <c r="AC126" s="517"/>
      <c r="AD126" s="517"/>
      <c r="AE126" s="517"/>
      <c r="AF126" s="517"/>
    </row>
    <row r="127" spans="1:34" s="518" customFormat="1" ht="12" customHeight="1">
      <c r="A127" s="515"/>
      <c r="B127" s="515"/>
      <c r="C127" s="634" t="s">
        <v>16</v>
      </c>
      <c r="D127" s="592"/>
      <c r="E127" s="592"/>
      <c r="F127" s="635"/>
      <c r="G127" s="636">
        <f>SUM(G121:G126)</f>
        <v>49</v>
      </c>
      <c r="H127" s="636">
        <f>SUM(H121:H126)</f>
        <v>77</v>
      </c>
      <c r="I127" s="637"/>
      <c r="J127" s="732" t="str">
        <f>IF(M127="","","toe- en afvoer niet in balans")</f>
        <v/>
      </c>
      <c r="K127" s="638"/>
      <c r="L127" s="639"/>
      <c r="M127" s="829" t="str">
        <f>IF(SUMIF(F83:F117,R127,H83:H117)-H127-H139=0,"",SUMIF(F83:F117,R127,H83:H117)-H127-H139)</f>
        <v/>
      </c>
      <c r="N127" s="830"/>
      <c r="O127" s="830"/>
      <c r="P127" s="830"/>
      <c r="Q127" s="525"/>
      <c r="R127" s="625" t="str">
        <f>IF(OR(RIGHT(LEFT(D74,9),1)="A",RIGHT(LEFT(D74,9),1)="C"),"NT","MT")</f>
        <v>MT</v>
      </c>
      <c r="S127" s="624"/>
      <c r="T127" s="516"/>
      <c r="U127" s="516"/>
      <c r="V127" s="508"/>
      <c r="W127" s="517"/>
      <c r="X127" s="517"/>
      <c r="Y127" s="517"/>
      <c r="Z127" s="517"/>
      <c r="AA127" s="517"/>
      <c r="AB127" s="517"/>
      <c r="AC127" s="517"/>
      <c r="AD127" s="517"/>
      <c r="AE127" s="517"/>
      <c r="AF127" s="517"/>
    </row>
    <row r="128" spans="1:34" s="518" customFormat="1" ht="12" customHeight="1">
      <c r="A128" s="515"/>
      <c r="B128" s="515"/>
      <c r="C128" s="640"/>
      <c r="D128" s="831"/>
      <c r="E128" s="831"/>
      <c r="F128" s="641"/>
      <c r="G128" s="642">
        <f>G127*3.6</f>
        <v>176.4</v>
      </c>
      <c r="H128" s="642">
        <f>H127*3.6</f>
        <v>277.2</v>
      </c>
      <c r="I128" s="643"/>
      <c r="J128" s="404"/>
      <c r="K128" s="422"/>
      <c r="L128" s="614"/>
      <c r="M128" s="826"/>
      <c r="N128" s="826"/>
      <c r="O128" s="565"/>
      <c r="P128" s="615"/>
      <c r="Q128" s="525"/>
      <c r="R128" s="625"/>
      <c r="S128" s="624"/>
      <c r="T128" s="516"/>
      <c r="U128" s="516"/>
      <c r="V128" s="508"/>
      <c r="W128" s="517"/>
      <c r="X128" s="517"/>
      <c r="Y128" s="517"/>
      <c r="Z128" s="517"/>
      <c r="AA128" s="517"/>
      <c r="AB128" s="517"/>
      <c r="AC128" s="517"/>
      <c r="AD128" s="517"/>
      <c r="AE128" s="517"/>
      <c r="AF128" s="517"/>
    </row>
    <row r="129" spans="1:32" s="518" customFormat="1" ht="12" customHeight="1">
      <c r="A129" s="515"/>
      <c r="B129" s="515"/>
      <c r="C129" s="640"/>
      <c r="D129" s="733"/>
      <c r="E129" s="733"/>
      <c r="F129" s="641"/>
      <c r="G129" s="642"/>
      <c r="H129" s="731"/>
      <c r="I129" s="731"/>
      <c r="J129" s="404"/>
      <c r="K129" s="422"/>
      <c r="L129" s="614"/>
      <c r="M129" s="731"/>
      <c r="N129" s="731"/>
      <c r="O129" s="565"/>
      <c r="P129" s="615"/>
      <c r="Q129" s="525"/>
      <c r="R129" s="625"/>
      <c r="S129" s="624"/>
      <c r="T129" s="516"/>
      <c r="U129" s="516"/>
      <c r="V129" s="508"/>
      <c r="W129" s="517"/>
      <c r="X129" s="517"/>
      <c r="Y129" s="517"/>
      <c r="Z129" s="517"/>
      <c r="AA129" s="517"/>
      <c r="AB129" s="517"/>
      <c r="AC129" s="517"/>
      <c r="AD129" s="517"/>
      <c r="AE129" s="517"/>
      <c r="AF129" s="517"/>
    </row>
    <row r="130" spans="1:32" s="518" customFormat="1" ht="12" hidden="1" customHeight="1">
      <c r="A130" s="515"/>
      <c r="B130" s="515"/>
      <c r="C130" s="457" t="s">
        <v>1087</v>
      </c>
      <c r="D130" s="457"/>
      <c r="E130" s="457"/>
      <c r="F130" s="457"/>
      <c r="G130" s="457"/>
      <c r="H130" s="457"/>
      <c r="I130" s="457"/>
      <c r="J130" s="457"/>
      <c r="K130" s="457"/>
      <c r="L130" s="457"/>
      <c r="M130" s="457"/>
      <c r="N130" s="457"/>
      <c r="O130" s="457"/>
      <c r="P130" s="457"/>
      <c r="Q130" s="525" t="str">
        <f>IF(D77="n.v.t.","verbergen","")</f>
        <v>verbergen</v>
      </c>
      <c r="R130" s="625"/>
      <c r="S130" s="624"/>
      <c r="T130" s="516"/>
      <c r="U130" s="516"/>
      <c r="V130" s="508"/>
      <c r="W130" s="517"/>
      <c r="X130" s="517"/>
      <c r="Y130" s="517"/>
      <c r="Z130" s="517"/>
      <c r="AA130" s="517"/>
      <c r="AB130" s="517"/>
      <c r="AC130" s="517"/>
      <c r="AD130" s="517"/>
      <c r="AE130" s="517"/>
      <c r="AF130" s="517"/>
    </row>
    <row r="131" spans="1:32" s="518" customFormat="1" ht="12" hidden="1" customHeight="1">
      <c r="A131" s="515"/>
      <c r="B131" s="515"/>
      <c r="C131" s="458"/>
      <c r="D131" s="458"/>
      <c r="E131" s="458"/>
      <c r="F131" s="458"/>
      <c r="G131" s="458"/>
      <c r="H131" s="459"/>
      <c r="I131" s="459"/>
      <c r="J131" s="459"/>
      <c r="K131" s="459"/>
      <c r="L131" s="459"/>
      <c r="M131" s="459"/>
      <c r="N131" s="459"/>
      <c r="O131" s="459"/>
      <c r="P131" s="459"/>
      <c r="Q131" s="525"/>
      <c r="R131" s="625"/>
      <c r="S131" s="624"/>
      <c r="T131" s="516"/>
      <c r="U131" s="516"/>
      <c r="V131" s="508"/>
      <c r="W131" s="517"/>
      <c r="X131" s="517"/>
      <c r="Y131" s="517"/>
      <c r="Z131" s="517"/>
      <c r="AA131" s="517"/>
      <c r="AB131" s="517"/>
      <c r="AC131" s="517"/>
      <c r="AD131" s="517"/>
      <c r="AE131" s="517"/>
      <c r="AF131" s="517"/>
    </row>
    <row r="132" spans="1:32" s="518" customFormat="1" ht="12" hidden="1" customHeight="1">
      <c r="A132" s="515"/>
      <c r="B132" s="515"/>
      <c r="C132" s="579" t="s">
        <v>133</v>
      </c>
      <c r="D132" s="580"/>
      <c r="E132" s="580"/>
      <c r="F132" s="460" t="s">
        <v>653</v>
      </c>
      <c r="G132" s="736" t="s">
        <v>34</v>
      </c>
      <c r="H132" s="736" t="str">
        <f>IF(S16=3,"","aanwezig")</f>
        <v>aanwezig</v>
      </c>
      <c r="I132" s="580"/>
      <c r="J132" s="580"/>
      <c r="K132" s="580"/>
      <c r="L132" s="580"/>
      <c r="M132" s="580"/>
      <c r="N132" s="580"/>
      <c r="O132" s="580"/>
      <c r="P132" s="580"/>
      <c r="Q132" s="525" t="str">
        <f>IF(D77="n.v.t.","verbergen","")</f>
        <v>verbergen</v>
      </c>
      <c r="R132" s="625"/>
      <c r="S132" s="624"/>
      <c r="T132" s="516"/>
      <c r="U132" s="516"/>
      <c r="V132" s="508"/>
      <c r="W132" s="517"/>
      <c r="X132" s="517"/>
      <c r="Y132" s="517"/>
      <c r="Z132" s="517"/>
      <c r="AA132" s="517"/>
      <c r="AB132" s="517"/>
      <c r="AC132" s="517"/>
      <c r="AD132" s="517"/>
      <c r="AE132" s="517"/>
      <c r="AF132" s="517"/>
    </row>
    <row r="133" spans="1:32" s="518" customFormat="1" ht="12" customHeight="1">
      <c r="A133" s="515"/>
      <c r="B133" s="515"/>
      <c r="C133" s="617" t="s">
        <v>739</v>
      </c>
      <c r="D133" s="404"/>
      <c r="E133" s="404"/>
      <c r="F133" s="618">
        <v>1</v>
      </c>
      <c r="G133" s="619">
        <f>F133*7</f>
        <v>7</v>
      </c>
      <c r="H133" s="620">
        <f>G133</f>
        <v>7</v>
      </c>
      <c r="I133" s="621"/>
      <c r="J133" s="622"/>
      <c r="K133" s="827"/>
      <c r="L133" s="827"/>
      <c r="M133" s="827"/>
      <c r="N133" s="827"/>
      <c r="O133" s="827"/>
      <c r="P133" s="827"/>
      <c r="Q133" s="525" t="str">
        <f>IF(H133&gt;0,"","verbergen")</f>
        <v/>
      </c>
      <c r="R133" s="625"/>
      <c r="S133" s="624"/>
      <c r="T133" s="516"/>
      <c r="U133" s="516"/>
      <c r="V133" s="508"/>
      <c r="W133" s="517"/>
      <c r="X133" s="517"/>
      <c r="Y133" s="517"/>
      <c r="Z133" s="517"/>
      <c r="AA133" s="517"/>
      <c r="AB133" s="517"/>
      <c r="AC133" s="517"/>
      <c r="AD133" s="517"/>
      <c r="AE133" s="517"/>
      <c r="AF133" s="517"/>
    </row>
    <row r="134" spans="1:32" s="518" customFormat="1" ht="12" hidden="1" customHeight="1">
      <c r="A134" s="515"/>
      <c r="B134" s="515"/>
      <c r="C134" s="617" t="s">
        <v>739</v>
      </c>
      <c r="D134" s="404"/>
      <c r="E134" s="404"/>
      <c r="F134" s="618">
        <v>0</v>
      </c>
      <c r="G134" s="619">
        <f>F134*14</f>
        <v>0</v>
      </c>
      <c r="H134" s="620">
        <f>G134</f>
        <v>0</v>
      </c>
      <c r="I134" s="621"/>
      <c r="J134" s="622"/>
      <c r="K134" s="827"/>
      <c r="L134" s="827"/>
      <c r="M134" s="827"/>
      <c r="N134" s="827"/>
      <c r="O134" s="827"/>
      <c r="P134" s="827"/>
      <c r="Q134" s="525" t="str">
        <f t="shared" ref="Q134:Q138" si="25">IF(H134&gt;0,"","verbergen")</f>
        <v>verbergen</v>
      </c>
      <c r="R134" s="625"/>
      <c r="S134" s="624"/>
      <c r="T134" s="516"/>
      <c r="U134" s="516"/>
      <c r="V134" s="508"/>
      <c r="W134" s="517"/>
      <c r="X134" s="517"/>
      <c r="Y134" s="517"/>
      <c r="Z134" s="517"/>
      <c r="AA134" s="517"/>
      <c r="AB134" s="517"/>
      <c r="AC134" s="517"/>
      <c r="AD134" s="517"/>
      <c r="AE134" s="517"/>
      <c r="AF134" s="517"/>
    </row>
    <row r="135" spans="1:32" s="518" customFormat="1" ht="12" customHeight="1">
      <c r="A135" s="515"/>
      <c r="B135" s="515"/>
      <c r="C135" s="617" t="s">
        <v>740</v>
      </c>
      <c r="D135" s="404"/>
      <c r="E135" s="404"/>
      <c r="F135" s="618">
        <v>1</v>
      </c>
      <c r="G135" s="619">
        <f>F135*7</f>
        <v>7</v>
      </c>
      <c r="H135" s="620">
        <f>G135</f>
        <v>7</v>
      </c>
      <c r="I135" s="621"/>
      <c r="J135" s="622"/>
      <c r="K135" s="827"/>
      <c r="L135" s="827"/>
      <c r="M135" s="827"/>
      <c r="N135" s="827"/>
      <c r="O135" s="827"/>
      <c r="P135" s="827"/>
      <c r="Q135" s="525" t="str">
        <f t="shared" si="25"/>
        <v/>
      </c>
      <c r="R135" s="625"/>
      <c r="S135" s="624"/>
      <c r="T135" s="516"/>
      <c r="U135" s="516"/>
      <c r="V135" s="508"/>
      <c r="W135" s="517"/>
      <c r="X135" s="517"/>
      <c r="Y135" s="517"/>
      <c r="Z135" s="517"/>
      <c r="AA135" s="517"/>
      <c r="AB135" s="517"/>
      <c r="AC135" s="517"/>
      <c r="AD135" s="517"/>
      <c r="AE135" s="517"/>
      <c r="AF135" s="517"/>
    </row>
    <row r="136" spans="1:32" s="518" customFormat="1" ht="12" hidden="1" customHeight="1">
      <c r="A136" s="515"/>
      <c r="B136" s="515"/>
      <c r="C136" s="617" t="s">
        <v>140</v>
      </c>
      <c r="D136" s="404"/>
      <c r="E136" s="404"/>
      <c r="F136" s="626"/>
      <c r="G136" s="619" t="s">
        <v>268</v>
      </c>
      <c r="H136" s="620"/>
      <c r="I136" s="621"/>
      <c r="J136" s="622"/>
      <c r="K136" s="827"/>
      <c r="L136" s="827"/>
      <c r="M136" s="827"/>
      <c r="N136" s="827"/>
      <c r="O136" s="827"/>
      <c r="P136" s="827"/>
      <c r="Q136" s="525" t="str">
        <f t="shared" si="25"/>
        <v>verbergen</v>
      </c>
      <c r="R136" s="625"/>
      <c r="S136" s="624"/>
      <c r="T136" s="516"/>
      <c r="U136" s="516"/>
      <c r="V136" s="508"/>
      <c r="W136" s="517"/>
      <c r="X136" s="517"/>
      <c r="Y136" s="517"/>
      <c r="Z136" s="517"/>
      <c r="AA136" s="517"/>
      <c r="AB136" s="517"/>
      <c r="AC136" s="517"/>
      <c r="AD136" s="517"/>
      <c r="AE136" s="517"/>
      <c r="AF136" s="517"/>
    </row>
    <row r="137" spans="1:32" s="518" customFormat="1" ht="12" hidden="1" customHeight="1">
      <c r="A137" s="515"/>
      <c r="B137" s="515"/>
      <c r="C137" s="617" t="s">
        <v>140</v>
      </c>
      <c r="D137" s="404"/>
      <c r="E137" s="404"/>
      <c r="F137" s="626"/>
      <c r="G137" s="619" t="s">
        <v>268</v>
      </c>
      <c r="H137" s="620"/>
      <c r="I137" s="621"/>
      <c r="J137" s="622"/>
      <c r="K137" s="827"/>
      <c r="L137" s="827"/>
      <c r="M137" s="827"/>
      <c r="N137" s="827"/>
      <c r="O137" s="827"/>
      <c r="P137" s="827"/>
      <c r="Q137" s="525" t="str">
        <f t="shared" si="25"/>
        <v>verbergen</v>
      </c>
      <c r="R137" s="625"/>
      <c r="S137" s="624"/>
      <c r="T137" s="516"/>
      <c r="U137" s="516"/>
      <c r="V137" s="508"/>
      <c r="W137" s="517"/>
      <c r="X137" s="517"/>
      <c r="Y137" s="517"/>
      <c r="Z137" s="517"/>
      <c r="AA137" s="517"/>
      <c r="AB137" s="517"/>
      <c r="AC137" s="517"/>
      <c r="AD137" s="517"/>
      <c r="AE137" s="517"/>
      <c r="AF137" s="517"/>
    </row>
    <row r="138" spans="1:32" s="518" customFormat="1" ht="12" hidden="1" customHeight="1">
      <c r="A138" s="515"/>
      <c r="B138" s="515"/>
      <c r="C138" s="627" t="s">
        <v>140</v>
      </c>
      <c r="D138" s="628"/>
      <c r="E138" s="628"/>
      <c r="F138" s="629"/>
      <c r="G138" s="630" t="s">
        <v>268</v>
      </c>
      <c r="H138" s="631"/>
      <c r="I138" s="632"/>
      <c r="J138" s="633"/>
      <c r="K138" s="828"/>
      <c r="L138" s="828"/>
      <c r="M138" s="828"/>
      <c r="N138" s="828"/>
      <c r="O138" s="828"/>
      <c r="P138" s="828"/>
      <c r="Q138" s="525" t="str">
        <f t="shared" si="25"/>
        <v>verbergen</v>
      </c>
      <c r="R138" s="625"/>
      <c r="S138" s="624"/>
      <c r="T138" s="516"/>
      <c r="U138" s="516"/>
      <c r="V138" s="508"/>
      <c r="W138" s="517"/>
      <c r="X138" s="517"/>
      <c r="Y138" s="517"/>
      <c r="Z138" s="517"/>
      <c r="AA138" s="517"/>
      <c r="AB138" s="517"/>
      <c r="AC138" s="517"/>
      <c r="AD138" s="517"/>
      <c r="AE138" s="517"/>
      <c r="AF138" s="517"/>
    </row>
    <row r="139" spans="1:32" s="518" customFormat="1" ht="12" hidden="1" customHeight="1">
      <c r="A139" s="515"/>
      <c r="B139" s="515"/>
      <c r="C139" s="634" t="s">
        <v>16</v>
      </c>
      <c r="D139" s="592"/>
      <c r="E139" s="592"/>
      <c r="F139" s="635"/>
      <c r="G139" s="636">
        <f>SUM(G133:G138)</f>
        <v>14</v>
      </c>
      <c r="H139" s="636">
        <f>SUM(H133:H138)</f>
        <v>14</v>
      </c>
      <c r="I139" s="637"/>
      <c r="J139" s="732"/>
      <c r="K139" s="638"/>
      <c r="L139" s="639"/>
      <c r="M139" s="830"/>
      <c r="N139" s="830"/>
      <c r="O139" s="830"/>
      <c r="P139" s="830"/>
      <c r="Q139" s="525" t="str">
        <f>IF(D77="n.v.t.","verbergen","")</f>
        <v>verbergen</v>
      </c>
      <c r="R139" s="625"/>
      <c r="S139" s="624"/>
      <c r="T139" s="516"/>
      <c r="U139" s="516"/>
      <c r="V139" s="508"/>
      <c r="W139" s="517"/>
      <c r="X139" s="517"/>
      <c r="Y139" s="517"/>
      <c r="Z139" s="517"/>
      <c r="AA139" s="517"/>
      <c r="AB139" s="517"/>
      <c r="AC139" s="517"/>
      <c r="AD139" s="517"/>
      <c r="AE139" s="517"/>
      <c r="AF139" s="517"/>
    </row>
    <row r="140" spans="1:32" s="518" customFormat="1" ht="12" hidden="1" customHeight="1">
      <c r="A140" s="515"/>
      <c r="B140" s="515"/>
      <c r="C140" s="640"/>
      <c r="D140" s="831"/>
      <c r="E140" s="831"/>
      <c r="F140" s="641"/>
      <c r="G140" s="642">
        <f>G139*3.6</f>
        <v>50.4</v>
      </c>
      <c r="H140" s="642">
        <f>H139*3.6</f>
        <v>50.4</v>
      </c>
      <c r="I140" s="643"/>
      <c r="J140" s="404"/>
      <c r="K140" s="422"/>
      <c r="L140" s="614"/>
      <c r="M140" s="826"/>
      <c r="N140" s="826"/>
      <c r="O140" s="565"/>
      <c r="P140" s="615"/>
      <c r="Q140" s="525" t="str">
        <f>IF(D77="n.v.t.","verbergen","")</f>
        <v>verbergen</v>
      </c>
      <c r="R140" s="625"/>
      <c r="S140" s="624"/>
      <c r="T140" s="516"/>
      <c r="U140" s="516"/>
      <c r="V140" s="508"/>
      <c r="W140" s="517"/>
      <c r="X140" s="517"/>
      <c r="Y140" s="517"/>
      <c r="Z140" s="517"/>
      <c r="AA140" s="517"/>
      <c r="AB140" s="517"/>
      <c r="AC140" s="517"/>
      <c r="AD140" s="517"/>
      <c r="AE140" s="517"/>
      <c r="AF140" s="517"/>
    </row>
    <row r="141" spans="1:32" s="518" customFormat="1" ht="15" customHeight="1">
      <c r="A141" s="515"/>
      <c r="B141" s="515"/>
      <c r="C141" s="644" t="s">
        <v>1088</v>
      </c>
      <c r="D141" s="645"/>
      <c r="E141" s="645"/>
      <c r="F141" s="645"/>
      <c r="G141" s="645"/>
      <c r="H141" s="645"/>
      <c r="I141" s="645"/>
      <c r="J141" s="645"/>
      <c r="K141" s="645"/>
      <c r="L141" s="645"/>
      <c r="M141" s="645"/>
      <c r="N141" s="645"/>
      <c r="O141" s="645"/>
      <c r="P141" s="645"/>
      <c r="Q141" s="516" t="str">
        <f>IF(D72="berekening op basis van minimale capaciteit","verbergen","")</f>
        <v/>
      </c>
      <c r="R141" s="616"/>
      <c r="S141" s="516"/>
      <c r="T141" s="521"/>
      <c r="U141" s="516"/>
      <c r="V141" s="517"/>
      <c r="W141" s="517"/>
      <c r="X141" s="517"/>
      <c r="Y141" s="517"/>
      <c r="Z141" s="517"/>
      <c r="AA141" s="517"/>
      <c r="AB141" s="517"/>
      <c r="AC141" s="524"/>
      <c r="AD141" s="517"/>
      <c r="AE141" s="517"/>
      <c r="AF141" s="517"/>
    </row>
    <row r="142" spans="1:32" s="518" customFormat="1" ht="12.75" hidden="1" customHeight="1">
      <c r="A142" s="515"/>
      <c r="B142" s="515"/>
      <c r="C142" s="576"/>
      <c r="D142" s="576"/>
      <c r="E142" s="576"/>
      <c r="F142" s="576"/>
      <c r="G142" s="576"/>
      <c r="H142" s="577"/>
      <c r="I142" s="577"/>
      <c r="J142" s="577"/>
      <c r="K142" s="577"/>
      <c r="L142" s="577"/>
      <c r="M142" s="577"/>
      <c r="N142" s="577"/>
      <c r="O142" s="577"/>
      <c r="P142" s="577"/>
      <c r="Q142" s="522"/>
      <c r="R142" s="516"/>
      <c r="S142" s="516"/>
      <c r="T142" s="521"/>
      <c r="U142" s="516"/>
      <c r="V142" s="548"/>
      <c r="W142" s="548"/>
      <c r="X142" s="548"/>
      <c r="Y142" s="548"/>
      <c r="Z142" s="517"/>
      <c r="AA142" s="517"/>
      <c r="AB142" s="517"/>
      <c r="AC142" s="524"/>
      <c r="AD142" s="517"/>
      <c r="AE142" s="517"/>
      <c r="AF142" s="517"/>
    </row>
    <row r="143" spans="1:32" ht="15" customHeight="1">
      <c r="A143" s="492"/>
      <c r="B143" s="492"/>
      <c r="C143" s="579" t="s">
        <v>730</v>
      </c>
      <c r="D143" s="580"/>
      <c r="E143" s="646" t="s">
        <v>731</v>
      </c>
      <c r="F143" s="580"/>
      <c r="G143" s="580"/>
      <c r="H143" s="460" t="s">
        <v>732</v>
      </c>
      <c r="I143" s="832" t="s">
        <v>605</v>
      </c>
      <c r="J143" s="832"/>
      <c r="K143" s="580"/>
      <c r="L143" s="580"/>
      <c r="M143" s="580"/>
      <c r="N143" s="580"/>
      <c r="O143" s="580"/>
      <c r="P143" s="580"/>
      <c r="Q143" s="507" t="str">
        <f>IF(D72="berekening op basis van minimale capaciteit","verbergen","")</f>
        <v/>
      </c>
      <c r="R143" s="507"/>
      <c r="S143" s="507"/>
      <c r="T143" s="532"/>
      <c r="U143" s="507"/>
      <c r="V143" s="508"/>
      <c r="W143" s="508"/>
      <c r="X143" s="508"/>
      <c r="Y143" s="508"/>
      <c r="Z143" s="508"/>
      <c r="AA143" s="508"/>
      <c r="AB143" s="508"/>
      <c r="AC143" s="534"/>
      <c r="AD143" s="508"/>
      <c r="AE143" s="508"/>
      <c r="AF143" s="508"/>
    </row>
    <row r="144" spans="1:32" s="518" customFormat="1" ht="12" customHeight="1">
      <c r="A144" s="516"/>
      <c r="B144" s="515"/>
      <c r="C144" s="464" t="str">
        <f>L28</f>
        <v>woonkamer / eetkamer</v>
      </c>
      <c r="D144" s="100" t="s">
        <v>141</v>
      </c>
      <c r="E144" s="464" t="str">
        <f>L29</f>
        <v>keuken</v>
      </c>
      <c r="F144" s="586"/>
      <c r="G144" s="586"/>
      <c r="H144" s="647">
        <v>21</v>
      </c>
      <c r="I144" s="833">
        <f>H144*12</f>
        <v>252</v>
      </c>
      <c r="J144" s="833"/>
      <c r="K144" s="834" t="str">
        <f>IF(I144&gt;180,"zie rapport voor nadere toelichting overstroomvoorzieningen","")</f>
        <v>zie rapport voor nadere toelichting overstroomvoorzieningen</v>
      </c>
      <c r="L144" s="834"/>
      <c r="M144" s="834"/>
      <c r="N144" s="834"/>
      <c r="O144" s="834"/>
      <c r="P144" s="834"/>
      <c r="Q144" s="525" t="str">
        <f t="shared" ref="Q144:Q148" si="26">IF(H144=0,"verbergen","")</f>
        <v/>
      </c>
      <c r="R144" s="516"/>
      <c r="S144" s="516"/>
      <c r="T144" s="521"/>
      <c r="U144" s="516"/>
      <c r="V144" s="517"/>
      <c r="W144" s="517"/>
      <c r="X144" s="517"/>
      <c r="Y144" s="517"/>
      <c r="Z144" s="508">
        <v>1</v>
      </c>
      <c r="AA144" s="648"/>
      <c r="AB144" s="517"/>
      <c r="AC144" s="517"/>
      <c r="AD144" s="517"/>
      <c r="AE144" s="517"/>
      <c r="AF144" s="517"/>
    </row>
    <row r="145" spans="1:32" s="518" customFormat="1" ht="12" customHeight="1">
      <c r="A145" s="516"/>
      <c r="B145" s="515"/>
      <c r="C145" s="464" t="str">
        <f>L28</f>
        <v>woonkamer / eetkamer</v>
      </c>
      <c r="D145" s="100" t="s">
        <v>141</v>
      </c>
      <c r="E145" s="464" t="s">
        <v>1159</v>
      </c>
      <c r="F145" s="586"/>
      <c r="G145" s="586"/>
      <c r="H145" s="647">
        <v>14</v>
      </c>
      <c r="I145" s="833">
        <f t="shared" ref="I145:I148" si="27">H145*12</f>
        <v>168</v>
      </c>
      <c r="J145" s="833"/>
      <c r="K145" s="834" t="str">
        <f>IF(I145&gt;180,"zie rapport voor nadere toelichting overstroomvoorzieningen","")</f>
        <v/>
      </c>
      <c r="L145" s="834"/>
      <c r="M145" s="834"/>
      <c r="N145" s="834"/>
      <c r="O145" s="834"/>
      <c r="P145" s="834"/>
      <c r="Q145" s="525" t="str">
        <f t="shared" si="26"/>
        <v/>
      </c>
      <c r="R145" s="516"/>
      <c r="S145" s="516"/>
      <c r="T145" s="521"/>
      <c r="U145" s="516"/>
      <c r="V145" s="517"/>
      <c r="W145" s="517"/>
      <c r="X145" s="517"/>
      <c r="Y145" s="517"/>
      <c r="Z145" s="508">
        <v>1</v>
      </c>
      <c r="AA145" s="648"/>
      <c r="AB145" s="517"/>
      <c r="AC145" s="517"/>
      <c r="AD145" s="517"/>
      <c r="AE145" s="517"/>
      <c r="AF145" s="517"/>
    </row>
    <row r="146" spans="1:32" s="518" customFormat="1" ht="12" hidden="1" customHeight="1">
      <c r="A146" s="516"/>
      <c r="B146" s="515"/>
      <c r="C146" s="464" t="s">
        <v>140</v>
      </c>
      <c r="D146" s="100" t="s">
        <v>141</v>
      </c>
      <c r="E146" s="464" t="s">
        <v>140</v>
      </c>
      <c r="F146" s="586"/>
      <c r="G146" s="586"/>
      <c r="H146" s="647">
        <v>0</v>
      </c>
      <c r="I146" s="833">
        <f t="shared" si="27"/>
        <v>0</v>
      </c>
      <c r="J146" s="833"/>
      <c r="K146" s="834" t="str">
        <f>IF(I146&gt;180,"zie rapport voor nadere toelichting overstroomvoorzieningen","")</f>
        <v/>
      </c>
      <c r="L146" s="834"/>
      <c r="M146" s="834"/>
      <c r="N146" s="834"/>
      <c r="O146" s="834"/>
      <c r="P146" s="834"/>
      <c r="Q146" s="525" t="str">
        <f t="shared" si="26"/>
        <v>verbergen</v>
      </c>
      <c r="R146" s="516"/>
      <c r="S146" s="516"/>
      <c r="T146" s="521"/>
      <c r="U146" s="516"/>
      <c r="V146" s="517"/>
      <c r="W146" s="517"/>
      <c r="X146" s="517"/>
      <c r="Y146" s="517"/>
      <c r="Z146" s="508">
        <v>1</v>
      </c>
      <c r="AA146" s="648"/>
      <c r="AB146" s="517"/>
      <c r="AC146" s="517"/>
      <c r="AD146" s="517"/>
      <c r="AE146" s="517"/>
      <c r="AF146" s="517"/>
    </row>
    <row r="147" spans="1:32" s="518" customFormat="1" ht="12" hidden="1" customHeight="1">
      <c r="A147" s="527"/>
      <c r="B147" s="515"/>
      <c r="C147" s="464" t="s">
        <v>140</v>
      </c>
      <c r="D147" s="100" t="s">
        <v>141</v>
      </c>
      <c r="E147" s="464" t="s">
        <v>140</v>
      </c>
      <c r="F147" s="586"/>
      <c r="G147" s="404"/>
      <c r="H147" s="647">
        <v>0</v>
      </c>
      <c r="I147" s="833">
        <f t="shared" si="27"/>
        <v>0</v>
      </c>
      <c r="J147" s="833"/>
      <c r="K147" s="834" t="str">
        <f>IF(I147&gt;180,"zie rapport voor nadere toelichting overstroomvoorzieningen","")</f>
        <v/>
      </c>
      <c r="L147" s="834"/>
      <c r="M147" s="834"/>
      <c r="N147" s="834"/>
      <c r="O147" s="834"/>
      <c r="P147" s="834"/>
      <c r="Q147" s="525" t="str">
        <f t="shared" si="26"/>
        <v>verbergen</v>
      </c>
      <c r="R147" s="516"/>
      <c r="S147" s="516"/>
      <c r="T147" s="521"/>
      <c r="U147" s="516"/>
      <c r="V147" s="517"/>
      <c r="W147" s="517"/>
      <c r="X147" s="517"/>
      <c r="Y147" s="517"/>
      <c r="Z147" s="508">
        <v>1</v>
      </c>
      <c r="AA147" s="648"/>
      <c r="AB147" s="517"/>
      <c r="AC147" s="517"/>
      <c r="AD147" s="517"/>
      <c r="AE147" s="517"/>
      <c r="AF147" s="517"/>
    </row>
    <row r="148" spans="1:32" s="518" customFormat="1" ht="12" hidden="1" customHeight="1">
      <c r="A148" s="527"/>
      <c r="B148" s="515"/>
      <c r="C148" s="464" t="s">
        <v>140</v>
      </c>
      <c r="D148" s="342" t="s">
        <v>141</v>
      </c>
      <c r="E148" s="464" t="s">
        <v>140</v>
      </c>
      <c r="F148" s="609"/>
      <c r="G148" s="628"/>
      <c r="H148" s="649">
        <v>0</v>
      </c>
      <c r="I148" s="835">
        <f t="shared" si="27"/>
        <v>0</v>
      </c>
      <c r="J148" s="835"/>
      <c r="K148" s="836" t="str">
        <f>IF(I148&gt;180,"zie rapport voor nadere toelichting overstroomvoorzieningen","")</f>
        <v/>
      </c>
      <c r="L148" s="836"/>
      <c r="M148" s="836"/>
      <c r="N148" s="836"/>
      <c r="O148" s="836"/>
      <c r="P148" s="836"/>
      <c r="Q148" s="525" t="str">
        <f t="shared" si="26"/>
        <v>verbergen</v>
      </c>
      <c r="R148" s="516"/>
      <c r="S148" s="516"/>
      <c r="T148" s="521"/>
      <c r="U148" s="516"/>
      <c r="V148" s="517"/>
      <c r="W148" s="517"/>
      <c r="X148" s="517"/>
      <c r="Y148" s="517"/>
      <c r="Z148" s="508">
        <v>1</v>
      </c>
      <c r="AA148" s="648"/>
      <c r="AB148" s="517"/>
      <c r="AC148" s="517"/>
      <c r="AD148" s="517"/>
      <c r="AE148" s="517"/>
      <c r="AF148" s="517"/>
    </row>
    <row r="149" spans="1:32" s="518" customFormat="1" ht="12" customHeight="1">
      <c r="A149" s="527"/>
      <c r="B149" s="590">
        <v>1</v>
      </c>
      <c r="C149" s="480">
        <f>B149</f>
        <v>1</v>
      </c>
      <c r="D149" s="592"/>
      <c r="E149" s="592"/>
      <c r="F149" s="650"/>
      <c r="G149" s="592"/>
      <c r="H149" s="651"/>
      <c r="I149" s="652"/>
      <c r="J149" s="653"/>
      <c r="K149" s="837" t="str">
        <f>IF(MAX(P144:P148)&gt;200,"zie rapport voor nadere toelichting overstroomvoorzieningen","")</f>
        <v/>
      </c>
      <c r="L149" s="837"/>
      <c r="M149" s="837"/>
      <c r="N149" s="837"/>
      <c r="O149" s="837"/>
      <c r="P149" s="837"/>
      <c r="Q149" s="516" t="str">
        <f>IF(SUM(H144:H150)=0,"verbergen","")</f>
        <v/>
      </c>
      <c r="R149" s="516"/>
      <c r="S149" s="516"/>
      <c r="T149" s="521"/>
      <c r="U149" s="516"/>
      <c r="V149" s="517"/>
      <c r="W149" s="517"/>
      <c r="X149" s="517"/>
      <c r="Y149" s="517"/>
      <c r="Z149" s="508">
        <v>1</v>
      </c>
      <c r="AA149" s="648"/>
      <c r="AB149" s="517"/>
      <c r="AC149" s="517"/>
      <c r="AD149" s="517"/>
      <c r="AE149" s="517"/>
      <c r="AF149" s="517"/>
    </row>
    <row r="150" spans="1:32" s="518" customFormat="1" ht="12" customHeight="1">
      <c r="A150" s="527"/>
      <c r="B150" s="515"/>
      <c r="C150" s="654"/>
      <c r="D150" s="404"/>
      <c r="E150" s="404"/>
      <c r="F150" s="586"/>
      <c r="G150" s="404"/>
      <c r="H150" s="655"/>
      <c r="I150" s="656"/>
      <c r="J150" s="657"/>
      <c r="K150" s="838"/>
      <c r="L150" s="838"/>
      <c r="M150" s="839"/>
      <c r="N150" s="839"/>
      <c r="O150" s="840"/>
      <c r="P150" s="840"/>
      <c r="Q150" s="516" t="str">
        <f>Q149</f>
        <v/>
      </c>
      <c r="R150" s="516"/>
      <c r="S150" s="516"/>
      <c r="T150" s="521"/>
      <c r="U150" s="516"/>
      <c r="V150" s="517"/>
      <c r="W150" s="517"/>
      <c r="X150" s="517"/>
      <c r="Y150" s="517"/>
      <c r="Z150" s="508">
        <v>1</v>
      </c>
      <c r="AA150" s="648"/>
      <c r="AB150" s="517"/>
      <c r="AC150" s="517"/>
      <c r="AD150" s="517"/>
      <c r="AE150" s="517"/>
      <c r="AF150" s="517"/>
    </row>
    <row r="151" spans="1:32" s="541" customFormat="1" ht="12" customHeight="1">
      <c r="A151" s="392"/>
      <c r="B151" s="543"/>
      <c r="C151" s="464" t="str">
        <f>L29</f>
        <v>keuken</v>
      </c>
      <c r="D151" s="100" t="s">
        <v>141</v>
      </c>
      <c r="E151" s="464" t="str">
        <f>L30</f>
        <v>bijkeuken</v>
      </c>
      <c r="F151" s="586"/>
      <c r="G151" s="586"/>
      <c r="H151" s="647">
        <v>7</v>
      </c>
      <c r="I151" s="833">
        <f>H151*12</f>
        <v>84</v>
      </c>
      <c r="J151" s="833"/>
      <c r="K151" s="834" t="str">
        <f>IF(I151&gt;180,"zie rapport voor nadere toelichting overstroomvoorzieningen","")</f>
        <v/>
      </c>
      <c r="L151" s="834"/>
      <c r="M151" s="834"/>
      <c r="N151" s="834"/>
      <c r="O151" s="834"/>
      <c r="P151" s="834"/>
      <c r="Q151" s="729" t="str">
        <f>IF(H151=0,"verbergen","")</f>
        <v/>
      </c>
      <c r="R151" s="392"/>
      <c r="S151" s="392"/>
      <c r="T151" s="544"/>
      <c r="U151" s="392"/>
      <c r="V151" s="392"/>
      <c r="W151" s="392"/>
      <c r="X151" s="392"/>
      <c r="Y151" s="392"/>
      <c r="Z151" s="547">
        <f>Z150+1</f>
        <v>2</v>
      </c>
      <c r="AA151" s="404"/>
      <c r="AB151" s="516"/>
      <c r="AC151" s="516"/>
      <c r="AD151" s="516"/>
      <c r="AE151" s="516"/>
      <c r="AF151" s="515"/>
    </row>
    <row r="152" spans="1:32" s="541" customFormat="1" ht="12" hidden="1" customHeight="1">
      <c r="A152" s="392"/>
      <c r="B152" s="543"/>
      <c r="C152" s="464" t="s">
        <v>140</v>
      </c>
      <c r="D152" s="100" t="s">
        <v>141</v>
      </c>
      <c r="E152" s="464" t="s">
        <v>140</v>
      </c>
      <c r="F152" s="586"/>
      <c r="G152" s="586"/>
      <c r="H152" s="647">
        <v>0</v>
      </c>
      <c r="I152" s="833">
        <f t="shared" ref="I152:I155" si="28">H152*12</f>
        <v>0</v>
      </c>
      <c r="J152" s="833"/>
      <c r="K152" s="834" t="str">
        <f>IF(I152&gt;180,"zie rapport voor nadere toelichting overstroomvoorzieningen","")</f>
        <v/>
      </c>
      <c r="L152" s="834"/>
      <c r="M152" s="834"/>
      <c r="N152" s="834"/>
      <c r="O152" s="834"/>
      <c r="P152" s="834"/>
      <c r="Q152" s="729" t="str">
        <f>IF(H152=0,"verbergen","")</f>
        <v>verbergen</v>
      </c>
      <c r="R152" s="392"/>
      <c r="S152" s="392"/>
      <c r="T152" s="544"/>
      <c r="U152" s="392"/>
      <c r="V152" s="392"/>
      <c r="W152" s="392"/>
      <c r="X152" s="392"/>
      <c r="Y152" s="392"/>
      <c r="Z152" s="547">
        <f t="shared" ref="Z152:Z157" si="29">Z151</f>
        <v>2</v>
      </c>
      <c r="AA152" s="404"/>
      <c r="AB152" s="516"/>
      <c r="AC152" s="516"/>
      <c r="AD152" s="516"/>
      <c r="AE152" s="516"/>
      <c r="AF152" s="515"/>
    </row>
    <row r="153" spans="1:32" s="541" customFormat="1" ht="12" hidden="1" customHeight="1">
      <c r="A153" s="392"/>
      <c r="B153" s="543"/>
      <c r="C153" s="464" t="s">
        <v>140</v>
      </c>
      <c r="D153" s="100" t="s">
        <v>141</v>
      </c>
      <c r="E153" s="464" t="s">
        <v>140</v>
      </c>
      <c r="F153" s="586"/>
      <c r="G153" s="586"/>
      <c r="H153" s="647">
        <v>0</v>
      </c>
      <c r="I153" s="833">
        <f t="shared" si="28"/>
        <v>0</v>
      </c>
      <c r="J153" s="833"/>
      <c r="K153" s="834" t="str">
        <f>IF(I153&gt;180,"zie rapport voor nadere toelichting overstroomvoorzieningen","")</f>
        <v/>
      </c>
      <c r="L153" s="834"/>
      <c r="M153" s="834"/>
      <c r="N153" s="834"/>
      <c r="O153" s="834"/>
      <c r="P153" s="834"/>
      <c r="Q153" s="729" t="str">
        <f>IF(H153=0,"verbergen","")</f>
        <v>verbergen</v>
      </c>
      <c r="R153" s="392"/>
      <c r="S153" s="392"/>
      <c r="T153" s="544"/>
      <c r="U153" s="392"/>
      <c r="V153" s="392"/>
      <c r="W153" s="392"/>
      <c r="X153" s="392"/>
      <c r="Y153" s="392"/>
      <c r="Z153" s="547">
        <f t="shared" si="29"/>
        <v>2</v>
      </c>
      <c r="AA153" s="404"/>
      <c r="AB153" s="516"/>
      <c r="AC153" s="516"/>
      <c r="AD153" s="516"/>
      <c r="AE153" s="516"/>
      <c r="AF153" s="515"/>
    </row>
    <row r="154" spans="1:32" s="541" customFormat="1" ht="12" hidden="1" customHeight="1">
      <c r="A154" s="542"/>
      <c r="B154" s="543"/>
      <c r="C154" s="464" t="s">
        <v>140</v>
      </c>
      <c r="D154" s="100" t="s">
        <v>141</v>
      </c>
      <c r="E154" s="464" t="s">
        <v>140</v>
      </c>
      <c r="F154" s="586"/>
      <c r="G154" s="404"/>
      <c r="H154" s="647">
        <v>0</v>
      </c>
      <c r="I154" s="833">
        <f t="shared" si="28"/>
        <v>0</v>
      </c>
      <c r="J154" s="833"/>
      <c r="K154" s="834" t="str">
        <f>IF(I154&gt;180,"zie rapport voor nadere toelichting overstroomvoorzieningen","")</f>
        <v/>
      </c>
      <c r="L154" s="834"/>
      <c r="M154" s="834"/>
      <c r="N154" s="834"/>
      <c r="O154" s="834"/>
      <c r="P154" s="834"/>
      <c r="Q154" s="729" t="str">
        <f>IF(H154=0,"verbergen","")</f>
        <v>verbergen</v>
      </c>
      <c r="R154" s="392"/>
      <c r="S154" s="392"/>
      <c r="T154" s="544"/>
      <c r="U154" s="392"/>
      <c r="V154" s="392"/>
      <c r="W154" s="392"/>
      <c r="X154" s="392"/>
      <c r="Y154" s="392"/>
      <c r="Z154" s="547">
        <f t="shared" si="29"/>
        <v>2</v>
      </c>
      <c r="AA154" s="404"/>
      <c r="AB154" s="516"/>
      <c r="AC154" s="516"/>
      <c r="AD154" s="516"/>
      <c r="AE154" s="516"/>
      <c r="AF154" s="515"/>
    </row>
    <row r="155" spans="1:32" s="541" customFormat="1" ht="12" hidden="1" customHeight="1">
      <c r="A155" s="542"/>
      <c r="B155" s="543"/>
      <c r="C155" s="464" t="s">
        <v>140</v>
      </c>
      <c r="D155" s="342" t="s">
        <v>141</v>
      </c>
      <c r="E155" s="464" t="s">
        <v>140</v>
      </c>
      <c r="F155" s="609"/>
      <c r="G155" s="628"/>
      <c r="H155" s="649">
        <v>0</v>
      </c>
      <c r="I155" s="835">
        <f t="shared" si="28"/>
        <v>0</v>
      </c>
      <c r="J155" s="835"/>
      <c r="K155" s="836" t="str">
        <f>IF(I155&gt;180,"zie rapport voor nadere toelichting overstroomvoorzieningen","")</f>
        <v/>
      </c>
      <c r="L155" s="836"/>
      <c r="M155" s="836"/>
      <c r="N155" s="836"/>
      <c r="O155" s="836"/>
      <c r="P155" s="836"/>
      <c r="Q155" s="729" t="str">
        <f>IF(H155=0,"verbergen","")</f>
        <v>verbergen</v>
      </c>
      <c r="R155" s="392"/>
      <c r="S155" s="392"/>
      <c r="T155" s="544"/>
      <c r="U155" s="392"/>
      <c r="V155" s="392"/>
      <c r="W155" s="392"/>
      <c r="X155" s="392"/>
      <c r="Y155" s="392"/>
      <c r="Z155" s="547">
        <f t="shared" si="29"/>
        <v>2</v>
      </c>
      <c r="AA155" s="404"/>
      <c r="AB155" s="516"/>
      <c r="AC155" s="516"/>
      <c r="AD155" s="516"/>
      <c r="AE155" s="516"/>
      <c r="AF155" s="515"/>
    </row>
    <row r="156" spans="1:32" s="541" customFormat="1" ht="12" customHeight="1">
      <c r="A156" s="542"/>
      <c r="B156" s="556">
        <f>B149+1</f>
        <v>2</v>
      </c>
      <c r="C156" s="480">
        <f>B156</f>
        <v>2</v>
      </c>
      <c r="D156" s="592"/>
      <c r="E156" s="592"/>
      <c r="F156" s="650"/>
      <c r="G156" s="592"/>
      <c r="H156" s="651"/>
      <c r="I156" s="652"/>
      <c r="J156" s="653"/>
      <c r="K156" s="837" t="str">
        <f>IF(MAX(P151:P155)&gt;200,"zie rapport voor nadere toelichting overstroomvoorzieningen","")</f>
        <v/>
      </c>
      <c r="L156" s="837"/>
      <c r="M156" s="837"/>
      <c r="N156" s="837"/>
      <c r="O156" s="837"/>
      <c r="P156" s="837"/>
      <c r="Q156" s="392" t="str">
        <f>IF(SUM(H151:H157)=0,"verbergen","")</f>
        <v/>
      </c>
      <c r="R156" s="392"/>
      <c r="S156" s="392"/>
      <c r="T156" s="544"/>
      <c r="U156" s="392"/>
      <c r="V156" s="392"/>
      <c r="W156" s="392"/>
      <c r="X156" s="392"/>
      <c r="Y156" s="392"/>
      <c r="Z156" s="547">
        <f t="shared" si="29"/>
        <v>2</v>
      </c>
      <c r="AA156" s="404"/>
      <c r="AB156" s="516"/>
      <c r="AC156" s="516"/>
      <c r="AD156" s="516"/>
      <c r="AE156" s="516"/>
      <c r="AF156" s="515"/>
    </row>
    <row r="157" spans="1:32" s="541" customFormat="1" ht="12" customHeight="1">
      <c r="A157" s="542"/>
      <c r="B157" s="543"/>
      <c r="C157" s="654"/>
      <c r="D157" s="404"/>
      <c r="E157" s="404"/>
      <c r="F157" s="586"/>
      <c r="G157" s="404"/>
      <c r="H157" s="655"/>
      <c r="I157" s="656"/>
      <c r="J157" s="657"/>
      <c r="K157" s="838"/>
      <c r="L157" s="838"/>
      <c r="M157" s="839"/>
      <c r="N157" s="839"/>
      <c r="O157" s="840"/>
      <c r="P157" s="840"/>
      <c r="Q157" s="392" t="str">
        <f>Q156</f>
        <v/>
      </c>
      <c r="R157" s="392"/>
      <c r="S157" s="392"/>
      <c r="T157" s="544"/>
      <c r="U157" s="392"/>
      <c r="V157" s="392"/>
      <c r="W157" s="392"/>
      <c r="X157" s="392"/>
      <c r="Y157" s="392"/>
      <c r="Z157" s="547">
        <f t="shared" si="29"/>
        <v>2</v>
      </c>
      <c r="AA157" s="404"/>
      <c r="AB157" s="516"/>
      <c r="AC157" s="516"/>
      <c r="AD157" s="516"/>
      <c r="AE157" s="516"/>
      <c r="AF157" s="515"/>
    </row>
    <row r="158" spans="1:32" s="541" customFormat="1" ht="12" customHeight="1">
      <c r="A158" s="392"/>
      <c r="B158" s="543"/>
      <c r="C158" s="464" t="str">
        <f>L31</f>
        <v>slaapkamer 1</v>
      </c>
      <c r="D158" s="100" t="s">
        <v>141</v>
      </c>
      <c r="E158" s="464" t="s">
        <v>1158</v>
      </c>
      <c r="F158" s="586"/>
      <c r="G158" s="586"/>
      <c r="H158" s="647">
        <v>14</v>
      </c>
      <c r="I158" s="833">
        <f>H158*12</f>
        <v>168</v>
      </c>
      <c r="J158" s="833"/>
      <c r="K158" s="834" t="str">
        <f>IF(I158&gt;200,"zie rapport voor nadere toelichting overstroomvoorzieningen","")</f>
        <v/>
      </c>
      <c r="L158" s="834"/>
      <c r="M158" s="834"/>
      <c r="N158" s="834"/>
      <c r="O158" s="834"/>
      <c r="P158" s="834"/>
      <c r="Q158" s="729" t="str">
        <f>IF(H158=0,"verbergen","")</f>
        <v/>
      </c>
      <c r="R158" s="392"/>
      <c r="S158" s="392"/>
      <c r="T158" s="544"/>
      <c r="U158" s="392"/>
      <c r="V158" s="392"/>
      <c r="W158" s="392"/>
      <c r="X158" s="392"/>
      <c r="Y158" s="392"/>
      <c r="Z158" s="547">
        <f>Z157+1</f>
        <v>3</v>
      </c>
      <c r="AA158" s="404"/>
      <c r="AB158" s="516"/>
      <c r="AC158" s="516"/>
      <c r="AD158" s="516"/>
      <c r="AE158" s="516"/>
      <c r="AF158" s="515"/>
    </row>
    <row r="159" spans="1:32" s="541" customFormat="1" ht="12" customHeight="1">
      <c r="A159" s="392"/>
      <c r="B159" s="543"/>
      <c r="C159" s="464" t="str">
        <f t="shared" ref="C159:C160" si="30">L32</f>
        <v>slaapkamer 2</v>
      </c>
      <c r="D159" s="100" t="s">
        <v>141</v>
      </c>
      <c r="E159" s="464" t="s">
        <v>1158</v>
      </c>
      <c r="F159" s="586"/>
      <c r="G159" s="586"/>
      <c r="H159" s="647">
        <v>14</v>
      </c>
      <c r="I159" s="833">
        <f t="shared" ref="I159:I162" si="31">H159*12</f>
        <v>168</v>
      </c>
      <c r="J159" s="833"/>
      <c r="K159" s="834" t="str">
        <f>IF(I159&gt;200,"zie rapport voor nadere toelichting overstroomvoorzieningen","")</f>
        <v/>
      </c>
      <c r="L159" s="834"/>
      <c r="M159" s="834"/>
      <c r="N159" s="834"/>
      <c r="O159" s="834"/>
      <c r="P159" s="834"/>
      <c r="Q159" s="729" t="str">
        <f>IF(H159=0,"verbergen","")</f>
        <v/>
      </c>
      <c r="R159" s="392"/>
      <c r="S159" s="392"/>
      <c r="T159" s="544"/>
      <c r="U159" s="392"/>
      <c r="V159" s="392"/>
      <c r="W159" s="392"/>
      <c r="X159" s="392"/>
      <c r="Y159" s="392"/>
      <c r="Z159" s="547">
        <f t="shared" ref="Z159:Z164" si="32">Z158</f>
        <v>3</v>
      </c>
      <c r="AA159" s="404"/>
      <c r="AB159" s="516"/>
      <c r="AC159" s="516"/>
      <c r="AD159" s="516"/>
      <c r="AE159" s="516"/>
      <c r="AF159" s="515"/>
    </row>
    <row r="160" spans="1:32" s="541" customFormat="1" ht="12" customHeight="1">
      <c r="A160" s="392"/>
      <c r="B160" s="543"/>
      <c r="C160" s="464" t="str">
        <f t="shared" si="30"/>
        <v>studeerkamer</v>
      </c>
      <c r="D160" s="100" t="s">
        <v>141</v>
      </c>
      <c r="E160" s="464" t="s">
        <v>1158</v>
      </c>
      <c r="F160" s="586"/>
      <c r="G160" s="586"/>
      <c r="H160" s="647">
        <v>14</v>
      </c>
      <c r="I160" s="833">
        <f t="shared" si="31"/>
        <v>168</v>
      </c>
      <c r="J160" s="833"/>
      <c r="K160" s="834" t="str">
        <f>IF(I160&gt;200,"zie rapport voor nadere toelichting overstroomvoorzieningen","")</f>
        <v/>
      </c>
      <c r="L160" s="834"/>
      <c r="M160" s="834"/>
      <c r="N160" s="834"/>
      <c r="O160" s="834"/>
      <c r="P160" s="834"/>
      <c r="Q160" s="729" t="str">
        <f>IF(H160=0,"verbergen","")</f>
        <v/>
      </c>
      <c r="R160" s="392"/>
      <c r="S160" s="392"/>
      <c r="T160" s="544"/>
      <c r="U160" s="392"/>
      <c r="V160" s="392"/>
      <c r="W160" s="392"/>
      <c r="X160" s="392"/>
      <c r="Y160" s="392"/>
      <c r="Z160" s="547">
        <f t="shared" si="32"/>
        <v>3</v>
      </c>
      <c r="AA160" s="404"/>
      <c r="AB160" s="516"/>
      <c r="AC160" s="516"/>
      <c r="AD160" s="516"/>
      <c r="AE160" s="516"/>
      <c r="AF160" s="515"/>
    </row>
    <row r="161" spans="1:32" s="541" customFormat="1" ht="12" hidden="1" customHeight="1">
      <c r="A161" s="542"/>
      <c r="B161" s="543"/>
      <c r="C161" s="464" t="s">
        <v>140</v>
      </c>
      <c r="D161" s="100" t="s">
        <v>141</v>
      </c>
      <c r="E161" s="464" t="s">
        <v>140</v>
      </c>
      <c r="F161" s="586"/>
      <c r="G161" s="404"/>
      <c r="H161" s="647">
        <v>0</v>
      </c>
      <c r="I161" s="833">
        <f t="shared" si="31"/>
        <v>0</v>
      </c>
      <c r="J161" s="833"/>
      <c r="K161" s="834" t="str">
        <f>IF(I161&gt;200,"zie rapport voor nadere toelichting overstroomvoorzieningen","")</f>
        <v/>
      </c>
      <c r="L161" s="834"/>
      <c r="M161" s="834"/>
      <c r="N161" s="834"/>
      <c r="O161" s="834"/>
      <c r="P161" s="834"/>
      <c r="Q161" s="729" t="str">
        <f>IF(H161=0,"verbergen","")</f>
        <v>verbergen</v>
      </c>
      <c r="R161" s="392"/>
      <c r="S161" s="392"/>
      <c r="T161" s="544"/>
      <c r="U161" s="392"/>
      <c r="V161" s="392"/>
      <c r="W161" s="392"/>
      <c r="X161" s="392"/>
      <c r="Y161" s="392"/>
      <c r="Z161" s="547">
        <f t="shared" si="32"/>
        <v>3</v>
      </c>
      <c r="AA161" s="404"/>
      <c r="AB161" s="516"/>
      <c r="AC161" s="516"/>
      <c r="AD161" s="516"/>
      <c r="AE161" s="516"/>
      <c r="AF161" s="515"/>
    </row>
    <row r="162" spans="1:32" s="541" customFormat="1" ht="12" hidden="1" customHeight="1">
      <c r="A162" s="542"/>
      <c r="B162" s="543"/>
      <c r="C162" s="472" t="s">
        <v>140</v>
      </c>
      <c r="D162" s="100" t="s">
        <v>141</v>
      </c>
      <c r="E162" s="472" t="s">
        <v>140</v>
      </c>
      <c r="F162" s="609"/>
      <c r="G162" s="628"/>
      <c r="H162" s="649">
        <v>0</v>
      </c>
      <c r="I162" s="835">
        <f t="shared" si="31"/>
        <v>0</v>
      </c>
      <c r="J162" s="835"/>
      <c r="K162" s="836" t="str">
        <f>IF(I162&gt;200,"zie rapport voor nadere toelichting overstroomvoorzieningen","")</f>
        <v/>
      </c>
      <c r="L162" s="836"/>
      <c r="M162" s="836"/>
      <c r="N162" s="836"/>
      <c r="O162" s="836"/>
      <c r="P162" s="836"/>
      <c r="Q162" s="729" t="str">
        <f>IF(H162=0,"verbergen","")</f>
        <v>verbergen</v>
      </c>
      <c r="R162" s="392"/>
      <c r="S162" s="392"/>
      <c r="T162" s="544"/>
      <c r="U162" s="392"/>
      <c r="V162" s="392"/>
      <c r="W162" s="392"/>
      <c r="X162" s="392"/>
      <c r="Y162" s="392"/>
      <c r="Z162" s="547">
        <f t="shared" si="32"/>
        <v>3</v>
      </c>
      <c r="AA162" s="404"/>
      <c r="AB162" s="516"/>
      <c r="AC162" s="516"/>
      <c r="AD162" s="516"/>
      <c r="AE162" s="516"/>
      <c r="AF162" s="515"/>
    </row>
    <row r="163" spans="1:32" s="541" customFormat="1" ht="12" customHeight="1">
      <c r="A163" s="542"/>
      <c r="B163" s="556">
        <f>B156+1</f>
        <v>3</v>
      </c>
      <c r="C163" s="480">
        <f>B163</f>
        <v>3</v>
      </c>
      <c r="D163" s="592"/>
      <c r="E163" s="592"/>
      <c r="F163" s="650"/>
      <c r="G163" s="592"/>
      <c r="H163" s="651"/>
      <c r="I163" s="652"/>
      <c r="J163" s="653"/>
      <c r="K163" s="837" t="str">
        <f>IF(MAX(P158:P162)&gt;200,"zie rapport voor nadere toelichting overstroomvoorzieningen","")</f>
        <v/>
      </c>
      <c r="L163" s="837"/>
      <c r="M163" s="837"/>
      <c r="N163" s="837"/>
      <c r="O163" s="837"/>
      <c r="P163" s="837"/>
      <c r="Q163" s="392" t="str">
        <f>IF(SUM(H158:H164)=0,"verbergen","")</f>
        <v/>
      </c>
      <c r="R163" s="392"/>
      <c r="S163" s="392"/>
      <c r="T163" s="544"/>
      <c r="U163" s="392"/>
      <c r="V163" s="392"/>
      <c r="W163" s="392"/>
      <c r="X163" s="392"/>
      <c r="Y163" s="392"/>
      <c r="Z163" s="547">
        <f t="shared" si="32"/>
        <v>3</v>
      </c>
      <c r="AA163" s="404"/>
      <c r="AB163" s="516"/>
      <c r="AC163" s="516"/>
      <c r="AD163" s="516"/>
      <c r="AE163" s="516"/>
      <c r="AF163" s="515"/>
    </row>
    <row r="164" spans="1:32" s="541" customFormat="1" ht="12" customHeight="1">
      <c r="A164" s="542"/>
      <c r="B164" s="543"/>
      <c r="C164" s="654"/>
      <c r="D164" s="404"/>
      <c r="E164" s="404"/>
      <c r="F164" s="586"/>
      <c r="G164" s="404"/>
      <c r="H164" s="655"/>
      <c r="I164" s="656"/>
      <c r="J164" s="657"/>
      <c r="K164" s="838"/>
      <c r="L164" s="838"/>
      <c r="M164" s="839"/>
      <c r="N164" s="839"/>
      <c r="O164" s="840"/>
      <c r="P164" s="840"/>
      <c r="Q164" s="392" t="str">
        <f>Q163</f>
        <v/>
      </c>
      <c r="R164" s="392"/>
      <c r="S164" s="392"/>
      <c r="T164" s="544"/>
      <c r="U164" s="392"/>
      <c r="V164" s="392"/>
      <c r="W164" s="392"/>
      <c r="X164" s="392"/>
      <c r="Y164" s="392"/>
      <c r="Z164" s="547">
        <f t="shared" si="32"/>
        <v>3</v>
      </c>
      <c r="AA164" s="404"/>
      <c r="AB164" s="516"/>
      <c r="AC164" s="516"/>
      <c r="AD164" s="516"/>
      <c r="AE164" s="516"/>
      <c r="AF164" s="515"/>
    </row>
    <row r="165" spans="1:32" s="541" customFormat="1" ht="12" customHeight="1">
      <c r="A165" s="392"/>
      <c r="B165" s="543"/>
      <c r="C165" s="464" t="str">
        <f>L34</f>
        <v>slaapkamer 3</v>
      </c>
      <c r="D165" s="100" t="s">
        <v>141</v>
      </c>
      <c r="E165" s="464" t="s">
        <v>1158</v>
      </c>
      <c r="F165" s="586"/>
      <c r="G165" s="586"/>
      <c r="H165" s="647">
        <v>14</v>
      </c>
      <c r="I165" s="833">
        <f>H165*12</f>
        <v>168</v>
      </c>
      <c r="J165" s="833"/>
      <c r="K165" s="834" t="str">
        <f>IF(I165&gt;200,"zie rapport voor nadere toelichting overstroomvoorzieningen","")</f>
        <v/>
      </c>
      <c r="L165" s="834"/>
      <c r="M165" s="834"/>
      <c r="N165" s="834"/>
      <c r="O165" s="834"/>
      <c r="P165" s="834"/>
      <c r="Q165" s="729" t="str">
        <f>IF(H165=0,"verbergen","")</f>
        <v/>
      </c>
      <c r="R165" s="392"/>
      <c r="S165" s="392"/>
      <c r="T165" s="544"/>
      <c r="U165" s="392"/>
      <c r="V165" s="392"/>
      <c r="W165" s="392"/>
      <c r="X165" s="392"/>
      <c r="Y165" s="392"/>
      <c r="Z165" s="547">
        <f>Z164+1</f>
        <v>4</v>
      </c>
      <c r="AA165" s="404"/>
      <c r="AB165" s="516"/>
      <c r="AC165" s="516"/>
      <c r="AD165" s="516"/>
      <c r="AE165" s="516"/>
      <c r="AF165" s="515"/>
    </row>
    <row r="166" spans="1:32" s="541" customFormat="1" ht="12" hidden="1" customHeight="1">
      <c r="A166" s="392"/>
      <c r="B166" s="543"/>
      <c r="C166" s="464" t="s">
        <v>140</v>
      </c>
      <c r="D166" s="100" t="s">
        <v>141</v>
      </c>
      <c r="E166" s="464" t="s">
        <v>140</v>
      </c>
      <c r="F166" s="586"/>
      <c r="G166" s="586"/>
      <c r="H166" s="647">
        <v>0</v>
      </c>
      <c r="I166" s="833">
        <f t="shared" ref="I166:I169" si="33">H166*12</f>
        <v>0</v>
      </c>
      <c r="J166" s="833"/>
      <c r="K166" s="834" t="str">
        <f>IF(I166&gt;200,"zie rapport voor nadere toelichting overstroomvoorzieningen","")</f>
        <v/>
      </c>
      <c r="L166" s="834"/>
      <c r="M166" s="834"/>
      <c r="N166" s="834"/>
      <c r="O166" s="834"/>
      <c r="P166" s="834"/>
      <c r="Q166" s="729" t="str">
        <f>IF(H166=0,"verbergen","")</f>
        <v>verbergen</v>
      </c>
      <c r="R166" s="392"/>
      <c r="S166" s="392"/>
      <c r="T166" s="544"/>
      <c r="U166" s="392"/>
      <c r="V166" s="392"/>
      <c r="W166" s="392"/>
      <c r="X166" s="392"/>
      <c r="Y166" s="392"/>
      <c r="Z166" s="547">
        <f t="shared" ref="Z166:Z171" si="34">Z165</f>
        <v>4</v>
      </c>
      <c r="AA166" s="404"/>
      <c r="AB166" s="516"/>
      <c r="AC166" s="516"/>
      <c r="AD166" s="516"/>
      <c r="AE166" s="516"/>
      <c r="AF166" s="515"/>
    </row>
    <row r="167" spans="1:32" s="541" customFormat="1" ht="12" hidden="1" customHeight="1">
      <c r="A167" s="392"/>
      <c r="B167" s="543"/>
      <c r="C167" s="464" t="s">
        <v>140</v>
      </c>
      <c r="D167" s="100" t="s">
        <v>141</v>
      </c>
      <c r="E167" s="464" t="s">
        <v>140</v>
      </c>
      <c r="F167" s="586"/>
      <c r="G167" s="586"/>
      <c r="H167" s="647">
        <v>0</v>
      </c>
      <c r="I167" s="833">
        <f t="shared" si="33"/>
        <v>0</v>
      </c>
      <c r="J167" s="833"/>
      <c r="K167" s="834" t="str">
        <f>IF(I167&gt;200,"zie rapport voor nadere toelichting overstroomvoorzieningen","")</f>
        <v/>
      </c>
      <c r="L167" s="834"/>
      <c r="M167" s="834"/>
      <c r="N167" s="834"/>
      <c r="O167" s="834"/>
      <c r="P167" s="834"/>
      <c r="Q167" s="729" t="str">
        <f>IF(H167=0,"verbergen","")</f>
        <v>verbergen</v>
      </c>
      <c r="R167" s="392"/>
      <c r="S167" s="392"/>
      <c r="T167" s="544"/>
      <c r="U167" s="392"/>
      <c r="V167" s="392"/>
      <c r="W167" s="392"/>
      <c r="X167" s="392"/>
      <c r="Y167" s="392"/>
      <c r="Z167" s="547">
        <f t="shared" si="34"/>
        <v>4</v>
      </c>
      <c r="AA167" s="404"/>
      <c r="AB167" s="516"/>
      <c r="AC167" s="516"/>
      <c r="AD167" s="516"/>
      <c r="AE167" s="516"/>
      <c r="AF167" s="515"/>
    </row>
    <row r="168" spans="1:32" s="541" customFormat="1" ht="12" hidden="1" customHeight="1">
      <c r="A168" s="542"/>
      <c r="B168" s="543"/>
      <c r="C168" s="464" t="s">
        <v>140</v>
      </c>
      <c r="D168" s="100" t="s">
        <v>141</v>
      </c>
      <c r="E168" s="464" t="s">
        <v>140</v>
      </c>
      <c r="F168" s="586"/>
      <c r="G168" s="404"/>
      <c r="H168" s="647">
        <v>0</v>
      </c>
      <c r="I168" s="833">
        <f t="shared" si="33"/>
        <v>0</v>
      </c>
      <c r="J168" s="833"/>
      <c r="K168" s="834" t="str">
        <f>IF(I168&gt;200,"zie rapport voor nadere toelichting overstroomvoorzieningen","")</f>
        <v/>
      </c>
      <c r="L168" s="834"/>
      <c r="M168" s="834"/>
      <c r="N168" s="834"/>
      <c r="O168" s="834"/>
      <c r="P168" s="834"/>
      <c r="Q168" s="729" t="str">
        <f>IF(H168=0,"verbergen","")</f>
        <v>verbergen</v>
      </c>
      <c r="R168" s="392"/>
      <c r="S168" s="392"/>
      <c r="T168" s="544"/>
      <c r="U168" s="392"/>
      <c r="V168" s="392"/>
      <c r="W168" s="392"/>
      <c r="X168" s="392"/>
      <c r="Y168" s="392"/>
      <c r="Z168" s="547">
        <f t="shared" si="34"/>
        <v>4</v>
      </c>
      <c r="AA168" s="404"/>
      <c r="AB168" s="516"/>
      <c r="AC168" s="516"/>
      <c r="AD168" s="516"/>
      <c r="AE168" s="516"/>
      <c r="AF168" s="515"/>
    </row>
    <row r="169" spans="1:32" s="541" customFormat="1" ht="12" hidden="1" customHeight="1">
      <c r="A169" s="542"/>
      <c r="B169" s="543"/>
      <c r="C169" s="472" t="s">
        <v>140</v>
      </c>
      <c r="D169" s="100" t="s">
        <v>141</v>
      </c>
      <c r="E169" s="472" t="s">
        <v>140</v>
      </c>
      <c r="F169" s="609"/>
      <c r="G169" s="628"/>
      <c r="H169" s="649">
        <v>0</v>
      </c>
      <c r="I169" s="835">
        <f t="shared" si="33"/>
        <v>0</v>
      </c>
      <c r="J169" s="835"/>
      <c r="K169" s="836" t="str">
        <f>IF(I169&gt;200,"zie rapport voor nadere toelichting overstroomvoorzieningen","")</f>
        <v/>
      </c>
      <c r="L169" s="836"/>
      <c r="M169" s="836"/>
      <c r="N169" s="836"/>
      <c r="O169" s="836"/>
      <c r="P169" s="836"/>
      <c r="Q169" s="729" t="str">
        <f>IF(H169=0,"verbergen","")</f>
        <v>verbergen</v>
      </c>
      <c r="R169" s="392"/>
      <c r="S169" s="392"/>
      <c r="T169" s="544"/>
      <c r="U169" s="392"/>
      <c r="V169" s="392"/>
      <c r="W169" s="392"/>
      <c r="X169" s="392"/>
      <c r="Y169" s="392"/>
      <c r="Z169" s="547">
        <f t="shared" si="34"/>
        <v>4</v>
      </c>
      <c r="AA169" s="404"/>
      <c r="AB169" s="516"/>
      <c r="AC169" s="516"/>
      <c r="AD169" s="516"/>
      <c r="AE169" s="516"/>
      <c r="AF169" s="515"/>
    </row>
    <row r="170" spans="1:32" s="541" customFormat="1" ht="12" customHeight="1">
      <c r="A170" s="542"/>
      <c r="B170" s="556">
        <f>B163+1</f>
        <v>4</v>
      </c>
      <c r="C170" s="480">
        <f>B170</f>
        <v>4</v>
      </c>
      <c r="D170" s="592"/>
      <c r="E170" s="592"/>
      <c r="F170" s="650"/>
      <c r="G170" s="592"/>
      <c r="H170" s="651"/>
      <c r="I170" s="652"/>
      <c r="J170" s="653"/>
      <c r="K170" s="837" t="str">
        <f>IF(MAX(P165:P169)&gt;200,"zie rapport voor nadere toelichting overstroomvoorzieningen","")</f>
        <v/>
      </c>
      <c r="L170" s="837"/>
      <c r="M170" s="837"/>
      <c r="N170" s="837"/>
      <c r="O170" s="837"/>
      <c r="P170" s="837"/>
      <c r="Q170" s="392" t="str">
        <f>IF(SUM(H165:H171)=0,"verbergen","")</f>
        <v/>
      </c>
      <c r="R170" s="392"/>
      <c r="S170" s="392"/>
      <c r="T170" s="544"/>
      <c r="U170" s="392"/>
      <c r="V170" s="392"/>
      <c r="W170" s="392"/>
      <c r="X170" s="392"/>
      <c r="Y170" s="392"/>
      <c r="Z170" s="547">
        <f t="shared" si="34"/>
        <v>4</v>
      </c>
      <c r="AA170" s="404"/>
      <c r="AB170" s="516"/>
      <c r="AC170" s="516"/>
      <c r="AD170" s="516"/>
      <c r="AE170" s="516"/>
      <c r="AF170" s="515"/>
    </row>
    <row r="171" spans="1:32" s="541" customFormat="1" ht="12" customHeight="1">
      <c r="A171" s="542"/>
      <c r="B171" s="543"/>
      <c r="C171" s="654"/>
      <c r="D171" s="404"/>
      <c r="E171" s="404"/>
      <c r="F171" s="586"/>
      <c r="G171" s="404"/>
      <c r="H171" s="655"/>
      <c r="I171" s="656"/>
      <c r="J171" s="657"/>
      <c r="K171" s="838"/>
      <c r="L171" s="838"/>
      <c r="M171" s="839"/>
      <c r="N171" s="839"/>
      <c r="O171" s="840"/>
      <c r="P171" s="840"/>
      <c r="Q171" s="392" t="str">
        <f>Q170</f>
        <v/>
      </c>
      <c r="R171" s="392"/>
      <c r="S171" s="392"/>
      <c r="T171" s="544"/>
      <c r="U171" s="392"/>
      <c r="V171" s="392"/>
      <c r="W171" s="392"/>
      <c r="X171" s="392"/>
      <c r="Y171" s="392"/>
      <c r="Z171" s="547">
        <f t="shared" si="34"/>
        <v>4</v>
      </c>
      <c r="AA171" s="404"/>
      <c r="AB171" s="516"/>
      <c r="AC171" s="516"/>
      <c r="AD171" s="516"/>
      <c r="AE171" s="516"/>
      <c r="AF171" s="515"/>
    </row>
    <row r="172" spans="1:32" s="518" customFormat="1" ht="12" customHeight="1">
      <c r="A172" s="516"/>
      <c r="B172" s="515"/>
      <c r="C172" s="464" t="s">
        <v>1158</v>
      </c>
      <c r="D172" s="100" t="s">
        <v>141</v>
      </c>
      <c r="E172" s="464" t="str">
        <f>L28</f>
        <v>woonkamer / eetkamer</v>
      </c>
      <c r="F172" s="586"/>
      <c r="G172" s="586"/>
      <c r="H172" s="647">
        <f>H133</f>
        <v>7</v>
      </c>
      <c r="I172" s="833">
        <f>H172*12</f>
        <v>84</v>
      </c>
      <c r="J172" s="833"/>
      <c r="K172" s="834" t="str">
        <f>IF(I172&gt;180,"zie rapport voor nadere toelichting overstroomvoorzieningen","")</f>
        <v/>
      </c>
      <c r="L172" s="834"/>
      <c r="M172" s="834"/>
      <c r="N172" s="834"/>
      <c r="O172" s="834"/>
      <c r="P172" s="834"/>
      <c r="Q172" s="525" t="str">
        <f>IF(H172=0,"verbergen","")</f>
        <v/>
      </c>
      <c r="R172" s="516"/>
      <c r="S172" s="516"/>
      <c r="T172" s="521"/>
      <c r="U172" s="516"/>
      <c r="V172" s="517"/>
      <c r="W172" s="517"/>
      <c r="X172" s="517"/>
      <c r="Y172" s="517"/>
      <c r="Z172" s="508"/>
      <c r="AA172" s="648"/>
      <c r="AB172" s="517"/>
      <c r="AC172" s="517"/>
      <c r="AD172" s="517"/>
      <c r="AE172" s="517"/>
      <c r="AF172" s="517"/>
    </row>
    <row r="173" spans="1:32" s="518" customFormat="1" ht="12" customHeight="1">
      <c r="A173" s="516"/>
      <c r="B173" s="515"/>
      <c r="C173" s="464" t="s">
        <v>1158</v>
      </c>
      <c r="D173" s="100" t="s">
        <v>141</v>
      </c>
      <c r="E173" s="464" t="s">
        <v>1160</v>
      </c>
      <c r="F173" s="586"/>
      <c r="G173" s="586"/>
      <c r="H173" s="647">
        <v>14</v>
      </c>
      <c r="I173" s="833">
        <f t="shared" ref="I173:I176" si="35">H173*12</f>
        <v>168</v>
      </c>
      <c r="J173" s="833"/>
      <c r="K173" s="834" t="str">
        <f>IF(I173&gt;180,"zie rapport voor nadere toelichting overstroomvoorzieningen","")</f>
        <v/>
      </c>
      <c r="L173" s="834"/>
      <c r="M173" s="834"/>
      <c r="N173" s="834"/>
      <c r="O173" s="834"/>
      <c r="P173" s="834"/>
      <c r="Q173" s="525" t="str">
        <f>IF(H173=0,"verbergen","")</f>
        <v/>
      </c>
      <c r="R173" s="516"/>
      <c r="S173" s="516"/>
      <c r="T173" s="521"/>
      <c r="U173" s="516"/>
      <c r="V173" s="517"/>
      <c r="W173" s="517"/>
      <c r="X173" s="517"/>
      <c r="Y173" s="517"/>
      <c r="Z173" s="508"/>
      <c r="AA173" s="648"/>
      <c r="AB173" s="517"/>
      <c r="AC173" s="517"/>
      <c r="AD173" s="517"/>
      <c r="AE173" s="517"/>
      <c r="AF173" s="517"/>
    </row>
    <row r="174" spans="1:32" s="518" customFormat="1" ht="12" customHeight="1">
      <c r="A174" s="516"/>
      <c r="B174" s="515"/>
      <c r="C174" s="464" t="s">
        <v>1158</v>
      </c>
      <c r="D174" s="100" t="s">
        <v>141</v>
      </c>
      <c r="E174" s="464" t="s">
        <v>729</v>
      </c>
      <c r="F174" s="586"/>
      <c r="G174" s="586"/>
      <c r="H174" s="647">
        <v>21</v>
      </c>
      <c r="I174" s="833">
        <f t="shared" si="35"/>
        <v>252</v>
      </c>
      <c r="J174" s="833"/>
      <c r="K174" s="834" t="str">
        <f>IF(I174&gt;180,"zie rapport voor nadere toelichting overstroomvoorzieningen","")</f>
        <v>zie rapport voor nadere toelichting overstroomvoorzieningen</v>
      </c>
      <c r="L174" s="834"/>
      <c r="M174" s="834"/>
      <c r="N174" s="834"/>
      <c r="O174" s="834"/>
      <c r="P174" s="834"/>
      <c r="Q174" s="525" t="str">
        <f>IF(H174=0,"verbergen","")</f>
        <v/>
      </c>
      <c r="R174" s="516"/>
      <c r="S174" s="516"/>
      <c r="T174" s="521"/>
      <c r="U174" s="516"/>
      <c r="V174" s="517"/>
      <c r="W174" s="517"/>
      <c r="X174" s="517"/>
      <c r="Y174" s="517"/>
      <c r="Z174" s="508"/>
      <c r="AA174" s="648"/>
      <c r="AB174" s="517"/>
      <c r="AC174" s="517"/>
      <c r="AD174" s="517"/>
      <c r="AE174" s="517"/>
      <c r="AF174" s="517"/>
    </row>
    <row r="175" spans="1:32" s="518" customFormat="1" ht="12" customHeight="1">
      <c r="A175" s="527"/>
      <c r="B175" s="515"/>
      <c r="C175" s="464" t="s">
        <v>1158</v>
      </c>
      <c r="D175" s="100" t="s">
        <v>141</v>
      </c>
      <c r="E175" s="464" t="s">
        <v>727</v>
      </c>
      <c r="F175" s="586"/>
      <c r="G175" s="404"/>
      <c r="H175" s="647">
        <v>7</v>
      </c>
      <c r="I175" s="833">
        <f t="shared" si="35"/>
        <v>84</v>
      </c>
      <c r="J175" s="833"/>
      <c r="K175" s="834" t="str">
        <f>IF(I175&gt;180,"zie rapport voor nadere toelichting overstroomvoorzieningen","")</f>
        <v/>
      </c>
      <c r="L175" s="834"/>
      <c r="M175" s="834"/>
      <c r="N175" s="834"/>
      <c r="O175" s="834"/>
      <c r="P175" s="834"/>
      <c r="Q175" s="525" t="str">
        <f>IF(H175=0,"verbergen","")</f>
        <v/>
      </c>
      <c r="R175" s="516"/>
      <c r="S175" s="516"/>
      <c r="T175" s="521"/>
      <c r="U175" s="516"/>
      <c r="V175" s="517"/>
      <c r="W175" s="517"/>
      <c r="X175" s="517"/>
      <c r="Y175" s="517"/>
      <c r="Z175" s="508"/>
      <c r="AA175" s="648"/>
      <c r="AB175" s="517"/>
      <c r="AC175" s="517"/>
      <c r="AD175" s="517"/>
      <c r="AE175" s="517"/>
      <c r="AF175" s="517"/>
    </row>
    <row r="176" spans="1:32" s="518" customFormat="1" ht="12" customHeight="1">
      <c r="A176" s="527"/>
      <c r="B176" s="515"/>
      <c r="C176" s="472" t="s">
        <v>1159</v>
      </c>
      <c r="D176" s="342" t="s">
        <v>141</v>
      </c>
      <c r="E176" s="472" t="s">
        <v>1161</v>
      </c>
      <c r="F176" s="609"/>
      <c r="G176" s="628"/>
      <c r="H176" s="649">
        <v>14</v>
      </c>
      <c r="I176" s="835">
        <f t="shared" si="35"/>
        <v>168</v>
      </c>
      <c r="J176" s="835"/>
      <c r="K176" s="836" t="str">
        <f>IF(I176&gt;180,"zie rapport voor nadere toelichting overstroomvoorzieningen","")</f>
        <v/>
      </c>
      <c r="L176" s="836"/>
      <c r="M176" s="836"/>
      <c r="N176" s="836"/>
      <c r="O176" s="836"/>
      <c r="P176" s="836"/>
      <c r="Q176" s="525" t="str">
        <f>IF(H176=0,"verbergen","")</f>
        <v/>
      </c>
      <c r="R176" s="516"/>
      <c r="S176" s="516"/>
      <c r="T176" s="521"/>
      <c r="U176" s="516"/>
      <c r="V176" s="517"/>
      <c r="W176" s="517"/>
      <c r="X176" s="517"/>
      <c r="Y176" s="517"/>
      <c r="Z176" s="508"/>
      <c r="AA176" s="648"/>
      <c r="AB176" s="517"/>
      <c r="AC176" s="517"/>
      <c r="AD176" s="517"/>
      <c r="AE176" s="517"/>
      <c r="AF176" s="517"/>
    </row>
    <row r="177" spans="1:34" s="518" customFormat="1" ht="12" customHeight="1">
      <c r="A177" s="527"/>
      <c r="B177" s="590"/>
      <c r="C177" s="480" t="s">
        <v>734</v>
      </c>
      <c r="D177" s="592"/>
      <c r="E177" s="592"/>
      <c r="F177" s="650"/>
      <c r="G177" s="592"/>
      <c r="H177" s="651"/>
      <c r="I177" s="652"/>
      <c r="J177" s="653"/>
      <c r="K177" s="837" t="str">
        <f>IF(MAX(P172:P176)&gt;200,"zie rapport voor nadere toelichting overstroomvoorzieningen","")</f>
        <v/>
      </c>
      <c r="L177" s="837"/>
      <c r="M177" s="837"/>
      <c r="N177" s="837"/>
      <c r="O177" s="837"/>
      <c r="P177" s="837"/>
      <c r="Q177" s="516" t="str">
        <f>IF(SUM(H172:H178)=0,"verbergen","")</f>
        <v/>
      </c>
      <c r="R177" s="516"/>
      <c r="S177" s="516"/>
      <c r="T177" s="521"/>
      <c r="U177" s="516"/>
      <c r="V177" s="517"/>
      <c r="W177" s="517"/>
      <c r="X177" s="517"/>
      <c r="Y177" s="517"/>
      <c r="Z177" s="508"/>
      <c r="AA177" s="648"/>
      <c r="AB177" s="517"/>
      <c r="AC177" s="517"/>
      <c r="AD177" s="517"/>
      <c r="AE177" s="517"/>
      <c r="AF177" s="517"/>
    </row>
    <row r="178" spans="1:34" s="518" customFormat="1" ht="12" customHeight="1">
      <c r="A178" s="527"/>
      <c r="B178" s="515"/>
      <c r="C178" s="654"/>
      <c r="D178" s="404"/>
      <c r="E178" s="404"/>
      <c r="F178" s="586"/>
      <c r="G178" s="404"/>
      <c r="H178" s="655"/>
      <c r="I178" s="656"/>
      <c r="J178" s="657"/>
      <c r="K178" s="396"/>
      <c r="L178" s="396"/>
      <c r="M178" s="585"/>
      <c r="N178" s="585"/>
      <c r="O178" s="734"/>
      <c r="P178" s="734"/>
      <c r="Q178" s="516" t="str">
        <f>Q177</f>
        <v/>
      </c>
      <c r="R178" s="516"/>
      <c r="S178" s="516"/>
      <c r="T178" s="521"/>
      <c r="U178" s="516"/>
      <c r="V178" s="517"/>
      <c r="W178" s="517"/>
      <c r="X178" s="517"/>
      <c r="Y178" s="517"/>
      <c r="Z178" s="508"/>
      <c r="AA178" s="648"/>
      <c r="AB178" s="517"/>
      <c r="AC178" s="517"/>
      <c r="AD178" s="517"/>
      <c r="AE178" s="517"/>
      <c r="AF178" s="517"/>
    </row>
    <row r="179" spans="1:34" s="518" customFormat="1" ht="12" customHeight="1">
      <c r="A179" s="527"/>
      <c r="B179" s="515"/>
      <c r="C179" s="654"/>
      <c r="D179" s="404"/>
      <c r="E179" s="404"/>
      <c r="F179" s="586"/>
      <c r="G179" s="404"/>
      <c r="H179" s="655"/>
      <c r="I179" s="656"/>
      <c r="J179" s="657"/>
      <c r="K179" s="396"/>
      <c r="L179" s="396"/>
      <c r="M179" s="585"/>
      <c r="N179" s="585"/>
      <c r="O179" s="734"/>
      <c r="P179" s="734"/>
      <c r="Q179" s="516"/>
      <c r="R179" s="516"/>
      <c r="S179" s="516"/>
      <c r="T179" s="521"/>
      <c r="U179" s="516"/>
      <c r="V179" s="517"/>
      <c r="W179" s="517"/>
      <c r="X179" s="517"/>
      <c r="Y179" s="517"/>
      <c r="Z179" s="517"/>
      <c r="AA179" s="648"/>
      <c r="AB179" s="517"/>
      <c r="AC179" s="517"/>
      <c r="AD179" s="517"/>
      <c r="AE179" s="517"/>
      <c r="AF179" s="517"/>
    </row>
    <row r="180" spans="1:34" s="518" customFormat="1" ht="15" customHeight="1">
      <c r="A180" s="515"/>
      <c r="B180" s="658" t="s">
        <v>673</v>
      </c>
      <c r="C180" s="457" t="s">
        <v>1089</v>
      </c>
      <c r="D180" s="575"/>
      <c r="E180" s="575"/>
      <c r="F180" s="575"/>
      <c r="G180" s="575"/>
      <c r="H180" s="575"/>
      <c r="I180" s="575"/>
      <c r="J180" s="575"/>
      <c r="K180" s="575"/>
      <c r="L180" s="575"/>
      <c r="M180" s="575"/>
      <c r="N180" s="575"/>
      <c r="O180" s="575"/>
      <c r="P180" s="575"/>
      <c r="Q180" s="525"/>
      <c r="R180" s="659"/>
      <c r="S180" s="660"/>
      <c r="T180" s="521"/>
      <c r="U180" s="516"/>
      <c r="V180" s="517"/>
      <c r="W180" s="517"/>
      <c r="X180" s="517"/>
      <c r="Y180" s="517"/>
      <c r="Z180" s="517"/>
      <c r="AA180" s="517"/>
      <c r="AB180" s="517"/>
      <c r="AC180" s="524"/>
      <c r="AD180" s="517"/>
      <c r="AE180" s="517"/>
      <c r="AF180" s="517"/>
      <c r="AG180" s="517"/>
    </row>
    <row r="181" spans="1:34" s="518" customFormat="1" ht="12.75" hidden="1" customHeight="1">
      <c r="A181" s="515"/>
      <c r="B181" s="515"/>
      <c r="C181" s="661"/>
      <c r="D181" s="577"/>
      <c r="E181" s="577"/>
      <c r="F181" s="577"/>
      <c r="G181" s="577"/>
      <c r="H181" s="662"/>
      <c r="I181" s="662"/>
      <c r="J181" s="577"/>
      <c r="K181" s="577"/>
      <c r="L181" s="577"/>
      <c r="M181" s="577"/>
      <c r="N181" s="577"/>
      <c r="O181" s="577"/>
      <c r="P181" s="663"/>
      <c r="Q181" s="525"/>
      <c r="R181" s="659"/>
      <c r="S181" s="664"/>
      <c r="T181" s="521"/>
      <c r="U181" s="516"/>
      <c r="V181" s="517"/>
      <c r="W181" s="517"/>
      <c r="X181" s="517"/>
      <c r="Y181" s="517"/>
      <c r="Z181" s="517"/>
      <c r="AA181" s="517"/>
      <c r="AB181" s="517"/>
      <c r="AC181" s="524"/>
      <c r="AD181" s="517"/>
      <c r="AE181" s="517"/>
      <c r="AF181" s="517"/>
      <c r="AG181" s="517"/>
    </row>
    <row r="182" spans="1:34" ht="15" customHeight="1">
      <c r="A182" s="492"/>
      <c r="B182" s="492"/>
      <c r="C182" s="579" t="s">
        <v>133</v>
      </c>
      <c r="D182" s="809" t="s">
        <v>1100</v>
      </c>
      <c r="E182" s="809"/>
      <c r="F182" s="809" t="s">
        <v>678</v>
      </c>
      <c r="G182" s="809"/>
      <c r="H182" s="809" t="s">
        <v>677</v>
      </c>
      <c r="I182" s="809"/>
      <c r="J182" s="818" t="s">
        <v>134</v>
      </c>
      <c r="K182" s="818"/>
      <c r="L182" s="646"/>
      <c r="M182" s="844" t="s">
        <v>1107</v>
      </c>
      <c r="N182" s="844"/>
      <c r="O182" s="809" t="s">
        <v>1108</v>
      </c>
      <c r="P182" s="809"/>
      <c r="Q182" s="665"/>
      <c r="R182" s="507"/>
      <c r="S182" s="507"/>
      <c r="T182" s="532"/>
      <c r="U182" s="507"/>
      <c r="V182" s="508"/>
      <c r="W182" s="508"/>
      <c r="X182" s="508"/>
      <c r="Y182" s="508"/>
      <c r="Z182" s="508"/>
      <c r="AA182" s="508"/>
      <c r="AB182" s="508"/>
      <c r="AC182" s="534"/>
      <c r="AD182" s="508"/>
      <c r="AE182" s="508"/>
      <c r="AF182" s="508"/>
      <c r="AG182" s="508"/>
    </row>
    <row r="183" spans="1:34">
      <c r="A183" s="492"/>
      <c r="B183" s="492"/>
      <c r="C183" s="463"/>
      <c r="D183" s="463"/>
      <c r="E183" s="463"/>
      <c r="F183" s="463"/>
      <c r="G183" s="463"/>
      <c r="H183" s="456"/>
      <c r="I183" s="456"/>
      <c r="J183" s="456"/>
      <c r="K183" s="456"/>
      <c r="L183" s="456"/>
      <c r="M183" s="456"/>
      <c r="N183" s="456"/>
      <c r="O183" s="456"/>
      <c r="P183" s="456"/>
      <c r="Q183" s="507"/>
      <c r="R183" s="507"/>
      <c r="S183" s="507"/>
      <c r="T183" s="532"/>
      <c r="U183" s="507"/>
      <c r="V183" s="508"/>
      <c r="W183" s="508"/>
      <c r="X183" s="508"/>
      <c r="Y183" s="508"/>
      <c r="Z183" s="508"/>
      <c r="AA183" s="508"/>
      <c r="AB183" s="508"/>
      <c r="AC183" s="524"/>
      <c r="AD183" s="508"/>
      <c r="AE183" s="517"/>
      <c r="AF183" s="508"/>
      <c r="AG183" s="508"/>
    </row>
    <row r="184" spans="1:34" s="518" customFormat="1" ht="12" customHeight="1">
      <c r="A184" s="515"/>
      <c r="B184" s="515"/>
      <c r="C184" s="464" t="str">
        <f>L28</f>
        <v>woonkamer / eetkamer</v>
      </c>
      <c r="D184" s="831">
        <f>SUMPRODUCT(($AE$1:$AE$28075)*($L$1:$L$28075=C184))</f>
        <v>28.45</v>
      </c>
      <c r="E184" s="831"/>
      <c r="F184" s="811">
        <v>1</v>
      </c>
      <c r="G184" s="811"/>
      <c r="H184" s="841">
        <f t="shared" ref="H184:H189" si="36">IF(F184=0,"",IF(F184=1,0.1,0.4))</f>
        <v>0.1</v>
      </c>
      <c r="I184" s="841"/>
      <c r="J184" s="842" t="s">
        <v>245</v>
      </c>
      <c r="K184" s="842"/>
      <c r="L184" s="404"/>
      <c r="M184" s="666">
        <f>verzamelblad!$S$7*D184/H184/1000</f>
        <v>0.85349999999999993</v>
      </c>
      <c r="N184" s="735"/>
      <c r="O184" s="843">
        <f>M184</f>
        <v>0.85349999999999993</v>
      </c>
      <c r="P184" s="843"/>
      <c r="Q184" s="525" t="str">
        <f t="shared" ref="Q184:Q189" si="37">IF(D184=0,"verbergen","")</f>
        <v/>
      </c>
      <c r="R184" s="516"/>
      <c r="S184" s="516"/>
      <c r="T184" s="516"/>
      <c r="U184" s="516"/>
      <c r="V184" s="517"/>
      <c r="W184" s="508">
        <v>1</v>
      </c>
      <c r="X184" s="517"/>
      <c r="Y184" s="517"/>
      <c r="Z184" s="517"/>
      <c r="AA184" s="517"/>
      <c r="AB184" s="517"/>
      <c r="AC184" s="517"/>
      <c r="AD184" s="517"/>
      <c r="AE184" s="517"/>
      <c r="AF184" s="517"/>
      <c r="AG184" s="517"/>
    </row>
    <row r="185" spans="1:34" s="518" customFormat="1" ht="12" hidden="1" customHeight="1">
      <c r="A185" s="515"/>
      <c r="B185" s="515"/>
      <c r="C185" s="464" t="s">
        <v>140</v>
      </c>
      <c r="D185" s="831">
        <f>SUMPRODUCT(($AE$1:$AE$28075)*($L$1:$L$28075=C185))</f>
        <v>0</v>
      </c>
      <c r="E185" s="831"/>
      <c r="F185" s="811">
        <v>2</v>
      </c>
      <c r="G185" s="811"/>
      <c r="H185" s="841">
        <f t="shared" si="36"/>
        <v>0.4</v>
      </c>
      <c r="I185" s="841"/>
      <c r="J185" s="842" t="s">
        <v>245</v>
      </c>
      <c r="K185" s="842"/>
      <c r="L185" s="404"/>
      <c r="M185" s="666">
        <f>verzamelblad!$S$7*D185/H185/1000</f>
        <v>0</v>
      </c>
      <c r="N185" s="735"/>
      <c r="O185" s="843">
        <f t="shared" ref="O185:O189" si="38">M185</f>
        <v>0</v>
      </c>
      <c r="P185" s="843"/>
      <c r="Q185" s="525" t="str">
        <f t="shared" si="37"/>
        <v>verbergen</v>
      </c>
      <c r="R185" s="516"/>
      <c r="S185" s="516"/>
      <c r="T185" s="516"/>
      <c r="U185" s="516"/>
      <c r="V185" s="517"/>
      <c r="W185" s="508">
        <v>1</v>
      </c>
      <c r="X185" s="517"/>
      <c r="Y185" s="517"/>
      <c r="Z185" s="517"/>
      <c r="AA185" s="517"/>
      <c r="AB185" s="517"/>
      <c r="AC185" s="517"/>
      <c r="AD185" s="517"/>
      <c r="AE185" s="517"/>
      <c r="AF185" s="517"/>
      <c r="AG185" s="517"/>
    </row>
    <row r="186" spans="1:34" s="518" customFormat="1" ht="12" hidden="1" customHeight="1">
      <c r="A186" s="515"/>
      <c r="B186" s="515"/>
      <c r="C186" s="464" t="s">
        <v>140</v>
      </c>
      <c r="D186" s="831">
        <f>SUMPRODUCT(($AE$1:$AE$28075)*($L$1:$L$28075=C186))</f>
        <v>0</v>
      </c>
      <c r="E186" s="831"/>
      <c r="F186" s="811">
        <v>2</v>
      </c>
      <c r="G186" s="811"/>
      <c r="H186" s="841">
        <f t="shared" si="36"/>
        <v>0.4</v>
      </c>
      <c r="I186" s="841"/>
      <c r="J186" s="842" t="s">
        <v>245</v>
      </c>
      <c r="K186" s="842"/>
      <c r="L186" s="404"/>
      <c r="M186" s="666">
        <f>verzamelblad!$S$7*D186/H186/1000</f>
        <v>0</v>
      </c>
      <c r="N186" s="735"/>
      <c r="O186" s="845">
        <f t="shared" si="38"/>
        <v>0</v>
      </c>
      <c r="P186" s="846"/>
      <c r="Q186" s="525" t="str">
        <f t="shared" si="37"/>
        <v>verbergen</v>
      </c>
      <c r="R186" s="516"/>
      <c r="S186" s="516"/>
      <c r="T186" s="516"/>
      <c r="U186" s="516"/>
      <c r="V186" s="517"/>
      <c r="W186" s="508">
        <v>1</v>
      </c>
      <c r="X186" s="517"/>
      <c r="Y186" s="517"/>
      <c r="Z186" s="517"/>
      <c r="AA186" s="517"/>
      <c r="AB186" s="517"/>
      <c r="AC186" s="517"/>
      <c r="AD186" s="517"/>
      <c r="AE186" s="517"/>
      <c r="AF186" s="517"/>
      <c r="AG186" s="517"/>
    </row>
    <row r="187" spans="1:34" s="518" customFormat="1" ht="12" hidden="1" customHeight="1">
      <c r="A187" s="515"/>
      <c r="B187" s="515"/>
      <c r="C187" s="464" t="s">
        <v>140</v>
      </c>
      <c r="D187" s="831">
        <f>SUMPRODUCT(($AE$1:$AE$28075)*($L$1:$L$28075=C187))</f>
        <v>0</v>
      </c>
      <c r="E187" s="831"/>
      <c r="F187" s="811">
        <v>2</v>
      </c>
      <c r="G187" s="811"/>
      <c r="H187" s="841">
        <f t="shared" si="36"/>
        <v>0.4</v>
      </c>
      <c r="I187" s="841"/>
      <c r="J187" s="842" t="s">
        <v>245</v>
      </c>
      <c r="K187" s="842"/>
      <c r="L187" s="404"/>
      <c r="M187" s="666">
        <f>verzamelblad!$S$7*D187/H187/1000</f>
        <v>0</v>
      </c>
      <c r="N187" s="735"/>
      <c r="O187" s="843">
        <f t="shared" si="38"/>
        <v>0</v>
      </c>
      <c r="P187" s="843"/>
      <c r="Q187" s="525" t="str">
        <f t="shared" si="37"/>
        <v>verbergen</v>
      </c>
      <c r="R187" s="516"/>
      <c r="S187" s="516"/>
      <c r="T187" s="516"/>
      <c r="U187" s="516"/>
      <c r="V187" s="517"/>
      <c r="W187" s="508">
        <v>1</v>
      </c>
      <c r="X187" s="517"/>
      <c r="Y187" s="517"/>
      <c r="Z187" s="517"/>
      <c r="AA187" s="517"/>
      <c r="AB187" s="517"/>
      <c r="AC187" s="517"/>
      <c r="AD187" s="517"/>
      <c r="AE187" s="517"/>
      <c r="AF187" s="517"/>
      <c r="AG187" s="517"/>
    </row>
    <row r="188" spans="1:34" s="518" customFormat="1" ht="12" hidden="1" customHeight="1">
      <c r="A188" s="515"/>
      <c r="B188" s="515"/>
      <c r="C188" s="667" t="s">
        <v>140</v>
      </c>
      <c r="D188" s="847">
        <f>SUMPRODUCT(($AE$1:$AE$28075)*($L$1:$L$28075=C188))</f>
        <v>0</v>
      </c>
      <c r="E188" s="847"/>
      <c r="F188" s="812">
        <v>2</v>
      </c>
      <c r="G188" s="812"/>
      <c r="H188" s="848">
        <f t="shared" si="36"/>
        <v>0.4</v>
      </c>
      <c r="I188" s="848"/>
      <c r="J188" s="849" t="s">
        <v>245</v>
      </c>
      <c r="K188" s="849"/>
      <c r="L188" s="628"/>
      <c r="M188" s="668">
        <f>verzamelblad!$S$7*D188/H188/1000</f>
        <v>0</v>
      </c>
      <c r="N188" s="738"/>
      <c r="O188" s="850">
        <f t="shared" si="38"/>
        <v>0</v>
      </c>
      <c r="P188" s="850"/>
      <c r="Q188" s="525" t="str">
        <f t="shared" si="37"/>
        <v>verbergen</v>
      </c>
      <c r="R188" s="516"/>
      <c r="S188" s="516"/>
      <c r="T188" s="516"/>
      <c r="U188" s="516"/>
      <c r="V188" s="517"/>
      <c r="W188" s="508">
        <v>1</v>
      </c>
      <c r="X188" s="517"/>
      <c r="Y188" s="517"/>
      <c r="Z188" s="517"/>
      <c r="AA188" s="517"/>
      <c r="AB188" s="517"/>
      <c r="AC188" s="517"/>
      <c r="AD188" s="517"/>
      <c r="AE188" s="517"/>
      <c r="AF188" s="517"/>
      <c r="AG188" s="517"/>
    </row>
    <row r="189" spans="1:34" s="518" customFormat="1" ht="12" customHeight="1">
      <c r="A189" s="515"/>
      <c r="B189" s="590">
        <v>1</v>
      </c>
      <c r="C189" s="480">
        <f>B189</f>
        <v>1</v>
      </c>
      <c r="D189" s="851">
        <f>SUMPRODUCT(($AD$1:$AD$50032)*($AC$1:$AC$50032=B189))</f>
        <v>28.45</v>
      </c>
      <c r="E189" s="851"/>
      <c r="F189" s="852">
        <v>1</v>
      </c>
      <c r="G189" s="852"/>
      <c r="H189" s="853">
        <f t="shared" si="36"/>
        <v>0.1</v>
      </c>
      <c r="I189" s="853"/>
      <c r="J189" s="854" t="s">
        <v>245</v>
      </c>
      <c r="K189" s="854"/>
      <c r="L189" s="592"/>
      <c r="M189" s="669">
        <f>verzamelblad!$R$7*D189/H189/1000</f>
        <v>1.7069999999999999</v>
      </c>
      <c r="N189" s="739"/>
      <c r="O189" s="855">
        <f t="shared" si="38"/>
        <v>1.7069999999999999</v>
      </c>
      <c r="P189" s="855"/>
      <c r="Q189" s="525" t="str">
        <f t="shared" si="37"/>
        <v/>
      </c>
      <c r="R189" s="516"/>
      <c r="S189" s="516"/>
      <c r="T189" s="516"/>
      <c r="U189" s="516"/>
      <c r="V189" s="517"/>
      <c r="W189" s="508">
        <v>1</v>
      </c>
      <c r="X189" s="517"/>
      <c r="Y189" s="517"/>
      <c r="Z189" s="517"/>
      <c r="AA189" s="517"/>
      <c r="AB189" s="517"/>
      <c r="AC189" s="524"/>
      <c r="AD189" s="517"/>
      <c r="AE189" s="517"/>
      <c r="AF189" s="517"/>
      <c r="AG189" s="517"/>
    </row>
    <row r="190" spans="1:34" ht="12" customHeight="1">
      <c r="A190" s="492"/>
      <c r="B190" s="492"/>
      <c r="C190" s="463"/>
      <c r="D190" s="463"/>
      <c r="E190" s="463"/>
      <c r="F190" s="463"/>
      <c r="G190" s="463"/>
      <c r="H190" s="456"/>
      <c r="I190" s="456"/>
      <c r="J190" s="456"/>
      <c r="K190" s="456"/>
      <c r="L190" s="456"/>
      <c r="M190" s="456"/>
      <c r="N190" s="456"/>
      <c r="O190" s="456"/>
      <c r="P190" s="456"/>
      <c r="Q190" s="525"/>
      <c r="R190" s="507"/>
      <c r="S190" s="507"/>
      <c r="T190" s="532"/>
      <c r="U190" s="507"/>
      <c r="V190" s="508"/>
      <c r="W190" s="508">
        <v>1</v>
      </c>
      <c r="X190" s="508"/>
      <c r="Y190" s="508"/>
      <c r="Z190" s="508"/>
      <c r="AA190" s="508"/>
      <c r="AB190" s="508"/>
      <c r="AC190" s="508"/>
      <c r="AD190" s="508"/>
      <c r="AE190" s="508"/>
      <c r="AF190" s="508"/>
      <c r="AG190" s="508"/>
    </row>
    <row r="191" spans="1:34" s="541" customFormat="1" ht="12" customHeight="1">
      <c r="A191" s="543"/>
      <c r="B191" s="543"/>
      <c r="C191" s="464" t="str">
        <f>L29</f>
        <v>keuken</v>
      </c>
      <c r="D191" s="831">
        <f>SUMPRODUCT(($AE$1:$AE$28018)*($L$1:$L$28018=C191))</f>
        <v>15.1</v>
      </c>
      <c r="E191" s="831"/>
      <c r="F191" s="811">
        <v>1</v>
      </c>
      <c r="G191" s="811"/>
      <c r="H191" s="841">
        <f t="shared" ref="H191:H196" si="39">IF(F191=0,"",IF(F191=1,0.1,0.4))</f>
        <v>0.1</v>
      </c>
      <c r="I191" s="841"/>
      <c r="J191" s="842" t="s">
        <v>245</v>
      </c>
      <c r="K191" s="842"/>
      <c r="L191" s="404"/>
      <c r="M191" s="666">
        <f>verzamelblad!$S$7*D191/H191/1000</f>
        <v>0.45299999999999996</v>
      </c>
      <c r="N191" s="735"/>
      <c r="O191" s="843">
        <f>M191</f>
        <v>0.45299999999999996</v>
      </c>
      <c r="P191" s="843"/>
      <c r="Q191" s="403" t="str">
        <f>IF(D191=0,"verbergen","")</f>
        <v/>
      </c>
      <c r="R191" s="404"/>
      <c r="S191" s="404"/>
      <c r="T191" s="392"/>
      <c r="U191" s="392"/>
      <c r="V191" s="392"/>
      <c r="W191" s="547">
        <f>W190+1</f>
        <v>2</v>
      </c>
      <c r="X191" s="392"/>
      <c r="Y191" s="392"/>
      <c r="Z191" s="392"/>
      <c r="AA191" s="404"/>
      <c r="AB191" s="516"/>
      <c r="AC191" s="516"/>
      <c r="AD191" s="516"/>
      <c r="AE191" s="516"/>
      <c r="AF191" s="516"/>
      <c r="AG191" s="516"/>
      <c r="AH191" s="516"/>
    </row>
    <row r="192" spans="1:34" s="541" customFormat="1" ht="12" customHeight="1">
      <c r="A192" s="543"/>
      <c r="B192" s="543"/>
      <c r="C192" s="464" t="str">
        <f>L30</f>
        <v>bijkeuken</v>
      </c>
      <c r="D192" s="831">
        <f>SUMPRODUCT(($AE$1:$AE$28018)*($L$1:$L$28018=C192))</f>
        <v>5.96</v>
      </c>
      <c r="E192" s="831"/>
      <c r="F192" s="811">
        <v>1</v>
      </c>
      <c r="G192" s="811"/>
      <c r="H192" s="841">
        <f t="shared" si="39"/>
        <v>0.1</v>
      </c>
      <c r="I192" s="841"/>
      <c r="J192" s="842" t="s">
        <v>245</v>
      </c>
      <c r="K192" s="842"/>
      <c r="L192" s="404"/>
      <c r="M192" s="666">
        <f>verzamelblad!$S$7*D192/H192/1000</f>
        <v>0.17879999999999999</v>
      </c>
      <c r="N192" s="735"/>
      <c r="O192" s="843">
        <f t="shared" ref="O192:O196" si="40">M192</f>
        <v>0.17879999999999999</v>
      </c>
      <c r="P192" s="843"/>
      <c r="Q192" s="403" t="str">
        <f t="shared" ref="Q192:Q196" si="41">IF(D192=0,"verbergen","")</f>
        <v/>
      </c>
      <c r="R192" s="404"/>
      <c r="S192" s="404"/>
      <c r="T192" s="392"/>
      <c r="U192" s="392"/>
      <c r="V192" s="392"/>
      <c r="W192" s="547">
        <f t="shared" ref="W192:W197" si="42">W191</f>
        <v>2</v>
      </c>
      <c r="X192" s="392"/>
      <c r="Y192" s="392"/>
      <c r="Z192" s="392"/>
      <c r="AA192" s="404"/>
      <c r="AB192" s="516"/>
      <c r="AC192" s="516"/>
      <c r="AD192" s="516"/>
      <c r="AE192" s="516"/>
      <c r="AF192" s="516"/>
      <c r="AG192" s="516"/>
      <c r="AH192" s="516"/>
    </row>
    <row r="193" spans="1:34" s="541" customFormat="1" ht="12" hidden="1" customHeight="1">
      <c r="A193" s="543"/>
      <c r="B193" s="543"/>
      <c r="C193" s="464" t="s">
        <v>140</v>
      </c>
      <c r="D193" s="831">
        <f>SUMPRODUCT(($AE$1:$AE$28018)*($L$1:$L$28018=C193))</f>
        <v>0</v>
      </c>
      <c r="E193" s="831"/>
      <c r="F193" s="811">
        <v>2</v>
      </c>
      <c r="G193" s="811"/>
      <c r="H193" s="841">
        <f t="shared" si="39"/>
        <v>0.4</v>
      </c>
      <c r="I193" s="841"/>
      <c r="J193" s="842" t="s">
        <v>245</v>
      </c>
      <c r="K193" s="842"/>
      <c r="L193" s="404"/>
      <c r="M193" s="666">
        <f>verzamelblad!$S$7*D193/H193/1000</f>
        <v>0</v>
      </c>
      <c r="N193" s="735"/>
      <c r="O193" s="843">
        <f t="shared" si="40"/>
        <v>0</v>
      </c>
      <c r="P193" s="843"/>
      <c r="Q193" s="403" t="str">
        <f t="shared" si="41"/>
        <v>verbergen</v>
      </c>
      <c r="R193" s="404"/>
      <c r="S193" s="404"/>
      <c r="T193" s="392"/>
      <c r="U193" s="392"/>
      <c r="V193" s="392"/>
      <c r="W193" s="547">
        <f t="shared" si="42"/>
        <v>2</v>
      </c>
      <c r="X193" s="392"/>
      <c r="Y193" s="392"/>
      <c r="Z193" s="392"/>
      <c r="AA193" s="404"/>
      <c r="AB193" s="516"/>
      <c r="AC193" s="516"/>
      <c r="AD193" s="516"/>
      <c r="AE193" s="516"/>
      <c r="AF193" s="516"/>
      <c r="AG193" s="516"/>
      <c r="AH193" s="516"/>
    </row>
    <row r="194" spans="1:34" s="541" customFormat="1" ht="12" hidden="1" customHeight="1">
      <c r="A194" s="543"/>
      <c r="B194" s="543"/>
      <c r="C194" s="464" t="s">
        <v>140</v>
      </c>
      <c r="D194" s="831">
        <f>SUMPRODUCT(($AE$1:$AE$28018)*($L$1:$L$28018=C194))</f>
        <v>0</v>
      </c>
      <c r="E194" s="831"/>
      <c r="F194" s="811">
        <v>2</v>
      </c>
      <c r="G194" s="811"/>
      <c r="H194" s="841">
        <f t="shared" si="39"/>
        <v>0.4</v>
      </c>
      <c r="I194" s="841"/>
      <c r="J194" s="842" t="s">
        <v>245</v>
      </c>
      <c r="K194" s="842"/>
      <c r="L194" s="404"/>
      <c r="M194" s="666">
        <f>verzamelblad!$S$7*D194/H194/1000</f>
        <v>0</v>
      </c>
      <c r="N194" s="735"/>
      <c r="O194" s="843">
        <f t="shared" si="40"/>
        <v>0</v>
      </c>
      <c r="P194" s="843"/>
      <c r="Q194" s="403" t="str">
        <f t="shared" si="41"/>
        <v>verbergen</v>
      </c>
      <c r="R194" s="404"/>
      <c r="S194" s="404"/>
      <c r="T194" s="392"/>
      <c r="U194" s="392"/>
      <c r="V194" s="392"/>
      <c r="W194" s="547">
        <f t="shared" si="42"/>
        <v>2</v>
      </c>
      <c r="X194" s="392"/>
      <c r="Y194" s="392"/>
      <c r="Z194" s="392"/>
      <c r="AA194" s="404"/>
      <c r="AB194" s="516"/>
      <c r="AC194" s="516"/>
      <c r="AD194" s="516"/>
      <c r="AE194" s="516"/>
      <c r="AF194" s="516"/>
      <c r="AG194" s="516"/>
      <c r="AH194" s="516"/>
    </row>
    <row r="195" spans="1:34" s="541" customFormat="1" ht="12" hidden="1" customHeight="1">
      <c r="A195" s="543"/>
      <c r="B195" s="543"/>
      <c r="C195" s="464" t="s">
        <v>140</v>
      </c>
      <c r="D195" s="847">
        <f>SUMPRODUCT(($AE$1:$AE$28018)*($L$1:$L$28018=C195))</f>
        <v>0</v>
      </c>
      <c r="E195" s="847"/>
      <c r="F195" s="812">
        <v>2</v>
      </c>
      <c r="G195" s="812"/>
      <c r="H195" s="848">
        <f t="shared" si="39"/>
        <v>0.4</v>
      </c>
      <c r="I195" s="848"/>
      <c r="J195" s="849" t="s">
        <v>245</v>
      </c>
      <c r="K195" s="849"/>
      <c r="L195" s="628"/>
      <c r="M195" s="668">
        <f>verzamelblad!$S$7*D195/H195/1000</f>
        <v>0</v>
      </c>
      <c r="N195" s="738"/>
      <c r="O195" s="850">
        <f t="shared" si="40"/>
        <v>0</v>
      </c>
      <c r="P195" s="850"/>
      <c r="Q195" s="403" t="str">
        <f>IF(D195=0,"verbergen","")</f>
        <v>verbergen</v>
      </c>
      <c r="R195" s="404"/>
      <c r="S195" s="404"/>
      <c r="T195" s="392"/>
      <c r="U195" s="392"/>
      <c r="V195" s="392"/>
      <c r="W195" s="547">
        <f t="shared" si="42"/>
        <v>2</v>
      </c>
      <c r="X195" s="392"/>
      <c r="Y195" s="392"/>
      <c r="Z195" s="392"/>
      <c r="AA195" s="404"/>
      <c r="AB195" s="516"/>
      <c r="AC195" s="516"/>
      <c r="AD195" s="516"/>
      <c r="AE195" s="516"/>
      <c r="AF195" s="516"/>
      <c r="AG195" s="516"/>
      <c r="AH195" s="516"/>
    </row>
    <row r="196" spans="1:34" s="541" customFormat="1" ht="12" customHeight="1">
      <c r="A196" s="543"/>
      <c r="B196" s="556">
        <f>B189+1</f>
        <v>2</v>
      </c>
      <c r="C196" s="480">
        <f>B196</f>
        <v>2</v>
      </c>
      <c r="D196" s="851">
        <f>SUMPRODUCT(($AD$1:$AD$50044)*($AC$1:$AC$50044=B196))</f>
        <v>22.4</v>
      </c>
      <c r="E196" s="851"/>
      <c r="F196" s="852">
        <v>2</v>
      </c>
      <c r="G196" s="852"/>
      <c r="H196" s="853">
        <f t="shared" si="39"/>
        <v>0.4</v>
      </c>
      <c r="I196" s="853"/>
      <c r="J196" s="854" t="s">
        <v>245</v>
      </c>
      <c r="K196" s="854"/>
      <c r="L196" s="592"/>
      <c r="M196" s="669">
        <f>verzamelblad!$R$7*D196/H196/1000</f>
        <v>0.33599999999999997</v>
      </c>
      <c r="N196" s="739"/>
      <c r="O196" s="855">
        <f t="shared" si="40"/>
        <v>0.33599999999999997</v>
      </c>
      <c r="P196" s="855"/>
      <c r="Q196" s="403" t="str">
        <f t="shared" si="41"/>
        <v/>
      </c>
      <c r="R196" s="404"/>
      <c r="S196" s="404"/>
      <c r="T196" s="392"/>
      <c r="U196" s="392"/>
      <c r="V196" s="392"/>
      <c r="W196" s="547">
        <f t="shared" si="42"/>
        <v>2</v>
      </c>
      <c r="X196" s="392"/>
      <c r="Y196" s="392"/>
      <c r="Z196" s="392"/>
      <c r="AA196" s="404"/>
      <c r="AB196" s="516"/>
      <c r="AC196" s="516"/>
      <c r="AD196" s="516"/>
      <c r="AE196" s="516"/>
      <c r="AF196" s="516"/>
      <c r="AG196" s="516"/>
      <c r="AH196" s="516"/>
    </row>
    <row r="197" spans="1:34" s="493" customFormat="1" ht="12" customHeight="1">
      <c r="A197" s="560"/>
      <c r="B197" s="560"/>
      <c r="C197" s="463"/>
      <c r="D197" s="463"/>
      <c r="E197" s="463"/>
      <c r="F197" s="463"/>
      <c r="G197" s="463"/>
      <c r="H197" s="456"/>
      <c r="I197" s="456"/>
      <c r="J197" s="456"/>
      <c r="K197" s="456"/>
      <c r="L197" s="456"/>
      <c r="M197" s="456"/>
      <c r="N197" s="456"/>
      <c r="O197" s="456"/>
      <c r="P197" s="456"/>
      <c r="Q197" s="451"/>
      <c r="R197" s="451"/>
      <c r="S197" s="451"/>
      <c r="T197" s="561"/>
      <c r="U197" s="547"/>
      <c r="V197" s="547"/>
      <c r="W197" s="547">
        <f t="shared" si="42"/>
        <v>2</v>
      </c>
      <c r="X197" s="547"/>
      <c r="Y197" s="547"/>
      <c r="Z197" s="547"/>
      <c r="AA197" s="451"/>
      <c r="AB197" s="507"/>
      <c r="AC197" s="507"/>
      <c r="AD197" s="507"/>
      <c r="AE197" s="507"/>
      <c r="AF197" s="507"/>
      <c r="AG197" s="507"/>
      <c r="AH197" s="507"/>
    </row>
    <row r="198" spans="1:34" s="541" customFormat="1" ht="12" customHeight="1">
      <c r="A198" s="543"/>
      <c r="B198" s="543"/>
      <c r="C198" s="640" t="str">
        <f>L31</f>
        <v>slaapkamer 1</v>
      </c>
      <c r="D198" s="831">
        <f>SUMPRODUCT(($AE$1:$AE$28002)*($L$1:$L$28002=C198))</f>
        <v>7.57</v>
      </c>
      <c r="E198" s="831"/>
      <c r="F198" s="811">
        <v>1</v>
      </c>
      <c r="G198" s="811"/>
      <c r="H198" s="841">
        <f t="shared" ref="H198:H203" si="43">IF(F198=0,"",IF(F198=1,0.1,0.4))</f>
        <v>0.1</v>
      </c>
      <c r="I198" s="841"/>
      <c r="J198" s="842" t="s">
        <v>245</v>
      </c>
      <c r="K198" s="842"/>
      <c r="L198" s="404"/>
      <c r="M198" s="666">
        <f>verzamelblad!$S$7*D198/H198/1000</f>
        <v>0.2271</v>
      </c>
      <c r="N198" s="735"/>
      <c r="O198" s="856">
        <f>M198</f>
        <v>0.2271</v>
      </c>
      <c r="P198" s="856"/>
      <c r="Q198" s="403" t="str">
        <f>IF(D198=0,"verbergen","")</f>
        <v/>
      </c>
      <c r="R198" s="404"/>
      <c r="S198" s="404"/>
      <c r="T198" s="392"/>
      <c r="U198" s="392"/>
      <c r="V198" s="392"/>
      <c r="W198" s="547">
        <f>W197+1</f>
        <v>3</v>
      </c>
      <c r="X198" s="392"/>
      <c r="Y198" s="392"/>
      <c r="Z198" s="392"/>
      <c r="AA198" s="404"/>
      <c r="AB198" s="516"/>
      <c r="AC198" s="516"/>
      <c r="AD198" s="516"/>
      <c r="AE198" s="516"/>
      <c r="AF198" s="516"/>
      <c r="AG198" s="516"/>
      <c r="AH198" s="516"/>
    </row>
    <row r="199" spans="1:34" s="541" customFormat="1" ht="12" customHeight="1">
      <c r="A199" s="543"/>
      <c r="B199" s="543"/>
      <c r="C199" s="640" t="str">
        <f t="shared" ref="C199:C200" si="44">L32</f>
        <v>slaapkamer 2</v>
      </c>
      <c r="D199" s="831">
        <f>SUMPRODUCT(($AE$1:$AE$28002)*($L$1:$L$28002=C199))</f>
        <v>7.47</v>
      </c>
      <c r="E199" s="831"/>
      <c r="F199" s="811">
        <v>1</v>
      </c>
      <c r="G199" s="811"/>
      <c r="H199" s="841">
        <f t="shared" si="43"/>
        <v>0.1</v>
      </c>
      <c r="I199" s="841"/>
      <c r="J199" s="842" t="s">
        <v>245</v>
      </c>
      <c r="K199" s="842"/>
      <c r="L199" s="404"/>
      <c r="M199" s="666">
        <f>verzamelblad!$S$7*D199/H199/1000</f>
        <v>0.22409999999999999</v>
      </c>
      <c r="N199" s="735"/>
      <c r="O199" s="856">
        <f t="shared" ref="O199:O203" si="45">M199</f>
        <v>0.22409999999999999</v>
      </c>
      <c r="P199" s="856"/>
      <c r="Q199" s="403" t="str">
        <f t="shared" ref="Q199:Q203" si="46">IF(D199=0,"verbergen","")</f>
        <v/>
      </c>
      <c r="R199" s="404"/>
      <c r="S199" s="404"/>
      <c r="T199" s="392"/>
      <c r="U199" s="392"/>
      <c r="V199" s="392"/>
      <c r="W199" s="547">
        <f t="shared" ref="W199:W204" si="47">W198</f>
        <v>3</v>
      </c>
      <c r="X199" s="392"/>
      <c r="Y199" s="392"/>
      <c r="Z199" s="392"/>
      <c r="AA199" s="404"/>
      <c r="AB199" s="516"/>
      <c r="AC199" s="516"/>
      <c r="AD199" s="516"/>
      <c r="AE199" s="516"/>
      <c r="AF199" s="516"/>
      <c r="AG199" s="516"/>
      <c r="AH199" s="516"/>
    </row>
    <row r="200" spans="1:34" s="541" customFormat="1" ht="12" customHeight="1">
      <c r="A200" s="543"/>
      <c r="B200" s="543"/>
      <c r="C200" s="640" t="str">
        <f t="shared" si="44"/>
        <v>studeerkamer</v>
      </c>
      <c r="D200" s="831">
        <f>SUMPRODUCT(($AE$1:$AE$28002)*($L$1:$L$28002=C200))</f>
        <v>3.33</v>
      </c>
      <c r="E200" s="831"/>
      <c r="F200" s="811">
        <v>1</v>
      </c>
      <c r="G200" s="811"/>
      <c r="H200" s="841">
        <f t="shared" si="43"/>
        <v>0.1</v>
      </c>
      <c r="I200" s="841"/>
      <c r="J200" s="842" t="s">
        <v>245</v>
      </c>
      <c r="K200" s="842"/>
      <c r="L200" s="404"/>
      <c r="M200" s="666">
        <f>verzamelblad!$S$7*D200/H200/1000</f>
        <v>9.9899999999999989E-2</v>
      </c>
      <c r="N200" s="735"/>
      <c r="O200" s="856">
        <f t="shared" si="45"/>
        <v>9.9899999999999989E-2</v>
      </c>
      <c r="P200" s="856"/>
      <c r="Q200" s="403" t="str">
        <f t="shared" si="46"/>
        <v/>
      </c>
      <c r="R200" s="404"/>
      <c r="S200" s="404"/>
      <c r="T200" s="392"/>
      <c r="U200" s="392"/>
      <c r="V200" s="392"/>
      <c r="W200" s="547">
        <f t="shared" si="47"/>
        <v>3</v>
      </c>
      <c r="X200" s="392"/>
      <c r="Y200" s="392"/>
      <c r="Z200" s="392"/>
      <c r="AA200" s="404"/>
      <c r="AB200" s="516"/>
      <c r="AC200" s="516"/>
      <c r="AD200" s="516"/>
      <c r="AE200" s="516"/>
      <c r="AF200" s="516"/>
      <c r="AG200" s="516"/>
      <c r="AH200" s="516"/>
    </row>
    <row r="201" spans="1:34" s="541" customFormat="1" ht="12" hidden="1" customHeight="1">
      <c r="A201" s="543"/>
      <c r="B201" s="543"/>
      <c r="C201" s="640" t="s">
        <v>140</v>
      </c>
      <c r="D201" s="831">
        <f>SUMPRODUCT(($AE$1:$AE$28002)*($L$1:$L$28002=C201))</f>
        <v>0</v>
      </c>
      <c r="E201" s="831"/>
      <c r="F201" s="811">
        <v>2</v>
      </c>
      <c r="G201" s="811"/>
      <c r="H201" s="841">
        <f t="shared" si="43"/>
        <v>0.4</v>
      </c>
      <c r="I201" s="841"/>
      <c r="J201" s="842" t="s">
        <v>245</v>
      </c>
      <c r="K201" s="842"/>
      <c r="L201" s="404"/>
      <c r="M201" s="666">
        <f>verzamelblad!$S$7*D201/H201/1000</f>
        <v>0</v>
      </c>
      <c r="N201" s="735"/>
      <c r="O201" s="856">
        <f t="shared" si="45"/>
        <v>0</v>
      </c>
      <c r="P201" s="856"/>
      <c r="Q201" s="403" t="str">
        <f t="shared" si="46"/>
        <v>verbergen</v>
      </c>
      <c r="R201" s="404"/>
      <c r="S201" s="404"/>
      <c r="T201" s="392"/>
      <c r="U201" s="392"/>
      <c r="V201" s="392"/>
      <c r="W201" s="547">
        <f t="shared" si="47"/>
        <v>3</v>
      </c>
      <c r="X201" s="392"/>
      <c r="Y201" s="392"/>
      <c r="Z201" s="392"/>
      <c r="AA201" s="404"/>
      <c r="AB201" s="516"/>
      <c r="AC201" s="516"/>
      <c r="AD201" s="516"/>
      <c r="AE201" s="516"/>
      <c r="AF201" s="516"/>
      <c r="AG201" s="516"/>
      <c r="AH201" s="516"/>
    </row>
    <row r="202" spans="1:34" s="541" customFormat="1" ht="12" hidden="1" customHeight="1">
      <c r="A202" s="543"/>
      <c r="B202" s="543"/>
      <c r="C202" s="667" t="s">
        <v>140</v>
      </c>
      <c r="D202" s="847">
        <f>SUMPRODUCT(($AE$1:$AE$28002)*($L$1:$L$28002=C202))</f>
        <v>0</v>
      </c>
      <c r="E202" s="847"/>
      <c r="F202" s="812">
        <v>2</v>
      </c>
      <c r="G202" s="812"/>
      <c r="H202" s="848">
        <f t="shared" si="43"/>
        <v>0.4</v>
      </c>
      <c r="I202" s="848"/>
      <c r="J202" s="849" t="s">
        <v>245</v>
      </c>
      <c r="K202" s="849"/>
      <c r="L202" s="628"/>
      <c r="M202" s="668">
        <f>verzamelblad!$S$7*D202/H202/1000</f>
        <v>0</v>
      </c>
      <c r="N202" s="738"/>
      <c r="O202" s="857">
        <f t="shared" si="45"/>
        <v>0</v>
      </c>
      <c r="P202" s="857"/>
      <c r="Q202" s="403" t="str">
        <f>IF(D202=0,"verbergen","")</f>
        <v>verbergen</v>
      </c>
      <c r="R202" s="404"/>
      <c r="S202" s="404"/>
      <c r="T202" s="392"/>
      <c r="U202" s="392"/>
      <c r="V202" s="392"/>
      <c r="W202" s="547">
        <f t="shared" si="47"/>
        <v>3</v>
      </c>
      <c r="X202" s="392"/>
      <c r="Y202" s="392"/>
      <c r="Z202" s="392"/>
      <c r="AA202" s="404"/>
      <c r="AB202" s="516"/>
      <c r="AC202" s="516"/>
      <c r="AD202" s="516"/>
      <c r="AE202" s="516"/>
      <c r="AF202" s="516"/>
      <c r="AG202" s="516"/>
      <c r="AH202" s="516"/>
    </row>
    <row r="203" spans="1:34" s="541" customFormat="1" ht="12" customHeight="1">
      <c r="A203" s="543"/>
      <c r="B203" s="556">
        <f>B196+1</f>
        <v>3</v>
      </c>
      <c r="C203" s="480">
        <f>B203</f>
        <v>3</v>
      </c>
      <c r="D203" s="851">
        <f>SUMPRODUCT(($AD$1:$AD$50028)*($AC$1:$AC$50028=B203))</f>
        <v>18.899999999999999</v>
      </c>
      <c r="E203" s="851"/>
      <c r="F203" s="852">
        <v>2</v>
      </c>
      <c r="G203" s="852"/>
      <c r="H203" s="853">
        <f t="shared" si="43"/>
        <v>0.4</v>
      </c>
      <c r="I203" s="853"/>
      <c r="J203" s="854" t="s">
        <v>245</v>
      </c>
      <c r="K203" s="854"/>
      <c r="L203" s="592"/>
      <c r="M203" s="669">
        <f>verzamelblad!$R$7*D203/H203/1000</f>
        <v>0.28349999999999992</v>
      </c>
      <c r="N203" s="739"/>
      <c r="O203" s="858">
        <f t="shared" si="45"/>
        <v>0.28349999999999992</v>
      </c>
      <c r="P203" s="858"/>
      <c r="Q203" s="403" t="str">
        <f t="shared" si="46"/>
        <v/>
      </c>
      <c r="R203" s="404"/>
      <c r="S203" s="404"/>
      <c r="T203" s="392"/>
      <c r="U203" s="392"/>
      <c r="V203" s="392"/>
      <c r="W203" s="547">
        <f t="shared" si="47"/>
        <v>3</v>
      </c>
      <c r="X203" s="392"/>
      <c r="Y203" s="392"/>
      <c r="Z203" s="392"/>
      <c r="AA203" s="404"/>
      <c r="AB203" s="516"/>
      <c r="AC203" s="516"/>
      <c r="AD203" s="516"/>
      <c r="AE203" s="516"/>
      <c r="AF203" s="516"/>
      <c r="AG203" s="516"/>
      <c r="AH203" s="516"/>
    </row>
    <row r="204" spans="1:34" s="493" customFormat="1" ht="12" customHeight="1">
      <c r="A204" s="560"/>
      <c r="B204" s="560"/>
      <c r="C204" s="463"/>
      <c r="D204" s="463"/>
      <c r="E204" s="463"/>
      <c r="F204" s="463"/>
      <c r="G204" s="463"/>
      <c r="H204" s="456"/>
      <c r="I204" s="456"/>
      <c r="J204" s="456"/>
      <c r="K204" s="456"/>
      <c r="L204" s="456"/>
      <c r="M204" s="456"/>
      <c r="N204" s="456"/>
      <c r="O204" s="456"/>
      <c r="P204" s="456"/>
      <c r="Q204" s="451"/>
      <c r="R204" s="451"/>
      <c r="S204" s="451"/>
      <c r="T204" s="561"/>
      <c r="U204" s="547"/>
      <c r="V204" s="547"/>
      <c r="W204" s="547">
        <f t="shared" si="47"/>
        <v>3</v>
      </c>
      <c r="X204" s="547"/>
      <c r="Y204" s="547"/>
      <c r="Z204" s="547"/>
      <c r="AA204" s="451"/>
      <c r="AB204" s="507"/>
      <c r="AC204" s="507"/>
      <c r="AD204" s="507"/>
      <c r="AE204" s="507"/>
      <c r="AF204" s="507"/>
      <c r="AG204" s="507"/>
      <c r="AH204" s="507"/>
    </row>
    <row r="205" spans="1:34" s="541" customFormat="1" ht="12" customHeight="1">
      <c r="A205" s="543"/>
      <c r="B205" s="543"/>
      <c r="C205" s="640" t="str">
        <f>L34</f>
        <v>slaapkamer 3</v>
      </c>
      <c r="D205" s="831">
        <f>SUMPRODUCT(($AE$1:$AE$27974)*($L$1:$L$27974=C205))</f>
        <v>6</v>
      </c>
      <c r="E205" s="831"/>
      <c r="F205" s="811">
        <v>1</v>
      </c>
      <c r="G205" s="811"/>
      <c r="H205" s="841">
        <f t="shared" ref="H205:H210" si="48">IF(F205=0,"",IF(F205=1,0.1,0.4))</f>
        <v>0.1</v>
      </c>
      <c r="I205" s="841"/>
      <c r="J205" s="842" t="s">
        <v>245</v>
      </c>
      <c r="K205" s="842"/>
      <c r="L205" s="404"/>
      <c r="M205" s="666">
        <f>verzamelblad!$S$7*D205/H205/1000</f>
        <v>0.18</v>
      </c>
      <c r="N205" s="735"/>
      <c r="O205" s="856">
        <f>M205</f>
        <v>0.18</v>
      </c>
      <c r="P205" s="856"/>
      <c r="Q205" s="403" t="str">
        <f>IF(D205=0,"verbergen","")</f>
        <v/>
      </c>
      <c r="R205" s="404"/>
      <c r="S205" s="404"/>
      <c r="T205" s="392"/>
      <c r="U205" s="392"/>
      <c r="V205" s="392"/>
      <c r="W205" s="547">
        <f>W204+1</f>
        <v>4</v>
      </c>
      <c r="X205" s="392"/>
      <c r="Y205" s="392"/>
      <c r="Z205" s="392"/>
      <c r="AA205" s="404"/>
      <c r="AB205" s="516"/>
      <c r="AC205" s="516"/>
      <c r="AD205" s="516"/>
      <c r="AE205" s="516"/>
      <c r="AF205" s="516"/>
      <c r="AG205" s="516"/>
      <c r="AH205" s="516"/>
    </row>
    <row r="206" spans="1:34" s="541" customFormat="1" ht="12" hidden="1" customHeight="1">
      <c r="A206" s="543"/>
      <c r="B206" s="543"/>
      <c r="C206" s="640" t="s">
        <v>140</v>
      </c>
      <c r="D206" s="831">
        <f>SUMPRODUCT(($AE$1:$AE$27974)*($L$1:$L$27974=C206))</f>
        <v>0</v>
      </c>
      <c r="E206" s="831"/>
      <c r="F206" s="811">
        <v>2</v>
      </c>
      <c r="G206" s="811"/>
      <c r="H206" s="841">
        <f t="shared" si="48"/>
        <v>0.4</v>
      </c>
      <c r="I206" s="841"/>
      <c r="J206" s="842" t="s">
        <v>245</v>
      </c>
      <c r="K206" s="842"/>
      <c r="L206" s="404"/>
      <c r="M206" s="666">
        <f>verzamelblad!$S$7*D206/H206/1000</f>
        <v>0</v>
      </c>
      <c r="N206" s="735"/>
      <c r="O206" s="856">
        <f t="shared" ref="O206:O210" si="49">M206</f>
        <v>0</v>
      </c>
      <c r="P206" s="856"/>
      <c r="Q206" s="403" t="str">
        <f t="shared" ref="Q206:Q210" si="50">IF(D206=0,"verbergen","")</f>
        <v>verbergen</v>
      </c>
      <c r="R206" s="404"/>
      <c r="S206" s="404"/>
      <c r="T206" s="392"/>
      <c r="U206" s="392"/>
      <c r="V206" s="392"/>
      <c r="W206" s="547">
        <f t="shared" ref="W206:W211" si="51">W205</f>
        <v>4</v>
      </c>
      <c r="X206" s="392"/>
      <c r="Y206" s="392"/>
      <c r="Z206" s="392"/>
      <c r="AA206" s="404"/>
      <c r="AB206" s="516"/>
      <c r="AC206" s="516"/>
      <c r="AD206" s="516"/>
      <c r="AE206" s="516"/>
      <c r="AF206" s="516"/>
      <c r="AG206" s="516"/>
      <c r="AH206" s="516"/>
    </row>
    <row r="207" spans="1:34" s="541" customFormat="1" ht="12" hidden="1" customHeight="1">
      <c r="A207" s="543"/>
      <c r="B207" s="543"/>
      <c r="C207" s="640" t="s">
        <v>140</v>
      </c>
      <c r="D207" s="831">
        <f>SUMPRODUCT(($AE$1:$AE$27974)*($L$1:$L$27974=C207))</f>
        <v>0</v>
      </c>
      <c r="E207" s="831"/>
      <c r="F207" s="811">
        <v>2</v>
      </c>
      <c r="G207" s="811"/>
      <c r="H207" s="841">
        <f t="shared" si="48"/>
        <v>0.4</v>
      </c>
      <c r="I207" s="841"/>
      <c r="J207" s="842" t="s">
        <v>245</v>
      </c>
      <c r="K207" s="842"/>
      <c r="L207" s="404"/>
      <c r="M207" s="666">
        <f>verzamelblad!$S$7*D207/H207/1000</f>
        <v>0</v>
      </c>
      <c r="N207" s="735"/>
      <c r="O207" s="856">
        <f t="shared" si="49"/>
        <v>0</v>
      </c>
      <c r="P207" s="856"/>
      <c r="Q207" s="403" t="str">
        <f t="shared" si="50"/>
        <v>verbergen</v>
      </c>
      <c r="R207" s="404"/>
      <c r="S207" s="404"/>
      <c r="T207" s="392"/>
      <c r="U207" s="392"/>
      <c r="V207" s="392"/>
      <c r="W207" s="547">
        <f t="shared" si="51"/>
        <v>4</v>
      </c>
      <c r="X207" s="392"/>
      <c r="Y207" s="392"/>
      <c r="Z207" s="392"/>
      <c r="AA207" s="404"/>
      <c r="AB207" s="516"/>
      <c r="AC207" s="516"/>
      <c r="AD207" s="516"/>
      <c r="AE207" s="516"/>
      <c r="AF207" s="516"/>
      <c r="AG207" s="516"/>
      <c r="AH207" s="516"/>
    </row>
    <row r="208" spans="1:34" s="541" customFormat="1" ht="12" hidden="1" customHeight="1">
      <c r="A208" s="543"/>
      <c r="B208" s="543"/>
      <c r="C208" s="640" t="s">
        <v>140</v>
      </c>
      <c r="D208" s="831">
        <f>SUMPRODUCT(($AE$1:$AE$27974)*($L$1:$L$27974=C208))</f>
        <v>0</v>
      </c>
      <c r="E208" s="831"/>
      <c r="F208" s="811">
        <v>2</v>
      </c>
      <c r="G208" s="811"/>
      <c r="H208" s="841">
        <f t="shared" si="48"/>
        <v>0.4</v>
      </c>
      <c r="I208" s="841"/>
      <c r="J208" s="842" t="s">
        <v>245</v>
      </c>
      <c r="K208" s="842"/>
      <c r="L208" s="404"/>
      <c r="M208" s="666">
        <f>verzamelblad!$S$7*D208/H208/1000</f>
        <v>0</v>
      </c>
      <c r="N208" s="735"/>
      <c r="O208" s="856">
        <f t="shared" si="49"/>
        <v>0</v>
      </c>
      <c r="P208" s="856"/>
      <c r="Q208" s="403" t="str">
        <f t="shared" si="50"/>
        <v>verbergen</v>
      </c>
      <c r="R208" s="404"/>
      <c r="S208" s="404"/>
      <c r="T208" s="392"/>
      <c r="U208" s="392"/>
      <c r="V208" s="392"/>
      <c r="W208" s="547">
        <f t="shared" si="51"/>
        <v>4</v>
      </c>
      <c r="X208" s="392"/>
      <c r="Y208" s="392"/>
      <c r="Z208" s="392"/>
      <c r="AA208" s="404"/>
      <c r="AB208" s="516"/>
      <c r="AC208" s="516"/>
      <c r="AD208" s="516"/>
      <c r="AE208" s="516"/>
      <c r="AF208" s="516"/>
      <c r="AG208" s="516"/>
      <c r="AH208" s="516"/>
    </row>
    <row r="209" spans="1:34" s="541" customFormat="1" ht="12" hidden="1" customHeight="1">
      <c r="A209" s="543"/>
      <c r="B209" s="543"/>
      <c r="C209" s="667" t="s">
        <v>140</v>
      </c>
      <c r="D209" s="847">
        <f>SUMPRODUCT(($AE$1:$AE$27974)*($L$1:$L$27974=C209))</f>
        <v>0</v>
      </c>
      <c r="E209" s="847"/>
      <c r="F209" s="812">
        <v>2</v>
      </c>
      <c r="G209" s="812"/>
      <c r="H209" s="848">
        <f t="shared" si="48"/>
        <v>0.4</v>
      </c>
      <c r="I209" s="848"/>
      <c r="J209" s="849" t="s">
        <v>245</v>
      </c>
      <c r="K209" s="849"/>
      <c r="L209" s="628"/>
      <c r="M209" s="668">
        <f>verzamelblad!$S$7*D209/H209/1000</f>
        <v>0</v>
      </c>
      <c r="N209" s="738"/>
      <c r="O209" s="857">
        <f t="shared" si="49"/>
        <v>0</v>
      </c>
      <c r="P209" s="857"/>
      <c r="Q209" s="403" t="str">
        <f>IF(D209=0,"verbergen","")</f>
        <v>verbergen</v>
      </c>
      <c r="R209" s="404"/>
      <c r="S209" s="404"/>
      <c r="T209" s="392"/>
      <c r="U209" s="392"/>
      <c r="V209" s="392"/>
      <c r="W209" s="547">
        <f t="shared" si="51"/>
        <v>4</v>
      </c>
      <c r="X209" s="392"/>
      <c r="Y209" s="392"/>
      <c r="Z209" s="392"/>
      <c r="AA209" s="404"/>
      <c r="AB209" s="516"/>
      <c r="AC209" s="516"/>
      <c r="AD209" s="516"/>
      <c r="AE209" s="516"/>
      <c r="AF209" s="516"/>
      <c r="AG209" s="516"/>
      <c r="AH209" s="516"/>
    </row>
    <row r="210" spans="1:34" s="541" customFormat="1" ht="12" customHeight="1">
      <c r="A210" s="543"/>
      <c r="B210" s="556">
        <f>B203+1</f>
        <v>4</v>
      </c>
      <c r="C210" s="480">
        <f>B210</f>
        <v>4</v>
      </c>
      <c r="D210" s="851">
        <f>SUMPRODUCT(($AD$1:$AD$50000)*($AC$1:$AC$50000=B210))</f>
        <v>6</v>
      </c>
      <c r="E210" s="851"/>
      <c r="F210" s="852">
        <v>2</v>
      </c>
      <c r="G210" s="852"/>
      <c r="H210" s="853">
        <f t="shared" si="48"/>
        <v>0.4</v>
      </c>
      <c r="I210" s="853"/>
      <c r="J210" s="854" t="s">
        <v>245</v>
      </c>
      <c r="K210" s="854"/>
      <c r="L210" s="592"/>
      <c r="M210" s="669">
        <f>verzamelblad!$R$7*D210/H210/1000</f>
        <v>0.09</v>
      </c>
      <c r="N210" s="739"/>
      <c r="O210" s="858">
        <f t="shared" si="49"/>
        <v>0.09</v>
      </c>
      <c r="P210" s="858"/>
      <c r="Q210" s="403" t="str">
        <f t="shared" si="50"/>
        <v/>
      </c>
      <c r="R210" s="404"/>
      <c r="S210" s="404"/>
      <c r="T210" s="392"/>
      <c r="U210" s="392"/>
      <c r="V210" s="392"/>
      <c r="W210" s="547">
        <f t="shared" si="51"/>
        <v>4</v>
      </c>
      <c r="X210" s="392"/>
      <c r="Y210" s="392"/>
      <c r="Z210" s="392"/>
      <c r="AA210" s="404"/>
      <c r="AB210" s="516"/>
      <c r="AC210" s="516"/>
      <c r="AD210" s="516"/>
      <c r="AE210" s="516"/>
      <c r="AF210" s="516"/>
      <c r="AG210" s="516"/>
      <c r="AH210" s="516"/>
    </row>
    <row r="211" spans="1:34" s="493" customFormat="1" ht="12" customHeight="1">
      <c r="A211" s="560"/>
      <c r="B211" s="560"/>
      <c r="C211" s="463"/>
      <c r="D211" s="463"/>
      <c r="E211" s="463"/>
      <c r="F211" s="463"/>
      <c r="G211" s="463"/>
      <c r="H211" s="456"/>
      <c r="I211" s="456"/>
      <c r="J211" s="456"/>
      <c r="K211" s="456"/>
      <c r="L211" s="456"/>
      <c r="M211" s="456"/>
      <c r="N211" s="456"/>
      <c r="O211" s="456"/>
      <c r="P211" s="456"/>
      <c r="Q211" s="451"/>
      <c r="R211" s="451"/>
      <c r="S211" s="451"/>
      <c r="T211" s="561"/>
      <c r="U211" s="547"/>
      <c r="V211" s="547"/>
      <c r="W211" s="547">
        <f t="shared" si="51"/>
        <v>4</v>
      </c>
      <c r="X211" s="547"/>
      <c r="Y211" s="547"/>
      <c r="Z211" s="547"/>
      <c r="AA211" s="451"/>
      <c r="AB211" s="507"/>
      <c r="AC211" s="507"/>
      <c r="AD211" s="507"/>
      <c r="AE211" s="507"/>
      <c r="AF211" s="507"/>
      <c r="AG211" s="507"/>
      <c r="AH211" s="507"/>
    </row>
    <row r="212" spans="1:34" ht="12" customHeight="1"/>
  </sheetData>
  <sheetProtection algorithmName="SHA-512" hashValue="9OmmeSY9UVzYpRQ+xPLcj3DNDJI4XuEOGAeuHIcMyvmkR+//goLgwVy/Mg3mWcJryDpqZCj1DRDZFxDgp36LyQ==" saltValue="iWRiGGv6HdEMZtRica4J+Q==" spinCount="100000"/>
  <dataConsolidate/>
  <mergeCells count="360">
    <mergeCell ref="D210:E210"/>
    <mergeCell ref="F210:G210"/>
    <mergeCell ref="H210:I210"/>
    <mergeCell ref="J210:K210"/>
    <mergeCell ref="O210:P210"/>
    <mergeCell ref="D208:E208"/>
    <mergeCell ref="F208:G208"/>
    <mergeCell ref="H208:I208"/>
    <mergeCell ref="J208:K208"/>
    <mergeCell ref="O208:P208"/>
    <mergeCell ref="D209:E209"/>
    <mergeCell ref="F209:G209"/>
    <mergeCell ref="H209:I209"/>
    <mergeCell ref="J209:K209"/>
    <mergeCell ref="O209:P209"/>
    <mergeCell ref="D206:E206"/>
    <mergeCell ref="F206:G206"/>
    <mergeCell ref="H206:I206"/>
    <mergeCell ref="J206:K206"/>
    <mergeCell ref="O206:P206"/>
    <mergeCell ref="D207:E207"/>
    <mergeCell ref="F207:G207"/>
    <mergeCell ref="H207:I207"/>
    <mergeCell ref="J207:K207"/>
    <mergeCell ref="O207:P207"/>
    <mergeCell ref="D203:E203"/>
    <mergeCell ref="F203:G203"/>
    <mergeCell ref="H203:I203"/>
    <mergeCell ref="J203:K203"/>
    <mergeCell ref="O203:P203"/>
    <mergeCell ref="D205:E205"/>
    <mergeCell ref="F205:G205"/>
    <mergeCell ref="H205:I205"/>
    <mergeCell ref="J205:K205"/>
    <mergeCell ref="O205:P205"/>
    <mergeCell ref="D201:E201"/>
    <mergeCell ref="F201:G201"/>
    <mergeCell ref="H201:I201"/>
    <mergeCell ref="J201:K201"/>
    <mergeCell ref="O201:P201"/>
    <mergeCell ref="D202:E202"/>
    <mergeCell ref="F202:G202"/>
    <mergeCell ref="H202:I202"/>
    <mergeCell ref="J202:K202"/>
    <mergeCell ref="O202:P202"/>
    <mergeCell ref="D199:E199"/>
    <mergeCell ref="F199:G199"/>
    <mergeCell ref="H199:I199"/>
    <mergeCell ref="J199:K199"/>
    <mergeCell ref="O199:P199"/>
    <mergeCell ref="D200:E200"/>
    <mergeCell ref="F200:G200"/>
    <mergeCell ref="H200:I200"/>
    <mergeCell ref="J200:K200"/>
    <mergeCell ref="O200:P200"/>
    <mergeCell ref="D196:E196"/>
    <mergeCell ref="F196:G196"/>
    <mergeCell ref="H196:I196"/>
    <mergeCell ref="J196:K196"/>
    <mergeCell ref="O196:P196"/>
    <mergeCell ref="D198:E198"/>
    <mergeCell ref="F198:G198"/>
    <mergeCell ref="H198:I198"/>
    <mergeCell ref="J198:K198"/>
    <mergeCell ref="O198:P198"/>
    <mergeCell ref="D194:E194"/>
    <mergeCell ref="F194:G194"/>
    <mergeCell ref="H194:I194"/>
    <mergeCell ref="J194:K194"/>
    <mergeCell ref="O194:P194"/>
    <mergeCell ref="D195:E195"/>
    <mergeCell ref="F195:G195"/>
    <mergeCell ref="H195:I195"/>
    <mergeCell ref="J195:K195"/>
    <mergeCell ref="O195:P195"/>
    <mergeCell ref="D192:E192"/>
    <mergeCell ref="F192:G192"/>
    <mergeCell ref="H192:I192"/>
    <mergeCell ref="J192:K192"/>
    <mergeCell ref="O192:P192"/>
    <mergeCell ref="D193:E193"/>
    <mergeCell ref="F193:G193"/>
    <mergeCell ref="H193:I193"/>
    <mergeCell ref="J193:K193"/>
    <mergeCell ref="O193:P193"/>
    <mergeCell ref="D189:E189"/>
    <mergeCell ref="F189:G189"/>
    <mergeCell ref="H189:I189"/>
    <mergeCell ref="J189:K189"/>
    <mergeCell ref="O189:P189"/>
    <mergeCell ref="D191:E191"/>
    <mergeCell ref="F191:G191"/>
    <mergeCell ref="H191:I191"/>
    <mergeCell ref="J191:K191"/>
    <mergeCell ref="O191:P191"/>
    <mergeCell ref="D187:E187"/>
    <mergeCell ref="F187:G187"/>
    <mergeCell ref="H187:I187"/>
    <mergeCell ref="J187:K187"/>
    <mergeCell ref="O187:P187"/>
    <mergeCell ref="D188:E188"/>
    <mergeCell ref="F188:G188"/>
    <mergeCell ref="H188:I188"/>
    <mergeCell ref="J188:K188"/>
    <mergeCell ref="O188:P188"/>
    <mergeCell ref="D185:E185"/>
    <mergeCell ref="F185:G185"/>
    <mergeCell ref="H185:I185"/>
    <mergeCell ref="J185:K185"/>
    <mergeCell ref="O185:P185"/>
    <mergeCell ref="D186:E186"/>
    <mergeCell ref="F186:G186"/>
    <mergeCell ref="H186:I186"/>
    <mergeCell ref="J186:K186"/>
    <mergeCell ref="O186:P186"/>
    <mergeCell ref="O182:P182"/>
    <mergeCell ref="D184:E184"/>
    <mergeCell ref="F184:G184"/>
    <mergeCell ref="H184:I184"/>
    <mergeCell ref="J184:K184"/>
    <mergeCell ref="O184:P184"/>
    <mergeCell ref="I175:J175"/>
    <mergeCell ref="K175:P175"/>
    <mergeCell ref="I176:J176"/>
    <mergeCell ref="K176:P176"/>
    <mergeCell ref="K177:P177"/>
    <mergeCell ref="D182:E182"/>
    <mergeCell ref="F182:G182"/>
    <mergeCell ref="H182:I182"/>
    <mergeCell ref="J182:K182"/>
    <mergeCell ref="M182:N182"/>
    <mergeCell ref="I172:J172"/>
    <mergeCell ref="K172:P172"/>
    <mergeCell ref="I173:J173"/>
    <mergeCell ref="K173:P173"/>
    <mergeCell ref="I174:J174"/>
    <mergeCell ref="K174:P174"/>
    <mergeCell ref="I168:J168"/>
    <mergeCell ref="K168:P168"/>
    <mergeCell ref="I169:J169"/>
    <mergeCell ref="K169:P169"/>
    <mergeCell ref="K170:P170"/>
    <mergeCell ref="K171:L171"/>
    <mergeCell ref="M171:N171"/>
    <mergeCell ref="O171:P171"/>
    <mergeCell ref="I165:J165"/>
    <mergeCell ref="K165:P165"/>
    <mergeCell ref="I166:J166"/>
    <mergeCell ref="K166:P166"/>
    <mergeCell ref="I167:J167"/>
    <mergeCell ref="K167:P167"/>
    <mergeCell ref="I161:J161"/>
    <mergeCell ref="K161:P161"/>
    <mergeCell ref="I162:J162"/>
    <mergeCell ref="K162:P162"/>
    <mergeCell ref="K163:P163"/>
    <mergeCell ref="K164:L164"/>
    <mergeCell ref="M164:N164"/>
    <mergeCell ref="O164:P164"/>
    <mergeCell ref="I158:J158"/>
    <mergeCell ref="K158:P158"/>
    <mergeCell ref="I159:J159"/>
    <mergeCell ref="K159:P159"/>
    <mergeCell ref="I160:J160"/>
    <mergeCell ref="K160:P160"/>
    <mergeCell ref="I154:J154"/>
    <mergeCell ref="K154:P154"/>
    <mergeCell ref="I155:J155"/>
    <mergeCell ref="K155:P155"/>
    <mergeCell ref="K156:P156"/>
    <mergeCell ref="K157:L157"/>
    <mergeCell ref="M157:N157"/>
    <mergeCell ref="O157:P157"/>
    <mergeCell ref="I151:J151"/>
    <mergeCell ref="K151:P151"/>
    <mergeCell ref="I152:J152"/>
    <mergeCell ref="K152:P152"/>
    <mergeCell ref="I153:J153"/>
    <mergeCell ref="K153:P153"/>
    <mergeCell ref="I147:J147"/>
    <mergeCell ref="K147:P147"/>
    <mergeCell ref="I148:J148"/>
    <mergeCell ref="K148:P148"/>
    <mergeCell ref="K149:P149"/>
    <mergeCell ref="K150:L150"/>
    <mergeCell ref="M150:N150"/>
    <mergeCell ref="O150:P150"/>
    <mergeCell ref="I144:J144"/>
    <mergeCell ref="K144:P144"/>
    <mergeCell ref="I145:J145"/>
    <mergeCell ref="K145:P145"/>
    <mergeCell ref="I146:J146"/>
    <mergeCell ref="K146:P146"/>
    <mergeCell ref="K137:P137"/>
    <mergeCell ref="K138:P138"/>
    <mergeCell ref="M139:P139"/>
    <mergeCell ref="D140:E140"/>
    <mergeCell ref="M140:N140"/>
    <mergeCell ref="I143:J143"/>
    <mergeCell ref="D128:E128"/>
    <mergeCell ref="M128:N128"/>
    <mergeCell ref="K133:P133"/>
    <mergeCell ref="K134:P134"/>
    <mergeCell ref="K135:P135"/>
    <mergeCell ref="K136:P136"/>
    <mergeCell ref="K122:P122"/>
    <mergeCell ref="K123:P123"/>
    <mergeCell ref="K124:P124"/>
    <mergeCell ref="K125:P125"/>
    <mergeCell ref="K126:P126"/>
    <mergeCell ref="M127:P127"/>
    <mergeCell ref="I116:J116"/>
    <mergeCell ref="L116:M116"/>
    <mergeCell ref="N116:O116"/>
    <mergeCell ref="F117:H117"/>
    <mergeCell ref="M117:N117"/>
    <mergeCell ref="K121:P121"/>
    <mergeCell ref="I114:J114"/>
    <mergeCell ref="L114:M114"/>
    <mergeCell ref="N114:O114"/>
    <mergeCell ref="I115:J115"/>
    <mergeCell ref="L115:M115"/>
    <mergeCell ref="N115:O115"/>
    <mergeCell ref="I109:J109"/>
    <mergeCell ref="L109:M109"/>
    <mergeCell ref="N109:O109"/>
    <mergeCell ref="F110:H110"/>
    <mergeCell ref="M110:N110"/>
    <mergeCell ref="I113:J113"/>
    <mergeCell ref="L113:M113"/>
    <mergeCell ref="N113:O113"/>
    <mergeCell ref="I107:J107"/>
    <mergeCell ref="L107:M107"/>
    <mergeCell ref="N107:O107"/>
    <mergeCell ref="I108:J108"/>
    <mergeCell ref="L108:M108"/>
    <mergeCell ref="N108:O108"/>
    <mergeCell ref="F103:H103"/>
    <mergeCell ref="M103:N103"/>
    <mergeCell ref="I105:J105"/>
    <mergeCell ref="L105:M105"/>
    <mergeCell ref="N105:O105"/>
    <mergeCell ref="I106:J106"/>
    <mergeCell ref="L106:M106"/>
    <mergeCell ref="N106:O106"/>
    <mergeCell ref="I101:J101"/>
    <mergeCell ref="L101:M101"/>
    <mergeCell ref="N101:O101"/>
    <mergeCell ref="I102:J102"/>
    <mergeCell ref="L102:M102"/>
    <mergeCell ref="N102:O102"/>
    <mergeCell ref="I99:J99"/>
    <mergeCell ref="L99:M99"/>
    <mergeCell ref="N99:O99"/>
    <mergeCell ref="I100:J100"/>
    <mergeCell ref="L100:M100"/>
    <mergeCell ref="N100:O100"/>
    <mergeCell ref="I95:J95"/>
    <mergeCell ref="L95:M95"/>
    <mergeCell ref="N95:O95"/>
    <mergeCell ref="F96:H96"/>
    <mergeCell ref="M96:N96"/>
    <mergeCell ref="I98:J98"/>
    <mergeCell ref="L98:M98"/>
    <mergeCell ref="N98:O98"/>
    <mergeCell ref="I93:J93"/>
    <mergeCell ref="L93:M93"/>
    <mergeCell ref="N93:O93"/>
    <mergeCell ref="I94:J94"/>
    <mergeCell ref="L94:M94"/>
    <mergeCell ref="N94:O94"/>
    <mergeCell ref="F89:H89"/>
    <mergeCell ref="M89:N89"/>
    <mergeCell ref="I91:J91"/>
    <mergeCell ref="L91:M91"/>
    <mergeCell ref="N91:O91"/>
    <mergeCell ref="I92:J92"/>
    <mergeCell ref="L92:M92"/>
    <mergeCell ref="N92:O92"/>
    <mergeCell ref="AJ85:AL88"/>
    <mergeCell ref="I86:J86"/>
    <mergeCell ref="N86:O86"/>
    <mergeCell ref="I87:J87"/>
    <mergeCell ref="N87:O87"/>
    <mergeCell ref="I88:J88"/>
    <mergeCell ref="N88:O88"/>
    <mergeCell ref="L83:M83"/>
    <mergeCell ref="I84:J84"/>
    <mergeCell ref="L84:M84"/>
    <mergeCell ref="N84:O84"/>
    <mergeCell ref="I85:J85"/>
    <mergeCell ref="N85:O85"/>
    <mergeCell ref="D72:G72"/>
    <mergeCell ref="D74:G74"/>
    <mergeCell ref="D75:G75"/>
    <mergeCell ref="F81:H81"/>
    <mergeCell ref="F83:H83"/>
    <mergeCell ref="I83:J83"/>
    <mergeCell ref="D63:E63"/>
    <mergeCell ref="D64:E64"/>
    <mergeCell ref="D65:E65"/>
    <mergeCell ref="D66:E66"/>
    <mergeCell ref="D67:E67"/>
    <mergeCell ref="E68:G68"/>
    <mergeCell ref="D56:E56"/>
    <mergeCell ref="D57:E57"/>
    <mergeCell ref="D58:E58"/>
    <mergeCell ref="D59:E59"/>
    <mergeCell ref="D60:E60"/>
    <mergeCell ref="E61:G61"/>
    <mergeCell ref="D49:E49"/>
    <mergeCell ref="D50:E50"/>
    <mergeCell ref="D51:E51"/>
    <mergeCell ref="D52:E52"/>
    <mergeCell ref="D53:E53"/>
    <mergeCell ref="E54:G54"/>
    <mergeCell ref="D42:E42"/>
    <mergeCell ref="D43:E43"/>
    <mergeCell ref="D44:E44"/>
    <mergeCell ref="D45:E45"/>
    <mergeCell ref="D46:E46"/>
    <mergeCell ref="E47:G47"/>
    <mergeCell ref="F34:G34"/>
    <mergeCell ref="J34:K34"/>
    <mergeCell ref="N34:O34"/>
    <mergeCell ref="F36:G36"/>
    <mergeCell ref="D40:E40"/>
    <mergeCell ref="D41:F41"/>
    <mergeCell ref="F32:G32"/>
    <mergeCell ref="J32:K32"/>
    <mergeCell ref="N32:O32"/>
    <mergeCell ref="F33:G33"/>
    <mergeCell ref="J33:K33"/>
    <mergeCell ref="N33:O33"/>
    <mergeCell ref="F30:G30"/>
    <mergeCell ref="J30:K30"/>
    <mergeCell ref="N30:O30"/>
    <mergeCell ref="F31:G31"/>
    <mergeCell ref="J31:K31"/>
    <mergeCell ref="N31:O31"/>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s>
  <conditionalFormatting sqref="F20">
    <cfRule type="expression" dxfId="1028" priority="179" stopIfTrue="1">
      <formula>F19&lt;18</formula>
    </cfRule>
    <cfRule type="expression" dxfId="1027" priority="180" stopIfTrue="1">
      <formula>F19&lt;F18</formula>
    </cfRule>
  </conditionalFormatting>
  <conditionalFormatting sqref="H22:I23">
    <cfRule type="expression" dxfId="1026" priority="178" stopIfTrue="1">
      <formula>H22&lt;F22</formula>
    </cfRule>
  </conditionalFormatting>
  <conditionalFormatting sqref="I15 K15:P15 H8:P11">
    <cfRule type="cellIs" dxfId="1025" priority="181" stopIfTrue="1" operator="equal">
      <formula>"&lt;PROJECTNUMMER&gt;"</formula>
    </cfRule>
  </conditionalFormatting>
  <conditionalFormatting sqref="L16:L20">
    <cfRule type="expression" dxfId="1024" priority="177">
      <formula>L16=0</formula>
    </cfRule>
  </conditionalFormatting>
  <conditionalFormatting sqref="F28:F29">
    <cfRule type="expression" dxfId="1023" priority="176" stopIfTrue="1">
      <formula>D28-E28&lt;5</formula>
    </cfRule>
  </conditionalFormatting>
  <conditionalFormatting sqref="D28:D29">
    <cfRule type="expression" dxfId="1022" priority="182" stopIfTrue="1">
      <formula>C28=""</formula>
    </cfRule>
  </conditionalFormatting>
  <conditionalFormatting sqref="I86:P88 I85:K85 AJ85 M85:P85 I84:P84">
    <cfRule type="expression" dxfId="1021" priority="175">
      <formula>$S$16&lt;&gt;1</formula>
    </cfRule>
  </conditionalFormatting>
  <conditionalFormatting sqref="N84:P88">
    <cfRule type="expression" dxfId="1020" priority="174">
      <formula>$S$12="nader te bepalen"</formula>
    </cfRule>
  </conditionalFormatting>
  <conditionalFormatting sqref="H16">
    <cfRule type="expression" dxfId="1019" priority="171">
      <formula>AND(SUM(L16:L20)&gt;=10,SUM(L16:L20)&lt;100)</formula>
    </cfRule>
    <cfRule type="expression" dxfId="1018" priority="172">
      <formula>SUM(L16:L20)&gt;=100</formula>
    </cfRule>
    <cfRule type="expression" dxfId="1017" priority="173">
      <formula>SUM(L16:L20)&lt;10</formula>
    </cfRule>
  </conditionalFormatting>
  <conditionalFormatting sqref="F17">
    <cfRule type="expression" dxfId="1016" priority="168">
      <formula>F17&lt;10</formula>
    </cfRule>
    <cfRule type="expression" dxfId="1015" priority="169">
      <formula>AND(F17&gt;=10,F17&lt;100)</formula>
    </cfRule>
    <cfRule type="expression" dxfId="1014" priority="170">
      <formula>F17&gt;=100</formula>
    </cfRule>
  </conditionalFormatting>
  <conditionalFormatting sqref="F18">
    <cfRule type="expression" dxfId="1013" priority="165">
      <formula>F18&lt;10</formula>
    </cfRule>
    <cfRule type="expression" dxfId="1012" priority="166">
      <formula>AND(F18&gt;=10,F18&lt;100)</formula>
    </cfRule>
    <cfRule type="expression" dxfId="1011" priority="167">
      <formula>F18&gt;=100</formula>
    </cfRule>
  </conditionalFormatting>
  <conditionalFormatting sqref="F19">
    <cfRule type="expression" dxfId="1010" priority="162">
      <formula>F19&lt;10</formula>
    </cfRule>
    <cfRule type="expression" dxfId="1009" priority="163">
      <formula>AND(F19&gt;=10,F19&lt;100)</formula>
    </cfRule>
    <cfRule type="expression" dxfId="1008" priority="164">
      <formula>F19&gt;=100</formula>
    </cfRule>
  </conditionalFormatting>
  <conditionalFormatting sqref="K47">
    <cfRule type="expression" dxfId="1007" priority="161" stopIfTrue="1">
      <formula>A47="nee"</formula>
    </cfRule>
  </conditionalFormatting>
  <conditionalFormatting sqref="K47">
    <cfRule type="expression" dxfId="1006" priority="160" stopIfTrue="1">
      <formula>A47="nee"</formula>
    </cfRule>
  </conditionalFormatting>
  <conditionalFormatting sqref="E47">
    <cfRule type="cellIs" dxfId="1005" priority="159" stopIfTrue="1" operator="equal">
      <formula>"voldoet niet"</formula>
    </cfRule>
  </conditionalFormatting>
  <conditionalFormatting sqref="K47">
    <cfRule type="expression" dxfId="1004" priority="158" stopIfTrue="1">
      <formula>A47="nee"</formula>
    </cfRule>
  </conditionalFormatting>
  <conditionalFormatting sqref="K47">
    <cfRule type="expression" dxfId="1003" priority="157" stopIfTrue="1">
      <formula>A47="nee"</formula>
    </cfRule>
  </conditionalFormatting>
  <conditionalFormatting sqref="F84:H89">
    <cfRule type="expression" dxfId="1002" priority="156">
      <formula>$S$16=3</formula>
    </cfRule>
  </conditionalFormatting>
  <conditionalFormatting sqref="H121:P128">
    <cfRule type="expression" dxfId="1001" priority="155">
      <formula>$S$16=3</formula>
    </cfRule>
  </conditionalFormatting>
  <conditionalFormatting sqref="H133:P140">
    <cfRule type="expression" dxfId="1000" priority="154">
      <formula>$S$16=3</formula>
    </cfRule>
  </conditionalFormatting>
  <conditionalFormatting sqref="F116:H117">
    <cfRule type="expression" dxfId="999" priority="124">
      <formula>$S$16=3</formula>
    </cfRule>
  </conditionalFormatting>
  <conditionalFormatting sqref="I113:P115">
    <cfRule type="expression" dxfId="998" priority="151">
      <formula>$S$16&lt;&gt;1</formula>
    </cfRule>
  </conditionalFormatting>
  <conditionalFormatting sqref="N113:P115">
    <cfRule type="expression" dxfId="997" priority="150">
      <formula>$S$12="nader te bepalen"</formula>
    </cfRule>
  </conditionalFormatting>
  <conditionalFormatting sqref="I113:P115">
    <cfRule type="expression" dxfId="996" priority="145">
      <formula>$S$16&lt;&gt;1</formula>
    </cfRule>
  </conditionalFormatting>
  <conditionalFormatting sqref="N113:P115">
    <cfRule type="expression" dxfId="995" priority="144">
      <formula>$S$12="nader te bepalen"</formula>
    </cfRule>
  </conditionalFormatting>
  <conditionalFormatting sqref="I113:P115">
    <cfRule type="expression" dxfId="994" priority="153">
      <formula>$S$16&lt;&gt;1</formula>
    </cfRule>
  </conditionalFormatting>
  <conditionalFormatting sqref="I113:P115">
    <cfRule type="expression" dxfId="993" priority="152">
      <formula>$S$16&lt;&gt;1</formula>
    </cfRule>
  </conditionalFormatting>
  <conditionalFormatting sqref="I113:P115">
    <cfRule type="expression" dxfId="992" priority="149">
      <formula>$S$16&lt;&gt;1</formula>
    </cfRule>
  </conditionalFormatting>
  <conditionalFormatting sqref="N113:P115">
    <cfRule type="expression" dxfId="991" priority="148">
      <formula>$S$12="nader te bepalen"</formula>
    </cfRule>
  </conditionalFormatting>
  <conditionalFormatting sqref="I113:P115">
    <cfRule type="expression" dxfId="990" priority="147">
      <formula>$S$16&lt;&gt;1</formula>
    </cfRule>
  </conditionalFormatting>
  <conditionalFormatting sqref="I113:P115">
    <cfRule type="expression" dxfId="989" priority="146">
      <formula>$S$16&lt;&gt;1</formula>
    </cfRule>
  </conditionalFormatting>
  <conditionalFormatting sqref="I113:P115">
    <cfRule type="expression" dxfId="988" priority="143">
      <formula>$S$16&lt;&gt;1</formula>
    </cfRule>
  </conditionalFormatting>
  <conditionalFormatting sqref="N113:P115">
    <cfRule type="expression" dxfId="987" priority="142">
      <formula>$S$12="nader te bepalen"</formula>
    </cfRule>
  </conditionalFormatting>
  <conditionalFormatting sqref="I113:P115">
    <cfRule type="expression" dxfId="986" priority="141">
      <formula>$S$16&lt;&gt;1</formula>
    </cfRule>
  </conditionalFormatting>
  <conditionalFormatting sqref="N113:P115">
    <cfRule type="expression" dxfId="985" priority="140">
      <formula>$S$12="nader te bepalen"</formula>
    </cfRule>
  </conditionalFormatting>
  <conditionalFormatting sqref="F113:H115">
    <cfRule type="expression" dxfId="984" priority="139">
      <formula>$S$16=3</formula>
    </cfRule>
  </conditionalFormatting>
  <conditionalFormatting sqref="I116:P116">
    <cfRule type="expression" dxfId="983" priority="136">
      <formula>$S$16&lt;&gt;1</formula>
    </cfRule>
  </conditionalFormatting>
  <conditionalFormatting sqref="N116:P116">
    <cfRule type="expression" dxfId="982" priority="135">
      <formula>$S$12="nader te bepalen"</formula>
    </cfRule>
  </conditionalFormatting>
  <conditionalFormatting sqref="I116:P116">
    <cfRule type="expression" dxfId="981" priority="130">
      <formula>$S$16&lt;&gt;1</formula>
    </cfRule>
  </conditionalFormatting>
  <conditionalFormatting sqref="N116:P116">
    <cfRule type="expression" dxfId="980" priority="129">
      <formula>$S$12="nader te bepalen"</formula>
    </cfRule>
  </conditionalFormatting>
  <conditionalFormatting sqref="I116:P116">
    <cfRule type="expression" dxfId="979" priority="138">
      <formula>$S$16&lt;&gt;1</formula>
    </cfRule>
  </conditionalFormatting>
  <conditionalFormatting sqref="I116:P116">
    <cfRule type="expression" dxfId="978" priority="137">
      <formula>$S$16&lt;&gt;1</formula>
    </cfRule>
  </conditionalFormatting>
  <conditionalFormatting sqref="I116:P116">
    <cfRule type="expression" dxfId="977" priority="134">
      <formula>$S$16&lt;&gt;1</formula>
    </cfRule>
  </conditionalFormatting>
  <conditionalFormatting sqref="N116:P116">
    <cfRule type="expression" dxfId="976" priority="133">
      <formula>$S$12="nader te bepalen"</formula>
    </cfRule>
  </conditionalFormatting>
  <conditionalFormatting sqref="I116:P116">
    <cfRule type="expression" dxfId="975" priority="132">
      <formula>$S$16&lt;&gt;1</formula>
    </cfRule>
  </conditionalFormatting>
  <conditionalFormatting sqref="I116:P116">
    <cfRule type="expression" dxfId="974" priority="131">
      <formula>$S$16&lt;&gt;1</formula>
    </cfRule>
  </conditionalFormatting>
  <conditionalFormatting sqref="I116:P116">
    <cfRule type="expression" dxfId="973" priority="128">
      <formula>$S$16&lt;&gt;1</formula>
    </cfRule>
  </conditionalFormatting>
  <conditionalFormatting sqref="N116:P116">
    <cfRule type="expression" dxfId="972" priority="127">
      <formula>$S$12="nader te bepalen"</formula>
    </cfRule>
  </conditionalFormatting>
  <conditionalFormatting sqref="I116:P116">
    <cfRule type="expression" dxfId="971" priority="126">
      <formula>$S$16&lt;&gt;1</formula>
    </cfRule>
  </conditionalFormatting>
  <conditionalFormatting sqref="N116:P116">
    <cfRule type="expression" dxfId="970" priority="125">
      <formula>$S$12="nader te bepalen"</formula>
    </cfRule>
  </conditionalFormatting>
  <conditionalFormatting sqref="P85">
    <cfRule type="expression" dxfId="969" priority="115" stopIfTrue="1">
      <formula>P85="-"</formula>
    </cfRule>
    <cfRule type="expression" dxfId="968" priority="120" stopIfTrue="1">
      <formula>P85&lt;H85</formula>
    </cfRule>
  </conditionalFormatting>
  <conditionalFormatting sqref="P86">
    <cfRule type="expression" dxfId="967" priority="116" stopIfTrue="1">
      <formula>P86="-"</formula>
    </cfRule>
    <cfRule type="expression" dxfId="966" priority="121" stopIfTrue="1">
      <formula>P86&lt;H86</formula>
    </cfRule>
  </conditionalFormatting>
  <conditionalFormatting sqref="P87">
    <cfRule type="expression" dxfId="965" priority="117" stopIfTrue="1">
      <formula>P87="-"</formula>
    </cfRule>
    <cfRule type="expression" dxfId="964" priority="122" stopIfTrue="1">
      <formula>P87&lt;H87</formula>
    </cfRule>
  </conditionalFormatting>
  <conditionalFormatting sqref="P88">
    <cfRule type="expression" dxfId="963" priority="118" stopIfTrue="1">
      <formula>P88="-"</formula>
    </cfRule>
    <cfRule type="expression" dxfId="962" priority="123" stopIfTrue="1">
      <formula>P88&lt;H88</formula>
    </cfRule>
  </conditionalFormatting>
  <conditionalFormatting sqref="P84">
    <cfRule type="expression" dxfId="961" priority="114" stopIfTrue="1">
      <formula>P84="-"</formula>
    </cfRule>
    <cfRule type="expression" dxfId="960" priority="119" stopIfTrue="1">
      <formula>P84&lt;H84</formula>
    </cfRule>
  </conditionalFormatting>
  <conditionalFormatting sqref="P113">
    <cfRule type="expression" dxfId="959" priority="106" stopIfTrue="1">
      <formula>P113="-"</formula>
    </cfRule>
    <cfRule type="expression" dxfId="958" priority="110" stopIfTrue="1">
      <formula>P113&lt;H113</formula>
    </cfRule>
  </conditionalFormatting>
  <conditionalFormatting sqref="P114">
    <cfRule type="expression" dxfId="957" priority="107" stopIfTrue="1">
      <formula>P114="-"</formula>
    </cfRule>
    <cfRule type="expression" dxfId="956" priority="111" stopIfTrue="1">
      <formula>P114&lt;H114</formula>
    </cfRule>
  </conditionalFormatting>
  <conditionalFormatting sqref="P115">
    <cfRule type="expression" dxfId="955" priority="108" stopIfTrue="1">
      <formula>P115="-"</formula>
    </cfRule>
    <cfRule type="expression" dxfId="954" priority="112" stopIfTrue="1">
      <formula>P115&lt;H115</formula>
    </cfRule>
  </conditionalFormatting>
  <conditionalFormatting sqref="P116">
    <cfRule type="expression" dxfId="953" priority="109" stopIfTrue="1">
      <formula>P116="-"</formula>
    </cfRule>
    <cfRule type="expression" dxfId="952" priority="113" stopIfTrue="1">
      <formula>P116&lt;H116</formula>
    </cfRule>
  </conditionalFormatting>
  <conditionalFormatting sqref="F89:H89">
    <cfRule type="containsText" dxfId="951" priority="105" operator="containsText" text="voldoet niet op VG-niveau">
      <formula>NOT(ISERROR(SEARCH("voldoet niet op VG-niveau",F89)))</formula>
    </cfRule>
  </conditionalFormatting>
  <conditionalFormatting sqref="K54">
    <cfRule type="expression" dxfId="950" priority="104" stopIfTrue="1">
      <formula>A54="nee"</formula>
    </cfRule>
  </conditionalFormatting>
  <conditionalFormatting sqref="K54">
    <cfRule type="expression" dxfId="949" priority="103" stopIfTrue="1">
      <formula>A54="nee"</formula>
    </cfRule>
  </conditionalFormatting>
  <conditionalFormatting sqref="E54">
    <cfRule type="cellIs" dxfId="948" priority="102" stopIfTrue="1" operator="equal">
      <formula>"voldoet niet"</formula>
    </cfRule>
  </conditionalFormatting>
  <conditionalFormatting sqref="K54">
    <cfRule type="expression" dxfId="947" priority="101" stopIfTrue="1">
      <formula>A54="nee"</formula>
    </cfRule>
  </conditionalFormatting>
  <conditionalFormatting sqref="K54">
    <cfRule type="expression" dxfId="946" priority="100" stopIfTrue="1">
      <formula>A54="nee"</formula>
    </cfRule>
  </conditionalFormatting>
  <conditionalFormatting sqref="I91:P95">
    <cfRule type="expression" dxfId="945" priority="99">
      <formula>$S$16&lt;&gt;1</formula>
    </cfRule>
  </conditionalFormatting>
  <conditionalFormatting sqref="N91:P95">
    <cfRule type="expression" dxfId="944" priority="98">
      <formula>$S$12="nader te bepalen"</formula>
    </cfRule>
  </conditionalFormatting>
  <conditionalFormatting sqref="F91:H96">
    <cfRule type="expression" dxfId="943" priority="97">
      <formula>$S$16=3</formula>
    </cfRule>
  </conditionalFormatting>
  <conditionalFormatting sqref="Q91:Q95">
    <cfRule type="expression" dxfId="942" priority="96">
      <formula>SUM(Q87:Q91)&lt;E92</formula>
    </cfRule>
  </conditionalFormatting>
  <conditionalFormatting sqref="P91">
    <cfRule type="expression" dxfId="941" priority="86" stopIfTrue="1">
      <formula>P91="-"</formula>
    </cfRule>
    <cfRule type="expression" dxfId="940" priority="91" stopIfTrue="1">
      <formula>P91&lt;H91</formula>
    </cfRule>
  </conditionalFormatting>
  <conditionalFormatting sqref="P92">
    <cfRule type="expression" dxfId="939" priority="87" stopIfTrue="1">
      <formula>P92="-"</formula>
    </cfRule>
    <cfRule type="expression" dxfId="938" priority="92" stopIfTrue="1">
      <formula>P92&lt;H92</formula>
    </cfRule>
  </conditionalFormatting>
  <conditionalFormatting sqref="P93">
    <cfRule type="expression" dxfId="937" priority="88" stopIfTrue="1">
      <formula>P93="-"</formula>
    </cfRule>
    <cfRule type="expression" dxfId="936" priority="93" stopIfTrue="1">
      <formula>P93&lt;H93</formula>
    </cfRule>
  </conditionalFormatting>
  <conditionalFormatting sqref="P94">
    <cfRule type="expression" dxfId="935" priority="89" stopIfTrue="1">
      <formula>P94="-"</formula>
    </cfRule>
    <cfRule type="expression" dxfId="934" priority="94" stopIfTrue="1">
      <formula>P94&lt;H94</formula>
    </cfRule>
  </conditionalFormatting>
  <conditionalFormatting sqref="P95">
    <cfRule type="expression" dxfId="933" priority="90" stopIfTrue="1">
      <formula>P95="-"</formula>
    </cfRule>
    <cfRule type="expression" dxfId="932" priority="95" stopIfTrue="1">
      <formula>P95&lt;H95</formula>
    </cfRule>
  </conditionalFormatting>
  <conditionalFormatting sqref="F96:H96">
    <cfRule type="containsText" dxfId="931" priority="85" operator="containsText" text="voldoet niet op VG-niveau">
      <formula>NOT(ISERROR(SEARCH("voldoet niet op VG-niveau",F96)))</formula>
    </cfRule>
  </conditionalFormatting>
  <conditionalFormatting sqref="G8:G10">
    <cfRule type="cellIs" dxfId="930" priority="84" stopIfTrue="1" operator="equal">
      <formula>"&lt;PROJECTNUMMER&gt;"</formula>
    </cfRule>
  </conditionalFormatting>
  <conditionalFormatting sqref="D8">
    <cfRule type="cellIs" dxfId="929" priority="83" stopIfTrue="1" operator="equal">
      <formula>"&lt;PROJECTNUMMER&gt;"</formula>
    </cfRule>
  </conditionalFormatting>
  <conditionalFormatting sqref="D9">
    <cfRule type="cellIs" dxfId="928" priority="82" stopIfTrue="1" operator="equal">
      <formula>"&lt;PROJECTNUMMER&gt;"</formula>
    </cfRule>
  </conditionalFormatting>
  <conditionalFormatting sqref="D10">
    <cfRule type="cellIs" dxfId="927" priority="81" stopIfTrue="1" operator="equal">
      <formula>"&lt;PROJECTNUMMER&gt;"</formula>
    </cfRule>
  </conditionalFormatting>
  <conditionalFormatting sqref="F30">
    <cfRule type="expression" dxfId="926" priority="78" stopIfTrue="1">
      <formula>D30-E30&lt;5</formula>
    </cfRule>
  </conditionalFormatting>
  <conditionalFormatting sqref="F30">
    <cfRule type="expression" dxfId="925" priority="77" stopIfTrue="1">
      <formula>D30-E30&lt;5</formula>
    </cfRule>
  </conditionalFormatting>
  <conditionalFormatting sqref="F30">
    <cfRule type="expression" dxfId="924" priority="74" stopIfTrue="1">
      <formula>D30-E30&lt;5</formula>
    </cfRule>
  </conditionalFormatting>
  <conditionalFormatting sqref="D30">
    <cfRule type="expression" dxfId="923" priority="73" stopIfTrue="1">
      <formula>C30=""</formula>
    </cfRule>
  </conditionalFormatting>
  <conditionalFormatting sqref="F30">
    <cfRule type="expression" dxfId="922" priority="80" stopIfTrue="1">
      <formula>D30=""</formula>
    </cfRule>
  </conditionalFormatting>
  <conditionalFormatting sqref="F30">
    <cfRule type="expression" dxfId="921" priority="79" stopIfTrue="1">
      <formula>D30=""</formula>
    </cfRule>
  </conditionalFormatting>
  <conditionalFormatting sqref="D30">
    <cfRule type="expression" dxfId="920" priority="76" stopIfTrue="1">
      <formula>C30=""</formula>
    </cfRule>
  </conditionalFormatting>
  <conditionalFormatting sqref="F30">
    <cfRule type="expression" dxfId="919" priority="75" stopIfTrue="1">
      <formula>D30-E30&lt;5</formula>
    </cfRule>
  </conditionalFormatting>
  <conditionalFormatting sqref="F31">
    <cfRule type="expression" dxfId="918" priority="70" stopIfTrue="1">
      <formula>D31-E31&lt;5</formula>
    </cfRule>
  </conditionalFormatting>
  <conditionalFormatting sqref="F31">
    <cfRule type="expression" dxfId="917" priority="69" stopIfTrue="1">
      <formula>D31-E31&lt;5</formula>
    </cfRule>
  </conditionalFormatting>
  <conditionalFormatting sqref="F31">
    <cfRule type="expression" dxfId="916" priority="66" stopIfTrue="1">
      <formula>D31-E31&lt;5</formula>
    </cfRule>
  </conditionalFormatting>
  <conditionalFormatting sqref="D31">
    <cfRule type="expression" dxfId="915" priority="65" stopIfTrue="1">
      <formula>C31=""</formula>
    </cfRule>
  </conditionalFormatting>
  <conditionalFormatting sqref="F31">
    <cfRule type="expression" dxfId="914" priority="72" stopIfTrue="1">
      <formula>D31=""</formula>
    </cfRule>
  </conditionalFormatting>
  <conditionalFormatting sqref="F31">
    <cfRule type="expression" dxfId="913" priority="71" stopIfTrue="1">
      <formula>D31=""</formula>
    </cfRule>
  </conditionalFormatting>
  <conditionalFormatting sqref="D31">
    <cfRule type="expression" dxfId="912" priority="68" stopIfTrue="1">
      <formula>C31=""</formula>
    </cfRule>
  </conditionalFormatting>
  <conditionalFormatting sqref="F31">
    <cfRule type="expression" dxfId="911" priority="67" stopIfTrue="1">
      <formula>D31-E31&lt;5</formula>
    </cfRule>
  </conditionalFormatting>
  <conditionalFormatting sqref="F32">
    <cfRule type="expression" dxfId="910" priority="62" stopIfTrue="1">
      <formula>D32-E32&lt;5</formula>
    </cfRule>
  </conditionalFormatting>
  <conditionalFormatting sqref="F32">
    <cfRule type="expression" dxfId="909" priority="61" stopIfTrue="1">
      <formula>D32-E32&lt;5</formula>
    </cfRule>
  </conditionalFormatting>
  <conditionalFormatting sqref="F32">
    <cfRule type="expression" dxfId="908" priority="58" stopIfTrue="1">
      <formula>D32-E32&lt;5</formula>
    </cfRule>
  </conditionalFormatting>
  <conditionalFormatting sqref="D32">
    <cfRule type="expression" dxfId="907" priority="57" stopIfTrue="1">
      <formula>C32=""</formula>
    </cfRule>
  </conditionalFormatting>
  <conditionalFormatting sqref="F32">
    <cfRule type="expression" dxfId="906" priority="64" stopIfTrue="1">
      <formula>D32=""</formula>
    </cfRule>
  </conditionalFormatting>
  <conditionalFormatting sqref="F32">
    <cfRule type="expression" dxfId="905" priority="63" stopIfTrue="1">
      <formula>D32=""</formula>
    </cfRule>
  </conditionalFormatting>
  <conditionalFormatting sqref="D32">
    <cfRule type="expression" dxfId="904" priority="60" stopIfTrue="1">
      <formula>C32=""</formula>
    </cfRule>
  </conditionalFormatting>
  <conditionalFormatting sqref="F32">
    <cfRule type="expression" dxfId="903" priority="59" stopIfTrue="1">
      <formula>D32-E32&lt;5</formula>
    </cfRule>
  </conditionalFormatting>
  <conditionalFormatting sqref="F33">
    <cfRule type="expression" dxfId="902" priority="54" stopIfTrue="1">
      <formula>D33-E33&lt;5</formula>
    </cfRule>
  </conditionalFormatting>
  <conditionalFormatting sqref="F33">
    <cfRule type="expression" dxfId="901" priority="53" stopIfTrue="1">
      <formula>D33-E33&lt;5</formula>
    </cfRule>
  </conditionalFormatting>
  <conditionalFormatting sqref="F33">
    <cfRule type="expression" dxfId="900" priority="50" stopIfTrue="1">
      <formula>D33-E33&lt;5</formula>
    </cfRule>
  </conditionalFormatting>
  <conditionalFormatting sqref="D33">
    <cfRule type="expression" dxfId="899" priority="49" stopIfTrue="1">
      <formula>C33=""</formula>
    </cfRule>
  </conditionalFormatting>
  <conditionalFormatting sqref="F33">
    <cfRule type="expression" dxfId="898" priority="56" stopIfTrue="1">
      <formula>D33=""</formula>
    </cfRule>
  </conditionalFormatting>
  <conditionalFormatting sqref="F33">
    <cfRule type="expression" dxfId="897" priority="55" stopIfTrue="1">
      <formula>D33=""</formula>
    </cfRule>
  </conditionalFormatting>
  <conditionalFormatting sqref="D33">
    <cfRule type="expression" dxfId="896" priority="52" stopIfTrue="1">
      <formula>C33=""</formula>
    </cfRule>
  </conditionalFormatting>
  <conditionalFormatting sqref="F33">
    <cfRule type="expression" dxfId="895" priority="51" stopIfTrue="1">
      <formula>D33-E33&lt;5</formula>
    </cfRule>
  </conditionalFormatting>
  <conditionalFormatting sqref="F34">
    <cfRule type="expression" dxfId="894" priority="46" stopIfTrue="1">
      <formula>D34-E34&lt;5</formula>
    </cfRule>
  </conditionalFormatting>
  <conditionalFormatting sqref="F34">
    <cfRule type="expression" dxfId="893" priority="45" stopIfTrue="1">
      <formula>D34-E34&lt;5</formula>
    </cfRule>
  </conditionalFormatting>
  <conditionalFormatting sqref="F34">
    <cfRule type="expression" dxfId="892" priority="42" stopIfTrue="1">
      <formula>D34-E34&lt;5</formula>
    </cfRule>
  </conditionalFormatting>
  <conditionalFormatting sqref="D34">
    <cfRule type="expression" dxfId="891" priority="41" stopIfTrue="1">
      <formula>C34=""</formula>
    </cfRule>
  </conditionalFormatting>
  <conditionalFormatting sqref="F34">
    <cfRule type="expression" dxfId="890" priority="48" stopIfTrue="1">
      <formula>D34=""</formula>
    </cfRule>
  </conditionalFormatting>
  <conditionalFormatting sqref="F34">
    <cfRule type="expression" dxfId="889" priority="47" stopIfTrue="1">
      <formula>D34=""</formula>
    </cfRule>
  </conditionalFormatting>
  <conditionalFormatting sqref="D34">
    <cfRule type="expression" dxfId="888" priority="44" stopIfTrue="1">
      <formula>C34=""</formula>
    </cfRule>
  </conditionalFormatting>
  <conditionalFormatting sqref="F34">
    <cfRule type="expression" dxfId="887" priority="43" stopIfTrue="1">
      <formula>D34-E34&lt;5</formula>
    </cfRule>
  </conditionalFormatting>
  <conditionalFormatting sqref="K61">
    <cfRule type="expression" dxfId="886" priority="40" stopIfTrue="1">
      <formula>A61="nee"</formula>
    </cfRule>
  </conditionalFormatting>
  <conditionalFormatting sqref="K61">
    <cfRule type="expression" dxfId="885" priority="39" stopIfTrue="1">
      <formula>A61="nee"</formula>
    </cfRule>
  </conditionalFormatting>
  <conditionalFormatting sqref="E61">
    <cfRule type="cellIs" dxfId="884" priority="38" stopIfTrue="1" operator="equal">
      <formula>"voldoet niet"</formula>
    </cfRule>
  </conditionalFormatting>
  <conditionalFormatting sqref="K61">
    <cfRule type="expression" dxfId="883" priority="37" stopIfTrue="1">
      <formula>A61="nee"</formula>
    </cfRule>
  </conditionalFormatting>
  <conditionalFormatting sqref="K61">
    <cfRule type="expression" dxfId="882" priority="36" stopIfTrue="1">
      <formula>A61="nee"</formula>
    </cfRule>
  </conditionalFormatting>
  <conditionalFormatting sqref="I98:P102">
    <cfRule type="expression" dxfId="881" priority="35">
      <formula>$S$16&lt;&gt;1</formula>
    </cfRule>
  </conditionalFormatting>
  <conditionalFormatting sqref="N98:P102">
    <cfRule type="expression" dxfId="880" priority="34">
      <formula>$S$12="nader te bepalen"</formula>
    </cfRule>
  </conditionalFormatting>
  <conditionalFormatting sqref="F98:H103">
    <cfRule type="expression" dxfId="879" priority="33">
      <formula>$S$16=3</formula>
    </cfRule>
  </conditionalFormatting>
  <conditionalFormatting sqref="Q98:Q102">
    <cfRule type="expression" dxfId="878" priority="32">
      <formula>SUM(Q94:Q98)&lt;E99</formula>
    </cfRule>
  </conditionalFormatting>
  <conditionalFormatting sqref="P98">
    <cfRule type="expression" dxfId="877" priority="22" stopIfTrue="1">
      <formula>P98="-"</formula>
    </cfRule>
    <cfRule type="expression" dxfId="876" priority="27" stopIfTrue="1">
      <formula>P98&lt;H98</formula>
    </cfRule>
  </conditionalFormatting>
  <conditionalFormatting sqref="P99">
    <cfRule type="expression" dxfId="875" priority="23" stopIfTrue="1">
      <formula>P99="-"</formula>
    </cfRule>
    <cfRule type="expression" dxfId="874" priority="28" stopIfTrue="1">
      <formula>P99&lt;H99</formula>
    </cfRule>
  </conditionalFormatting>
  <conditionalFormatting sqref="P100">
    <cfRule type="expression" dxfId="873" priority="24" stopIfTrue="1">
      <formula>P100="-"</formula>
    </cfRule>
    <cfRule type="expression" dxfId="872" priority="29" stopIfTrue="1">
      <formula>P100&lt;H100</formula>
    </cfRule>
  </conditionalFormatting>
  <conditionalFormatting sqref="P101">
    <cfRule type="expression" dxfId="871" priority="25" stopIfTrue="1">
      <formula>P101="-"</formula>
    </cfRule>
    <cfRule type="expression" dxfId="870" priority="30" stopIfTrue="1">
      <formula>P101&lt;H101</formula>
    </cfRule>
  </conditionalFormatting>
  <conditionalFormatting sqref="P102">
    <cfRule type="expression" dxfId="869" priority="26" stopIfTrue="1">
      <formula>P102="-"</formula>
    </cfRule>
    <cfRule type="expression" dxfId="868" priority="31" stopIfTrue="1">
      <formula>P102&lt;H102</formula>
    </cfRule>
  </conditionalFormatting>
  <conditionalFormatting sqref="F103:H103">
    <cfRule type="containsText" dxfId="867" priority="21" operator="containsText" text="voldoet niet op VG-niveau">
      <formula>NOT(ISERROR(SEARCH("voldoet niet op VG-niveau",F103)))</formula>
    </cfRule>
  </conditionalFormatting>
  <conditionalFormatting sqref="K68">
    <cfRule type="expression" dxfId="866" priority="20" stopIfTrue="1">
      <formula>A68="nee"</formula>
    </cfRule>
  </conditionalFormatting>
  <conditionalFormatting sqref="K68">
    <cfRule type="expression" dxfId="865" priority="19" stopIfTrue="1">
      <formula>A68="nee"</formula>
    </cfRule>
  </conditionalFormatting>
  <conditionalFormatting sqref="E68">
    <cfRule type="cellIs" dxfId="864" priority="18" stopIfTrue="1" operator="equal">
      <formula>"voldoet niet"</formula>
    </cfRule>
  </conditionalFormatting>
  <conditionalFormatting sqref="K68">
    <cfRule type="expression" dxfId="863" priority="17" stopIfTrue="1">
      <formula>A68="nee"</formula>
    </cfRule>
  </conditionalFormatting>
  <conditionalFormatting sqref="K68">
    <cfRule type="expression" dxfId="862" priority="16" stopIfTrue="1">
      <formula>A68="nee"</formula>
    </cfRule>
  </conditionalFormatting>
  <conditionalFormatting sqref="I105:P109">
    <cfRule type="expression" dxfId="861" priority="15">
      <formula>$S$16&lt;&gt;1</formula>
    </cfRule>
  </conditionalFormatting>
  <conditionalFormatting sqref="N105:P109">
    <cfRule type="expression" dxfId="860" priority="14">
      <formula>$S$12="nader te bepalen"</formula>
    </cfRule>
  </conditionalFormatting>
  <conditionalFormatting sqref="F105:H110">
    <cfRule type="expression" dxfId="859" priority="13">
      <formula>$S$16=3</formula>
    </cfRule>
  </conditionalFormatting>
  <conditionalFormatting sqref="Q105:Q109">
    <cfRule type="expression" dxfId="858" priority="12">
      <formula>SUM(Q101:Q105)&lt;E106</formula>
    </cfRule>
  </conditionalFormatting>
  <conditionalFormatting sqref="P105">
    <cfRule type="expression" dxfId="857" priority="2" stopIfTrue="1">
      <formula>P105="-"</formula>
    </cfRule>
    <cfRule type="expression" dxfId="856" priority="7" stopIfTrue="1">
      <formula>P105&lt;H105</formula>
    </cfRule>
  </conditionalFormatting>
  <conditionalFormatting sqref="P106">
    <cfRule type="expression" dxfId="855" priority="3" stopIfTrue="1">
      <formula>P106="-"</formula>
    </cfRule>
    <cfRule type="expression" dxfId="854" priority="8" stopIfTrue="1">
      <formula>P106&lt;H106</formula>
    </cfRule>
  </conditionalFormatting>
  <conditionalFormatting sqref="P107">
    <cfRule type="expression" dxfId="853" priority="4" stopIfTrue="1">
      <formula>P107="-"</formula>
    </cfRule>
    <cfRule type="expression" dxfId="852" priority="9" stopIfTrue="1">
      <formula>P107&lt;H107</formula>
    </cfRule>
  </conditionalFormatting>
  <conditionalFormatting sqref="P108">
    <cfRule type="expression" dxfId="851" priority="5" stopIfTrue="1">
      <formula>P108="-"</formula>
    </cfRule>
    <cfRule type="expression" dxfId="850" priority="10" stopIfTrue="1">
      <formula>P108&lt;H108</formula>
    </cfRule>
  </conditionalFormatting>
  <conditionalFormatting sqref="P109">
    <cfRule type="expression" dxfId="849" priority="6" stopIfTrue="1">
      <formula>P109="-"</formula>
    </cfRule>
    <cfRule type="expression" dxfId="848" priority="11" stopIfTrue="1">
      <formula>P109&lt;H109</formula>
    </cfRule>
  </conditionalFormatting>
  <conditionalFormatting sqref="F110:H110">
    <cfRule type="containsText" dxfId="847" priority="1" operator="containsText" text="voldoet niet op VG-niveau">
      <formula>NOT(ISERROR(SEARCH("voldoet niet op VG-niveau",F110)))</formula>
    </cfRule>
  </conditionalFormatting>
  <dataValidations disablePrompts="1" count="7">
    <dataValidation type="list" allowBlank="1" showInputMessage="1" showErrorMessage="1" sqref="N113:O116 N84:O88 N91:O95 N98:O102 N105:O109" xr:uid="{9EE0C2F0-8484-4AB9-AC11-177F41047FFE}">
      <formula1>INDIRECT($S$12)</formula1>
    </dataValidation>
    <dataValidation type="list" allowBlank="1" showInputMessage="1" showErrorMessage="1" sqref="F113:F116 F84:F88 F91:F95 F98:F102 F105:F109" xr:uid="{56D6B1CF-37A0-4852-BDE3-CA9783E14E30}">
      <formula1>$T$16:$T$18</formula1>
    </dataValidation>
    <dataValidation type="list" allowBlank="1" showInputMessage="1" showErrorMessage="1" sqref="D74:G74" xr:uid="{EC09A5AD-A7C8-4499-BC7F-4F0C1CDFDC19}">
      <formula1>PD_TypeVentilatie</formula1>
    </dataValidation>
    <dataValidation type="list" allowBlank="1" showInputMessage="1" showErrorMessage="1" sqref="D75:G75" xr:uid="{BBC2C440-C7D6-439E-B2C4-17C6CBF24C6C}">
      <formula1>PD_RoosterFabrikant</formula1>
    </dataValidation>
    <dataValidation type="list" allowBlank="1" showInputMessage="1" showErrorMessage="1" sqref="D72:G72" xr:uid="{7F45EABE-4115-46E6-B1B3-B7FB70375226}">
      <formula1>PD_Uitgangspunten</formula1>
    </dataValidation>
    <dataValidation type="list" allowBlank="1" showInputMessage="1" showErrorMessage="1" sqref="H72:M72" xr:uid="{49CA4D38-EFCA-4E10-87C7-3E9C962E1DF6}">
      <formula1>PD_70procent</formula1>
    </dataValidation>
    <dataValidation type="whole" operator="greaterThan" allowBlank="1" showInputMessage="1" showErrorMessage="1" errorTitle="Getal invoeren" error="Voer een getal in om het verblijfsgebied aan te geven." sqref="C29:C34" xr:uid="{82F8CE37-88EA-459D-A1C9-228207AE4614}">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70"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79201"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79202"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79203" r:id="rId7" name="Button 9">
              <controlPr defaultSize="0" print="0" autoFill="0" autoPict="0" macro="[0]!daglichtad1">
                <anchor moveWithCells="1" sizeWithCells="1">
                  <from>
                    <xdr:col>14</xdr:col>
                    <xdr:colOff>182880</xdr:colOff>
                    <xdr:row>37</xdr:row>
                    <xdr:rowOff>7620</xdr:rowOff>
                  </from>
                  <to>
                    <xdr:col>15</xdr:col>
                    <xdr:colOff>792480</xdr:colOff>
                    <xdr:row>38</xdr:row>
                    <xdr:rowOff>0</xdr:rowOff>
                  </to>
                </anchor>
              </controlPr>
            </control>
          </mc:Choice>
        </mc:AlternateContent>
        <mc:AlternateContent xmlns:mc="http://schemas.openxmlformats.org/markup-compatibility/2006">
          <mc:Choice Requires="x14">
            <control shapeId="179204" r:id="rId8" name="Button 11">
              <controlPr defaultSize="0" print="0" autoFill="0" autoPict="0" macro="[0]!spuiad1">
                <anchor moveWithCells="1" sizeWithCells="1">
                  <from>
                    <xdr:col>14</xdr:col>
                    <xdr:colOff>137160</xdr:colOff>
                    <xdr:row>179</xdr:row>
                    <xdr:rowOff>7620</xdr:rowOff>
                  </from>
                  <to>
                    <xdr:col>15</xdr:col>
                    <xdr:colOff>746760</xdr:colOff>
                    <xdr:row>180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7F840-40CD-4182-9B9F-2809637F8A4D}">
  <sheetPr codeName="Blad26">
    <tabColor indexed="11"/>
    <pageSetUpPr fitToPage="1"/>
  </sheetPr>
  <dimension ref="A1:AQ212"/>
  <sheetViews>
    <sheetView view="pageBreakPreview" topLeftCell="C4" zoomScale="85" zoomScaleNormal="100" zoomScaleSheetLayoutView="85" workbookViewId="0">
      <selection activeCell="L17" sqref="L17"/>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1162</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Klein voor, groot achter</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7</v>
      </c>
      <c r="T7" s="519"/>
      <c r="U7" s="516"/>
      <c r="V7" s="517"/>
      <c r="W7" s="517"/>
      <c r="X7" s="517"/>
      <c r="AC7" s="500"/>
      <c r="AF7" s="498"/>
    </row>
    <row r="8" spans="1:34" s="518" customFormat="1" ht="12" customHeight="1">
      <c r="A8" s="515"/>
      <c r="B8" s="515"/>
      <c r="C8" s="387" t="s">
        <v>691</v>
      </c>
      <c r="D8" s="796" t="s">
        <v>1143</v>
      </c>
      <c r="E8" s="796"/>
      <c r="F8" s="796"/>
      <c r="G8" s="389"/>
      <c r="H8" s="390"/>
      <c r="I8" s="390"/>
      <c r="J8" s="390"/>
      <c r="K8" s="391"/>
      <c r="L8" s="391"/>
      <c r="M8" s="391"/>
      <c r="N8" s="391"/>
      <c r="O8" s="391"/>
      <c r="P8" s="391"/>
      <c r="Q8" s="516"/>
      <c r="R8" s="516" t="s">
        <v>254</v>
      </c>
      <c r="S8" s="512">
        <f>COUNTA(X:X)</f>
        <v>7</v>
      </c>
      <c r="T8" s="519"/>
      <c r="U8" s="516"/>
      <c r="V8" s="517"/>
      <c r="W8" s="517"/>
      <c r="X8" s="517"/>
      <c r="AC8" s="500"/>
      <c r="AF8" s="498"/>
    </row>
    <row r="9" spans="1:34" s="518" customFormat="1" ht="12" customHeight="1">
      <c r="A9" s="515"/>
      <c r="B9" s="515"/>
      <c r="C9" s="387" t="s">
        <v>692</v>
      </c>
      <c r="D9" s="396" t="s">
        <v>1129</v>
      </c>
      <c r="E9" s="388"/>
      <c r="F9" s="388"/>
      <c r="G9" s="392" t="s">
        <v>1041</v>
      </c>
      <c r="H9" s="393"/>
      <c r="I9" s="784">
        <v>45028</v>
      </c>
      <c r="J9" s="390"/>
      <c r="K9" s="391"/>
      <c r="L9" s="391"/>
      <c r="M9" s="391"/>
      <c r="N9" s="391"/>
      <c r="O9" s="391"/>
      <c r="P9" s="391"/>
      <c r="Q9" s="516"/>
      <c r="R9" s="516" t="s">
        <v>253</v>
      </c>
      <c r="S9" s="520">
        <f>COUNTA(C28:C37)-1</f>
        <v>4</v>
      </c>
      <c r="T9" s="519"/>
      <c r="U9" s="516"/>
      <c r="V9" s="517"/>
      <c r="W9" s="517"/>
      <c r="X9" s="517"/>
      <c r="AC9" s="500"/>
      <c r="AF9" s="498"/>
    </row>
    <row r="10" spans="1:34" s="518" customFormat="1" ht="12" customHeight="1">
      <c r="A10" s="515"/>
      <c r="B10" s="515"/>
      <c r="C10" s="387" t="s">
        <v>693</v>
      </c>
      <c r="D10" s="396" t="s">
        <v>1145</v>
      </c>
      <c r="E10" s="388"/>
      <c r="F10" s="388"/>
      <c r="G10" s="395"/>
      <c r="H10" s="393"/>
      <c r="I10" s="396" t="s">
        <v>1144</v>
      </c>
      <c r="J10" s="390"/>
      <c r="K10" s="391"/>
      <c r="L10" s="391"/>
      <c r="M10" s="391"/>
      <c r="N10" s="391"/>
      <c r="O10" s="391"/>
      <c r="P10" s="391"/>
      <c r="Q10" s="516"/>
      <c r="R10" s="516" t="s">
        <v>253</v>
      </c>
      <c r="S10" s="512">
        <f>MAX(U:W)</f>
        <v>4</v>
      </c>
      <c r="T10" s="519"/>
      <c r="U10" s="516"/>
      <c r="V10" s="517"/>
      <c r="W10" s="517"/>
      <c r="X10" s="517"/>
      <c r="AC10" s="500"/>
      <c r="AF10" s="498"/>
    </row>
    <row r="11" spans="1:34" s="518" customFormat="1" ht="12" customHeight="1">
      <c r="A11" s="515"/>
      <c r="B11" s="515"/>
      <c r="C11" s="387" t="s">
        <v>694</v>
      </c>
      <c r="D11" s="797">
        <v>45028</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D75</f>
        <v>nader te bepalen</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1146</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0</v>
      </c>
      <c r="M16" s="411"/>
      <c r="N16" s="409"/>
      <c r="O16" s="412"/>
      <c r="P16" s="412"/>
      <c r="Q16" s="525"/>
      <c r="R16" s="526"/>
      <c r="S16" s="527">
        <f>IF(D72="berekening op basis van minimale capaciteit",3,IF(D74="systeem A - natuurlijke toevoer &amp;  afvoer",1,IF(D74="systeem C - natuurlijke toevoer &amp; mechanische afvoer",1,2)))</f>
        <v>2</v>
      </c>
      <c r="T16" s="516" t="str">
        <f>IF(S16=1,"NT","MT")</f>
        <v>MT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145.13999999999999</v>
      </c>
      <c r="G17" s="403"/>
      <c r="H17" s="414"/>
      <c r="I17" s="404"/>
      <c r="J17" s="408" t="s">
        <v>687</v>
      </c>
      <c r="K17" s="409"/>
      <c r="L17" s="410">
        <v>68.98</v>
      </c>
      <c r="M17" s="415"/>
      <c r="N17" s="409"/>
      <c r="O17" s="404"/>
      <c r="P17" s="416"/>
      <c r="Q17" s="525"/>
      <c r="R17" s="526"/>
      <c r="S17" s="527">
        <f>IF(D75="nader te bepalen",1,2)</f>
        <v>1</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79.826999999999998</v>
      </c>
      <c r="G18" s="417"/>
      <c r="H18" s="418"/>
      <c r="I18" s="419"/>
      <c r="J18" s="408" t="s">
        <v>688</v>
      </c>
      <c r="K18" s="409"/>
      <c r="L18" s="410">
        <v>76.16</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F36</f>
        <v>75.05</v>
      </c>
      <c r="G19" s="420" t="s">
        <v>661</v>
      </c>
      <c r="H19" s="421">
        <f>IF(OR(F17=0,F19=0),0,F19/F17)</f>
        <v>0.51708695053052234</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nee, &lt; 55%</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2</v>
      </c>
      <c r="I22" s="805"/>
      <c r="J22" s="427" t="str">
        <f>IF(H22&lt;F22,"voldoet niet","")</f>
        <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1</v>
      </c>
      <c r="I23" s="805"/>
      <c r="J23" s="427" t="str">
        <f>IF(H23&lt;F23,"voldoet niet","")</f>
        <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28.45</v>
      </c>
      <c r="E28" s="433">
        <f>IF(C28="","",SUMPRODUCT(($Y$1:$Y$28075)*($U$1:$U$28075=C28)))</f>
        <v>0</v>
      </c>
      <c r="F28" s="799">
        <f>IF(E28="","",IF(SUMPRODUCT(($AD$1:$AD$28130)*($AC$1:$AC$28130=C28))-E28&lt;verzamelblad!$AG$7,"&lt; " &amp; verzamelblad!$AG$7 &amp; " m², geen VG",SUMPRODUCT(($AD$1:$AD$28130)*($AC$1:$AC$28130=C28))-E28))</f>
        <v>28.45</v>
      </c>
      <c r="G28" s="799"/>
      <c r="H28" s="434">
        <f>IF(C28="","",0)</f>
        <v>0</v>
      </c>
      <c r="I28" s="435"/>
      <c r="J28" s="800">
        <f t="shared" ref="J28:J34" si="0">A28</f>
        <v>1</v>
      </c>
      <c r="K28" s="800"/>
      <c r="L28" s="436" t="s">
        <v>1147</v>
      </c>
      <c r="M28" s="436"/>
      <c r="N28" s="801">
        <v>28.45</v>
      </c>
      <c r="O28" s="801"/>
      <c r="P28" s="437"/>
      <c r="Q28" s="392"/>
      <c r="R28" s="516"/>
      <c r="S28" s="516"/>
      <c r="T28" s="521"/>
      <c r="U28" s="516"/>
      <c r="V28" s="517"/>
      <c r="W28" s="517"/>
      <c r="X28" s="536">
        <f t="shared" ref="X28:X34" si="1">A28</f>
        <v>1</v>
      </c>
      <c r="Y28" s="517"/>
      <c r="Z28" s="517"/>
      <c r="AA28" s="517"/>
      <c r="AB28" s="517"/>
      <c r="AC28" s="537">
        <f t="shared" ref="AC28" si="2">IF(C28&lt;&gt;"",C28,AC27)</f>
        <v>1</v>
      </c>
      <c r="AD28" s="538">
        <f>IF(C28&lt;&gt;"",D28+H28,0)</f>
        <v>28.45</v>
      </c>
      <c r="AE28" s="539">
        <f t="shared" ref="AE28:AE34" si="3">N28</f>
        <v>28.45</v>
      </c>
      <c r="AF28" s="540"/>
      <c r="AG28" s="517"/>
      <c r="AH28" s="535"/>
    </row>
    <row r="29" spans="1:34" s="518" customFormat="1" ht="12" customHeight="1">
      <c r="A29" s="527">
        <f t="shared" ref="A29:A34" si="4">A28+1</f>
        <v>2</v>
      </c>
      <c r="B29" s="515" t="s">
        <v>258</v>
      </c>
      <c r="C29" s="438">
        <v>2</v>
      </c>
      <c r="D29" s="432">
        <v>22.4</v>
      </c>
      <c r="E29" s="725">
        <f>IF(C29="","",SUMPRODUCT(($Y$1:$Y$28181)*($U$1:$U$28181=C29)))</f>
        <v>0</v>
      </c>
      <c r="F29" s="802">
        <f>IF(E29="","",IF(SUMPRODUCT(($AD$1:$AD$28181)*($AC$1:$AC$28181=C29))-E29&lt;verzamelblad!$AG$7,"&lt; " &amp; verzamelblad!$AG$7 &amp; " m², geen VG",SUMPRODUCT(($AD$1:$AD$28181)*($AC$1:$AC$28181=C29))-E29))</f>
        <v>22.4</v>
      </c>
      <c r="G29" s="802"/>
      <c r="H29" s="434">
        <f t="shared" ref="H29:H34" si="5">IF(C29="","",0)</f>
        <v>0</v>
      </c>
      <c r="I29" s="439"/>
      <c r="J29" s="803">
        <f t="shared" si="0"/>
        <v>2</v>
      </c>
      <c r="K29" s="803"/>
      <c r="L29" s="440" t="s">
        <v>727</v>
      </c>
      <c r="M29" s="440"/>
      <c r="N29" s="804">
        <v>15.1</v>
      </c>
      <c r="O29" s="804"/>
      <c r="P29" s="441"/>
      <c r="Q29" s="404"/>
      <c r="R29" s="541"/>
      <c r="S29" s="541"/>
      <c r="T29" s="521"/>
      <c r="U29" s="516"/>
      <c r="V29" s="517"/>
      <c r="W29" s="517"/>
      <c r="X29" s="536">
        <f t="shared" si="1"/>
        <v>2</v>
      </c>
      <c r="Y29" s="517"/>
      <c r="Z29" s="517"/>
      <c r="AA29" s="517"/>
      <c r="AB29" s="517"/>
      <c r="AC29" s="537">
        <f>IF(C29&lt;&gt;"",C29,AC28)</f>
        <v>2</v>
      </c>
      <c r="AD29" s="538">
        <f t="shared" ref="AD29:AD34" si="6">IF(C29&lt;&gt;"",D29+H29,0)</f>
        <v>22.4</v>
      </c>
      <c r="AE29" s="539">
        <f t="shared" si="3"/>
        <v>15.1</v>
      </c>
      <c r="AF29" s="540"/>
      <c r="AG29" s="517"/>
      <c r="AH29" s="535"/>
    </row>
    <row r="30" spans="1:34" s="518" customFormat="1" ht="12" customHeight="1">
      <c r="A30" s="542">
        <f t="shared" si="4"/>
        <v>3</v>
      </c>
      <c r="B30" s="543" t="s">
        <v>258</v>
      </c>
      <c r="C30" s="438"/>
      <c r="D30" s="740">
        <v>0</v>
      </c>
      <c r="E30" s="725" t="str">
        <f>IF(C30="","",SUMPRODUCT(($Y$1:$Y$28240)*($U$1:$U$28240=C30)))</f>
        <v/>
      </c>
      <c r="F30" s="802" t="str">
        <f>IF(E30="","",IF(SUMPRODUCT(($AD$1:$AD$28240)*($AC$1:$AC$28240=C30))-E30&lt;verzamelblad!$AG$7,"&lt; " &amp; verzamelblad!$AG$7 &amp; " m², geen VG",SUMPRODUCT(($AD$1:$AD$28240)*($AC$1:$AC$28240=C30))-E30))</f>
        <v/>
      </c>
      <c r="G30" s="802"/>
      <c r="H30" s="756" t="str">
        <f t="shared" si="5"/>
        <v/>
      </c>
      <c r="I30" s="439"/>
      <c r="J30" s="803">
        <f t="shared" si="0"/>
        <v>3</v>
      </c>
      <c r="K30" s="803"/>
      <c r="L30" s="440" t="s">
        <v>1149</v>
      </c>
      <c r="M30" s="440"/>
      <c r="N30" s="804">
        <v>5.96</v>
      </c>
      <c r="O30" s="804"/>
      <c r="P30" s="441"/>
      <c r="Q30" s="404"/>
      <c r="R30" s="404"/>
      <c r="S30" s="404"/>
      <c r="T30" s="544"/>
      <c r="U30" s="392"/>
      <c r="V30" s="545"/>
      <c r="W30" s="545"/>
      <c r="X30" s="757">
        <f t="shared" si="1"/>
        <v>3</v>
      </c>
      <c r="Y30" s="545"/>
      <c r="Z30" s="545"/>
      <c r="AA30" s="546"/>
      <c r="AB30" s="517"/>
      <c r="AC30" s="537">
        <f t="shared" ref="AC30:AC34" si="7">IF(C30&lt;&gt;"",C30,AC29)</f>
        <v>2</v>
      </c>
      <c r="AD30" s="538">
        <f t="shared" si="6"/>
        <v>0</v>
      </c>
      <c r="AE30" s="539">
        <f t="shared" si="3"/>
        <v>5.96</v>
      </c>
      <c r="AF30" s="517"/>
      <c r="AG30" s="517">
        <f>IF(P30="ja",1,0)</f>
        <v>0</v>
      </c>
      <c r="AH30" s="535"/>
    </row>
    <row r="31" spans="1:34" s="518" customFormat="1" ht="12" customHeight="1">
      <c r="A31" s="542">
        <f t="shared" si="4"/>
        <v>4</v>
      </c>
      <c r="B31" s="543" t="s">
        <v>258</v>
      </c>
      <c r="C31" s="438">
        <v>3</v>
      </c>
      <c r="D31" s="740">
        <v>18.899999999999999</v>
      </c>
      <c r="E31" s="725">
        <f>IF(C31="","",SUMPRODUCT(($Y$1:$Y$28239)*($U$1:$U$28239=C31)))</f>
        <v>0</v>
      </c>
      <c r="F31" s="802">
        <f>IF(E31="","",IF(SUMPRODUCT(($AD$1:$AD$28239)*($AC$1:$AC$28239=C31))-E31&lt;verzamelblad!$AG$7,"&lt; " &amp; verzamelblad!$AG$7 &amp; " m², geen VG",SUMPRODUCT(($AD$1:$AD$28239)*($AC$1:$AC$28239=C31))-E31))</f>
        <v>18.899999999999999</v>
      </c>
      <c r="G31" s="802"/>
      <c r="H31" s="756">
        <f t="shared" si="5"/>
        <v>0</v>
      </c>
      <c r="I31" s="439"/>
      <c r="J31" s="803">
        <f t="shared" si="0"/>
        <v>4</v>
      </c>
      <c r="K31" s="803"/>
      <c r="L31" s="440" t="s">
        <v>742</v>
      </c>
      <c r="M31" s="440"/>
      <c r="N31" s="804">
        <v>7.57</v>
      </c>
      <c r="O31" s="804"/>
      <c r="P31" s="441"/>
      <c r="Q31" s="404"/>
      <c r="R31" s="404"/>
      <c r="S31" s="404"/>
      <c r="T31" s="544"/>
      <c r="U31" s="392"/>
      <c r="V31" s="545"/>
      <c r="W31" s="545"/>
      <c r="X31" s="757">
        <f t="shared" si="1"/>
        <v>4</v>
      </c>
      <c r="Y31" s="545"/>
      <c r="Z31" s="545"/>
      <c r="AA31" s="546"/>
      <c r="AB31" s="517"/>
      <c r="AC31" s="537">
        <f t="shared" si="7"/>
        <v>3</v>
      </c>
      <c r="AD31" s="538">
        <f t="shared" si="6"/>
        <v>18.899999999999999</v>
      </c>
      <c r="AE31" s="539">
        <f t="shared" si="3"/>
        <v>7.57</v>
      </c>
      <c r="AF31" s="517"/>
      <c r="AG31" s="517">
        <f>IF(P31="ja",1,0)</f>
        <v>0</v>
      </c>
      <c r="AH31" s="535"/>
    </row>
    <row r="32" spans="1:34" s="518" customFormat="1" ht="12" customHeight="1">
      <c r="A32" s="542">
        <f t="shared" si="4"/>
        <v>5</v>
      </c>
      <c r="B32" s="543" t="s">
        <v>258</v>
      </c>
      <c r="C32" s="438"/>
      <c r="D32" s="740">
        <v>0</v>
      </c>
      <c r="E32" s="725" t="str">
        <f>IF(C32="","",SUMPRODUCT(($Y$1:$Y$28252)*($U$1:$U$28252=C32)))</f>
        <v/>
      </c>
      <c r="F32" s="802" t="str">
        <f>IF(E32="","",IF(SUMPRODUCT(($AD$1:$AD$28252)*($AC$1:$AC$28252=C32))-E32&lt;verzamelblad!$AG$7,"&lt; " &amp; verzamelblad!$AG$7 &amp; " m², geen VG",SUMPRODUCT(($AD$1:$AD$28252)*($AC$1:$AC$28252=C32))-E32))</f>
        <v/>
      </c>
      <c r="G32" s="802"/>
      <c r="H32" s="756" t="str">
        <f t="shared" si="5"/>
        <v/>
      </c>
      <c r="I32" s="439"/>
      <c r="J32" s="803">
        <f t="shared" si="0"/>
        <v>5</v>
      </c>
      <c r="K32" s="803"/>
      <c r="L32" s="440" t="s">
        <v>1131</v>
      </c>
      <c r="M32" s="440"/>
      <c r="N32" s="804">
        <v>7.47</v>
      </c>
      <c r="O32" s="804"/>
      <c r="P32" s="441"/>
      <c r="Q32" s="404"/>
      <c r="R32" s="404"/>
      <c r="S32" s="404"/>
      <c r="T32" s="544"/>
      <c r="U32" s="392"/>
      <c r="V32" s="545"/>
      <c r="W32" s="545"/>
      <c r="X32" s="757">
        <f t="shared" si="1"/>
        <v>5</v>
      </c>
      <c r="Y32" s="545"/>
      <c r="Z32" s="545"/>
      <c r="AA32" s="546"/>
      <c r="AB32" s="517"/>
      <c r="AC32" s="537">
        <f t="shared" si="7"/>
        <v>3</v>
      </c>
      <c r="AD32" s="538">
        <f t="shared" si="6"/>
        <v>0</v>
      </c>
      <c r="AE32" s="539">
        <f t="shared" si="3"/>
        <v>7.47</v>
      </c>
      <c r="AF32" s="517"/>
      <c r="AG32" s="517">
        <f>IF(P32="ja",1,0)</f>
        <v>0</v>
      </c>
      <c r="AH32" s="535"/>
    </row>
    <row r="33" spans="1:34" s="518" customFormat="1" ht="12" customHeight="1">
      <c r="A33" s="542">
        <f t="shared" si="4"/>
        <v>6</v>
      </c>
      <c r="B33" s="543" t="s">
        <v>258</v>
      </c>
      <c r="C33" s="438"/>
      <c r="D33" s="740">
        <v>0</v>
      </c>
      <c r="E33" s="725" t="str">
        <f>IF(C33="","",SUMPRODUCT(($Y$1:$Y$28251)*($U$1:$U$28251=C33)))</f>
        <v/>
      </c>
      <c r="F33" s="802" t="str">
        <f>IF(E33="","",IF(SUMPRODUCT(($AD$1:$AD$28251)*($AC$1:$AC$28251=C33))-E33&lt;verzamelblad!$AG$7,"&lt; " &amp; verzamelblad!$AG$7 &amp; " m², geen VG",SUMPRODUCT(($AD$1:$AD$28251)*($AC$1:$AC$28251=C33))-E33))</f>
        <v/>
      </c>
      <c r="G33" s="802"/>
      <c r="H33" s="756" t="str">
        <f t="shared" si="5"/>
        <v/>
      </c>
      <c r="I33" s="439"/>
      <c r="J33" s="803">
        <f t="shared" si="0"/>
        <v>6</v>
      </c>
      <c r="K33" s="803"/>
      <c r="L33" s="440" t="s">
        <v>1148</v>
      </c>
      <c r="M33" s="440"/>
      <c r="N33" s="804">
        <v>3.33</v>
      </c>
      <c r="O33" s="804"/>
      <c r="P33" s="441"/>
      <c r="Q33" s="404"/>
      <c r="R33" s="404"/>
      <c r="S33" s="404"/>
      <c r="T33" s="544"/>
      <c r="U33" s="392"/>
      <c r="V33" s="545"/>
      <c r="W33" s="545"/>
      <c r="X33" s="757">
        <f t="shared" si="1"/>
        <v>6</v>
      </c>
      <c r="Y33" s="545"/>
      <c r="Z33" s="545"/>
      <c r="AA33" s="546"/>
      <c r="AB33" s="517"/>
      <c r="AC33" s="537">
        <f t="shared" si="7"/>
        <v>3</v>
      </c>
      <c r="AD33" s="538">
        <f t="shared" si="6"/>
        <v>0</v>
      </c>
      <c r="AE33" s="539">
        <f t="shared" si="3"/>
        <v>3.33</v>
      </c>
      <c r="AF33" s="517"/>
      <c r="AG33" s="517">
        <f>IF(P33="ja",1,0)</f>
        <v>0</v>
      </c>
      <c r="AH33" s="535"/>
    </row>
    <row r="34" spans="1:34" s="518" customFormat="1" ht="12" customHeight="1">
      <c r="A34" s="542">
        <f t="shared" si="4"/>
        <v>7</v>
      </c>
      <c r="B34" s="543" t="s">
        <v>258</v>
      </c>
      <c r="C34" s="438">
        <v>4</v>
      </c>
      <c r="D34" s="740">
        <v>6</v>
      </c>
      <c r="E34" s="725">
        <f>IF(C34="","",SUMPRODUCT(($Y$1:$Y$28250)*($U$1:$U$28250=C34)))</f>
        <v>0.69999999999999929</v>
      </c>
      <c r="F34" s="802">
        <f>IF(E34="","",IF(SUMPRODUCT(($AD$1:$AD$28250)*($AC$1:$AC$28250=C34))-E34&lt;verzamelblad!$AG$7,"&lt; " &amp; verzamelblad!$AG$7 &amp; " m², geen VG",SUMPRODUCT(($AD$1:$AD$28250)*($AC$1:$AC$28250=C34))-E34))</f>
        <v>5.3000000000000007</v>
      </c>
      <c r="G34" s="802"/>
      <c r="H34" s="756">
        <f t="shared" si="5"/>
        <v>0</v>
      </c>
      <c r="I34" s="439"/>
      <c r="J34" s="803">
        <f t="shared" si="0"/>
        <v>7</v>
      </c>
      <c r="K34" s="803"/>
      <c r="L34" s="440" t="s">
        <v>1132</v>
      </c>
      <c r="M34" s="440"/>
      <c r="N34" s="804">
        <v>6</v>
      </c>
      <c r="O34" s="804"/>
      <c r="P34" s="441"/>
      <c r="Q34" s="404"/>
      <c r="R34" s="404"/>
      <c r="S34" s="404"/>
      <c r="T34" s="544"/>
      <c r="U34" s="392"/>
      <c r="V34" s="545"/>
      <c r="W34" s="545"/>
      <c r="X34" s="757">
        <f t="shared" si="1"/>
        <v>7</v>
      </c>
      <c r="Y34" s="545"/>
      <c r="Z34" s="545"/>
      <c r="AA34" s="546"/>
      <c r="AB34" s="517"/>
      <c r="AC34" s="537">
        <f t="shared" si="7"/>
        <v>4</v>
      </c>
      <c r="AD34" s="538">
        <f t="shared" si="6"/>
        <v>6</v>
      </c>
      <c r="AE34" s="539">
        <f t="shared" si="3"/>
        <v>6</v>
      </c>
      <c r="AF34" s="517"/>
      <c r="AG34" s="517">
        <f>IF(P34="ja",1,0)</f>
        <v>0</v>
      </c>
      <c r="AH34" s="535"/>
    </row>
    <row r="35" spans="1:34" ht="12" customHeight="1">
      <c r="A35" s="492"/>
      <c r="B35" s="492"/>
      <c r="C35" s="442"/>
      <c r="D35" s="443"/>
      <c r="E35" s="443"/>
      <c r="F35" s="443"/>
      <c r="G35" s="444"/>
      <c r="H35" s="444"/>
      <c r="I35" s="444"/>
      <c r="J35" s="444"/>
      <c r="K35" s="445"/>
      <c r="L35" s="445"/>
      <c r="M35" s="445"/>
      <c r="N35" s="445"/>
      <c r="O35" s="445"/>
      <c r="P35" s="445"/>
      <c r="Q35" s="547"/>
      <c r="R35" s="516"/>
      <c r="S35" s="515"/>
      <c r="T35" s="532"/>
      <c r="U35" s="507"/>
      <c r="V35" s="508"/>
      <c r="W35" s="508"/>
      <c r="X35" s="508"/>
      <c r="Y35" s="508"/>
      <c r="Z35" s="508"/>
      <c r="AA35" s="508"/>
      <c r="AB35" s="508"/>
      <c r="AC35" s="524"/>
      <c r="AD35" s="508"/>
      <c r="AE35" s="517"/>
      <c r="AF35" s="508"/>
      <c r="AG35" s="508"/>
    </row>
    <row r="36" spans="1:34" ht="12" customHeight="1">
      <c r="A36" s="492"/>
      <c r="B36" s="492"/>
      <c r="C36" s="446" t="s">
        <v>16</v>
      </c>
      <c r="D36" s="728">
        <f>SUM(D24:D35)</f>
        <v>75.75</v>
      </c>
      <c r="E36" s="447"/>
      <c r="F36" s="808">
        <f>SUM(F24:F35)</f>
        <v>75.05</v>
      </c>
      <c r="G36" s="808"/>
      <c r="H36" s="448"/>
      <c r="I36" s="448"/>
      <c r="J36" s="728"/>
      <c r="K36" s="449"/>
      <c r="L36" s="450"/>
      <c r="M36" s="404"/>
      <c r="N36" s="728">
        <f>SUM(N24:N35)</f>
        <v>73.88</v>
      </c>
      <c r="O36" s="451"/>
      <c r="P36" s="452"/>
      <c r="Q36" s="452"/>
      <c r="R36" s="516"/>
      <c r="S36" s="515"/>
      <c r="T36" s="532"/>
      <c r="U36" s="507"/>
      <c r="V36" s="508"/>
      <c r="W36" s="508"/>
      <c r="X36" s="508"/>
      <c r="Y36" s="508"/>
      <c r="Z36" s="508"/>
      <c r="AA36" s="508"/>
      <c r="AB36" s="508"/>
      <c r="AC36" s="524"/>
      <c r="AD36" s="508"/>
      <c r="AE36" s="517"/>
      <c r="AF36" s="508"/>
      <c r="AG36" s="508"/>
      <c r="AH36" s="508"/>
    </row>
    <row r="37" spans="1:34" ht="12" customHeight="1">
      <c r="A37" s="492"/>
      <c r="B37" s="492"/>
      <c r="C37" s="453"/>
      <c r="D37" s="454"/>
      <c r="E37" s="454"/>
      <c r="F37" s="454"/>
      <c r="G37" s="455"/>
      <c r="H37" s="455"/>
      <c r="I37" s="455"/>
      <c r="J37" s="455"/>
      <c r="K37" s="456"/>
      <c r="L37" s="456"/>
      <c r="M37" s="456"/>
      <c r="N37" s="456"/>
      <c r="O37" s="456"/>
      <c r="P37" s="456"/>
      <c r="Q37" s="547"/>
      <c r="R37" s="516"/>
      <c r="S37" s="515"/>
      <c r="T37" s="532"/>
      <c r="U37" s="507"/>
      <c r="V37" s="508"/>
      <c r="W37" s="508"/>
      <c r="X37" s="508"/>
      <c r="Y37" s="508"/>
      <c r="Z37" s="508"/>
      <c r="AA37" s="508"/>
      <c r="AB37" s="508"/>
      <c r="AC37" s="524"/>
      <c r="AD37" s="508"/>
      <c r="AE37" s="517"/>
      <c r="AF37" s="508"/>
      <c r="AG37" s="508"/>
    </row>
    <row r="38" spans="1:34" s="518" customFormat="1" ht="15" customHeight="1">
      <c r="A38" s="515"/>
      <c r="B38" s="515"/>
      <c r="C38" s="457" t="s">
        <v>1083</v>
      </c>
      <c r="D38" s="457"/>
      <c r="E38" s="457"/>
      <c r="F38" s="457"/>
      <c r="G38" s="457"/>
      <c r="H38" s="457"/>
      <c r="I38" s="457"/>
      <c r="J38" s="457"/>
      <c r="K38" s="457"/>
      <c r="L38" s="457"/>
      <c r="M38" s="457"/>
      <c r="N38" s="457"/>
      <c r="O38" s="457"/>
      <c r="P38" s="457"/>
      <c r="Q38" s="522"/>
      <c r="R38" s="516"/>
      <c r="S38" s="516"/>
      <c r="T38" s="516"/>
      <c r="U38" s="516"/>
      <c r="V38" s="517"/>
      <c r="W38" s="548"/>
      <c r="X38" s="548"/>
      <c r="Y38" s="548"/>
      <c r="Z38" s="517"/>
      <c r="AA38" s="517"/>
      <c r="AB38" s="517"/>
      <c r="AC38" s="524"/>
      <c r="AD38" s="517"/>
      <c r="AE38" s="517"/>
      <c r="AF38" s="517"/>
      <c r="AG38" s="517"/>
    </row>
    <row r="39" spans="1:34" s="518" customFormat="1" ht="12.75" hidden="1" customHeight="1">
      <c r="A39" s="515"/>
      <c r="B39" s="515"/>
      <c r="C39" s="458"/>
      <c r="D39" s="458"/>
      <c r="E39" s="458"/>
      <c r="F39" s="458"/>
      <c r="G39" s="458"/>
      <c r="H39" s="459"/>
      <c r="I39" s="459"/>
      <c r="J39" s="459"/>
      <c r="K39" s="459"/>
      <c r="L39" s="459"/>
      <c r="M39" s="459"/>
      <c r="N39" s="459"/>
      <c r="O39" s="459"/>
      <c r="P39" s="459"/>
      <c r="Q39" s="522"/>
      <c r="R39" s="516"/>
      <c r="S39" s="516"/>
      <c r="T39" s="516"/>
      <c r="U39" s="516"/>
      <c r="V39" s="548"/>
      <c r="W39" s="548"/>
      <c r="X39" s="548"/>
      <c r="Y39" s="548"/>
      <c r="Z39" s="517"/>
      <c r="AA39" s="517"/>
      <c r="AB39" s="517"/>
      <c r="AC39" s="524"/>
      <c r="AD39" s="517"/>
      <c r="AE39" s="517"/>
      <c r="AF39" s="517"/>
      <c r="AG39" s="517"/>
      <c r="AH39" s="517"/>
    </row>
    <row r="40" spans="1:34" ht="15" customHeight="1">
      <c r="A40" s="492"/>
      <c r="B40" s="492"/>
      <c r="C40" s="736" t="s">
        <v>133</v>
      </c>
      <c r="D40" s="809" t="s">
        <v>134</v>
      </c>
      <c r="E40" s="809"/>
      <c r="F40" s="460" t="s">
        <v>135</v>
      </c>
      <c r="G40" s="460" t="s">
        <v>1101</v>
      </c>
      <c r="H40" s="460" t="s">
        <v>655</v>
      </c>
      <c r="I40" s="460" t="s">
        <v>1094</v>
      </c>
      <c r="J40" s="460" t="s">
        <v>1095</v>
      </c>
      <c r="K40" s="461" t="s">
        <v>1102</v>
      </c>
      <c r="L40" s="460" t="s">
        <v>1103</v>
      </c>
      <c r="M40" s="460" t="s">
        <v>1104</v>
      </c>
      <c r="N40" s="460" t="s">
        <v>1105</v>
      </c>
      <c r="O40" s="460" t="s">
        <v>16</v>
      </c>
      <c r="P40" s="460" t="s">
        <v>662</v>
      </c>
      <c r="Q40" s="507"/>
      <c r="R40" s="507"/>
      <c r="S40" s="507"/>
      <c r="T40" s="507"/>
      <c r="U40" s="507"/>
      <c r="V40" s="508"/>
      <c r="W40" s="508"/>
      <c r="X40" s="508"/>
      <c r="Y40" s="508"/>
      <c r="Z40" s="508"/>
      <c r="AA40" s="508"/>
      <c r="AB40" s="508"/>
      <c r="AC40" s="534"/>
      <c r="AD40" s="508"/>
      <c r="AE40" s="508"/>
      <c r="AF40" s="508"/>
      <c r="AG40" s="508"/>
      <c r="AH40" s="508"/>
    </row>
    <row r="41" spans="1:34" ht="12.75" customHeight="1">
      <c r="A41" s="492"/>
      <c r="B41" s="492"/>
      <c r="C41" s="462"/>
      <c r="D41" s="810"/>
      <c r="E41" s="810"/>
      <c r="F41" s="810"/>
      <c r="G41" s="456"/>
      <c r="H41" s="463"/>
      <c r="I41" s="463"/>
      <c r="J41" s="456"/>
      <c r="K41" s="456"/>
      <c r="L41" s="456"/>
      <c r="M41" s="456"/>
      <c r="N41" s="456"/>
      <c r="O41" s="456"/>
      <c r="P41" s="456"/>
      <c r="Q41" s="507"/>
      <c r="R41" s="507"/>
      <c r="S41" s="507"/>
      <c r="T41" s="507" t="str">
        <f>IF($B41&gt;0,$B41,"")</f>
        <v/>
      </c>
      <c r="U41" s="507"/>
      <c r="V41" s="508"/>
      <c r="W41" s="508"/>
      <c r="X41" s="508"/>
      <c r="Y41" s="508"/>
      <c r="Z41" s="508"/>
      <c r="AA41" s="508"/>
      <c r="AB41" s="508"/>
      <c r="AC41" s="524"/>
      <c r="AD41" s="508"/>
      <c r="AE41" s="517"/>
      <c r="AF41" s="508"/>
      <c r="AG41" s="508"/>
      <c r="AH41" s="508"/>
    </row>
    <row r="42" spans="1:34" s="518" customFormat="1" ht="12" customHeight="1">
      <c r="A42" s="515"/>
      <c r="B42" s="515"/>
      <c r="C42" s="464" t="str">
        <f>L28</f>
        <v>woonkamer / eetkamer</v>
      </c>
      <c r="D42" s="811" t="s">
        <v>1150</v>
      </c>
      <c r="E42" s="811"/>
      <c r="F42" s="657">
        <v>1</v>
      </c>
      <c r="G42" s="465">
        <v>2.4900000000000002</v>
      </c>
      <c r="H42" s="466">
        <v>90</v>
      </c>
      <c r="I42" s="466">
        <v>20</v>
      </c>
      <c r="J42" s="466">
        <v>25</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9">
        <f>ROUND(F42*G42*L42*M42,2)</f>
        <v>1.92</v>
      </c>
      <c r="O42" s="470"/>
      <c r="P42" s="404"/>
      <c r="Q42" s="525" t="str">
        <f t="shared" ref="Q42:Q46" si="8">IF(G42=0,"verbergen","")</f>
        <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49"/>
      <c r="B43" s="515"/>
      <c r="C43" s="464" t="str">
        <f>L28</f>
        <v>woonkamer / eetkamer</v>
      </c>
      <c r="D43" s="811" t="s">
        <v>1151</v>
      </c>
      <c r="E43" s="811"/>
      <c r="F43" s="657">
        <v>2</v>
      </c>
      <c r="G43" s="465">
        <v>0.89</v>
      </c>
      <c r="H43" s="466">
        <v>90</v>
      </c>
      <c r="I43" s="466">
        <v>31</v>
      </c>
      <c r="J43" s="466">
        <v>30</v>
      </c>
      <c r="K43" s="467" t="s">
        <v>737</v>
      </c>
      <c r="L43" s="467">
        <v>1</v>
      </c>
      <c r="M43" s="468">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0.67</v>
      </c>
      <c r="N43" s="469">
        <f>ROUND(F43*G43*L43*M43,2)</f>
        <v>1.19</v>
      </c>
      <c r="O43" s="470"/>
      <c r="P43" s="471"/>
      <c r="Q43" s="525" t="str">
        <f t="shared" si="8"/>
        <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20"/>
      <c r="B44" s="515"/>
      <c r="C44" s="464" t="str">
        <f>L28</f>
        <v>woonkamer / eetkamer</v>
      </c>
      <c r="D44" s="811" t="s">
        <v>1152</v>
      </c>
      <c r="E44" s="811"/>
      <c r="F44" s="657">
        <v>2</v>
      </c>
      <c r="G44" s="465">
        <v>0.89</v>
      </c>
      <c r="H44" s="466">
        <v>90</v>
      </c>
      <c r="I44" s="466">
        <v>31</v>
      </c>
      <c r="J44" s="466">
        <v>30</v>
      </c>
      <c r="K44" s="467" t="s">
        <v>737</v>
      </c>
      <c r="L44" s="467">
        <v>1</v>
      </c>
      <c r="M44" s="468">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0.67</v>
      </c>
      <c r="N44" s="469">
        <f>ROUND(F44*G44*L44*M44,2)</f>
        <v>1.19</v>
      </c>
      <c r="O44" s="470"/>
      <c r="P44" s="471"/>
      <c r="Q44" s="525" t="str">
        <f t="shared" si="8"/>
        <v/>
      </c>
      <c r="R44" s="516"/>
      <c r="S44" s="516"/>
      <c r="T44" s="507"/>
      <c r="U44" s="507">
        <v>1</v>
      </c>
      <c r="V44" s="508"/>
      <c r="W44" s="508"/>
      <c r="X44" s="508"/>
      <c r="Y44" s="508"/>
      <c r="Z44" s="508"/>
      <c r="AA44" s="508"/>
      <c r="AB44" s="508"/>
      <c r="AC44" s="524"/>
      <c r="AD44" s="517"/>
      <c r="AE44" s="517"/>
      <c r="AF44" s="517"/>
      <c r="AG44" s="517"/>
      <c r="AH44" s="517"/>
    </row>
    <row r="45" spans="1:34" s="518" customFormat="1" ht="12" hidden="1" customHeight="1">
      <c r="A45" s="520"/>
      <c r="B45" s="515"/>
      <c r="C45" s="464" t="s">
        <v>252</v>
      </c>
      <c r="D45" s="811" t="s">
        <v>251</v>
      </c>
      <c r="E45" s="811"/>
      <c r="F45" s="657">
        <v>1</v>
      </c>
      <c r="G45" s="465">
        <v>0</v>
      </c>
      <c r="H45" s="466">
        <v>90</v>
      </c>
      <c r="I45" s="466">
        <v>20</v>
      </c>
      <c r="J45" s="466">
        <v>0</v>
      </c>
      <c r="K45" s="467" t="s">
        <v>737</v>
      </c>
      <c r="L45" s="467">
        <v>1</v>
      </c>
      <c r="M45" s="468">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69">
        <f>ROUND(F45*G45*L45*M45,2)</f>
        <v>0</v>
      </c>
      <c r="O45" s="470"/>
      <c r="P45" s="471"/>
      <c r="Q45" s="525" t="str">
        <f t="shared" si="8"/>
        <v>verbergen</v>
      </c>
      <c r="R45" s="516"/>
      <c r="S45" s="516"/>
      <c r="T45" s="507"/>
      <c r="U45" s="507">
        <v>1</v>
      </c>
      <c r="V45" s="508"/>
      <c r="W45" s="508"/>
      <c r="X45" s="508"/>
      <c r="Y45" s="508"/>
      <c r="Z45" s="508"/>
      <c r="AA45" s="508"/>
      <c r="AB45" s="508"/>
      <c r="AC45" s="524"/>
      <c r="AD45" s="517"/>
      <c r="AE45" s="517"/>
      <c r="AF45" s="517"/>
      <c r="AG45" s="517"/>
      <c r="AH45" s="517"/>
    </row>
    <row r="46" spans="1:34" s="518" customFormat="1" ht="12" hidden="1" customHeight="1">
      <c r="A46" s="550"/>
      <c r="B46" s="551"/>
      <c r="C46" s="472" t="s">
        <v>252</v>
      </c>
      <c r="D46" s="812" t="s">
        <v>251</v>
      </c>
      <c r="E46" s="812"/>
      <c r="F46" s="727">
        <v>1</v>
      </c>
      <c r="G46" s="473">
        <v>0</v>
      </c>
      <c r="H46" s="474">
        <v>90</v>
      </c>
      <c r="I46" s="474">
        <v>20</v>
      </c>
      <c r="J46" s="474">
        <v>0</v>
      </c>
      <c r="K46" s="475" t="s">
        <v>737</v>
      </c>
      <c r="L46" s="475">
        <v>1</v>
      </c>
      <c r="M46" s="476">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77">
        <f>ROUND(F46*G46*L46*M46,2)</f>
        <v>0</v>
      </c>
      <c r="O46" s="478"/>
      <c r="P46" s="479"/>
      <c r="Q46" s="525" t="str">
        <f t="shared" si="8"/>
        <v>verbergen</v>
      </c>
      <c r="R46" s="516"/>
      <c r="S46" s="516"/>
      <c r="T46" s="507"/>
      <c r="U46" s="507">
        <v>1</v>
      </c>
      <c r="V46" s="508"/>
      <c r="W46" s="508"/>
      <c r="X46" s="508"/>
      <c r="Y46" s="508"/>
      <c r="Z46" s="508"/>
      <c r="AA46" s="508"/>
      <c r="AB46" s="508"/>
      <c r="AC46" s="524"/>
      <c r="AD46" s="517"/>
      <c r="AE46" s="517"/>
      <c r="AF46" s="517"/>
      <c r="AG46" s="517"/>
      <c r="AH46" s="517"/>
    </row>
    <row r="47" spans="1:34" s="518" customFormat="1" ht="12" customHeight="1">
      <c r="A47" s="552"/>
      <c r="B47" s="553">
        <v>1</v>
      </c>
      <c r="C47" s="480">
        <f>B47</f>
        <v>1</v>
      </c>
      <c r="D47" s="481">
        <f>IF(O47&gt;P47,P47*10,O47*10)</f>
        <v>28.450000000000003</v>
      </c>
      <c r="E47" s="813" t="str">
        <f>IF(O47&lt;P47,(P47*10)-(O47*10),"(voldoet)")</f>
        <v>(voldoet)</v>
      </c>
      <c r="F47" s="813"/>
      <c r="G47" s="813"/>
      <c r="H47" s="482"/>
      <c r="I47" s="482"/>
      <c r="J47" s="483"/>
      <c r="K47" s="484"/>
      <c r="L47" s="485"/>
      <c r="M47" s="485"/>
      <c r="N47" s="485"/>
      <c r="O47" s="486">
        <f>SUM(N42:N47)</f>
        <v>4.3</v>
      </c>
      <c r="P47" s="486">
        <f>SUMPRODUCT(($AD$1:$AD$28232)*($AC$1:$AC$28232=B47))*verzamelblad!$Y$7/100</f>
        <v>2.8450000000000002</v>
      </c>
      <c r="Q47" s="554"/>
      <c r="R47" s="554"/>
      <c r="S47" s="554"/>
      <c r="T47" s="554"/>
      <c r="U47" s="507">
        <v>1</v>
      </c>
      <c r="V47" s="508"/>
      <c r="W47" s="508"/>
      <c r="X47" s="508"/>
      <c r="Y47" s="555">
        <f>IF(E47="(voldoet)",0,IF(E47="(voldoet niet)",D47,E47))</f>
        <v>0</v>
      </c>
      <c r="Z47" s="508"/>
      <c r="AA47" s="508"/>
      <c r="AB47" s="508"/>
      <c r="AC47" s="517"/>
      <c r="AD47" s="517"/>
      <c r="AE47" s="508"/>
      <c r="AF47" s="517"/>
      <c r="AG47" s="517"/>
      <c r="AH47" s="517"/>
    </row>
    <row r="48" spans="1:34" ht="12" customHeight="1">
      <c r="A48" s="492"/>
      <c r="B48" s="492"/>
      <c r="C48" s="487"/>
      <c r="D48" s="487"/>
      <c r="E48" s="487"/>
      <c r="F48" s="463"/>
      <c r="G48" s="463"/>
      <c r="H48" s="456"/>
      <c r="I48" s="456"/>
      <c r="J48" s="456"/>
      <c r="K48" s="456"/>
      <c r="L48" s="456"/>
      <c r="M48" s="456"/>
      <c r="N48" s="456"/>
      <c r="O48" s="488"/>
      <c r="P48" s="489"/>
      <c r="Q48" s="507"/>
      <c r="R48" s="507"/>
      <c r="S48" s="507"/>
      <c r="T48" s="507"/>
      <c r="U48" s="507">
        <v>1</v>
      </c>
      <c r="V48" s="508"/>
      <c r="W48" s="508"/>
      <c r="X48" s="508"/>
      <c r="Y48" s="508"/>
      <c r="Z48" s="508"/>
      <c r="AA48" s="508"/>
      <c r="AB48" s="508"/>
      <c r="AC48" s="524"/>
      <c r="AD48" s="508"/>
      <c r="AE48" s="508"/>
      <c r="AF48" s="508"/>
      <c r="AG48" s="508"/>
      <c r="AH48" s="508"/>
    </row>
    <row r="49" spans="1:34" s="541" customFormat="1" ht="12" customHeight="1">
      <c r="A49" s="543"/>
      <c r="B49" s="543"/>
      <c r="C49" s="464" t="str">
        <f>L29</f>
        <v>keuken</v>
      </c>
      <c r="D49" s="811" t="s">
        <v>1153</v>
      </c>
      <c r="E49" s="811"/>
      <c r="F49" s="657">
        <v>1</v>
      </c>
      <c r="G49" s="465">
        <v>4.95</v>
      </c>
      <c r="H49" s="466">
        <v>90</v>
      </c>
      <c r="I49" s="466">
        <v>20</v>
      </c>
      <c r="J49" s="466">
        <v>66</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0.39</v>
      </c>
      <c r="N49" s="469">
        <f>ROUND(F49*G49*L49*M49,2)</f>
        <v>1.93</v>
      </c>
      <c r="O49" s="470"/>
      <c r="P49" s="404"/>
      <c r="Q49" s="729" t="str">
        <f>IF(G49=0,"verbergen","")</f>
        <v/>
      </c>
      <c r="R49" s="404"/>
      <c r="S49" s="404"/>
      <c r="T49" s="392"/>
      <c r="U49" s="547">
        <f>U48+1</f>
        <v>2</v>
      </c>
      <c r="V49" s="547"/>
      <c r="W49" s="547"/>
      <c r="X49" s="547"/>
      <c r="Y49" s="547"/>
      <c r="Z49" s="547"/>
      <c r="AA49" s="404"/>
      <c r="AB49" s="507"/>
      <c r="AC49" s="516"/>
      <c r="AD49" s="516"/>
      <c r="AE49" s="516"/>
      <c r="AF49" s="507"/>
      <c r="AG49" s="516"/>
      <c r="AH49" s="516"/>
    </row>
    <row r="50" spans="1:34" s="541" customFormat="1" ht="12" customHeight="1">
      <c r="A50" s="543"/>
      <c r="B50" s="543"/>
      <c r="C50" s="464" t="str">
        <f>L29</f>
        <v>keuken</v>
      </c>
      <c r="D50" s="811" t="s">
        <v>1154</v>
      </c>
      <c r="E50" s="811"/>
      <c r="F50" s="657">
        <v>1</v>
      </c>
      <c r="G50" s="465">
        <v>1.01</v>
      </c>
      <c r="H50" s="466">
        <v>90</v>
      </c>
      <c r="I50" s="466">
        <v>20</v>
      </c>
      <c r="J50" s="466">
        <v>39</v>
      </c>
      <c r="K50" s="467" t="s">
        <v>737</v>
      </c>
      <c r="L50" s="467">
        <v>1</v>
      </c>
      <c r="M50" s="468">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0.71</v>
      </c>
      <c r="N50" s="469">
        <f>ROUND(F50*G50*L50*M50,2)</f>
        <v>0.72</v>
      </c>
      <c r="O50" s="470"/>
      <c r="P50" s="471"/>
      <c r="Q50" s="729" t="str">
        <f>IF(G50=0,"verbergen","")</f>
        <v/>
      </c>
      <c r="R50" s="404"/>
      <c r="S50" s="404"/>
      <c r="T50" s="392"/>
      <c r="U50" s="547">
        <f t="shared" ref="U50:U55" si="9">U49</f>
        <v>2</v>
      </c>
      <c r="V50" s="547"/>
      <c r="W50" s="547"/>
      <c r="X50" s="547"/>
      <c r="Y50" s="547"/>
      <c r="Z50" s="547"/>
      <c r="AA50" s="404"/>
      <c r="AB50" s="507"/>
      <c r="AC50" s="516"/>
      <c r="AD50" s="516"/>
      <c r="AE50" s="516"/>
      <c r="AF50" s="507"/>
      <c r="AG50" s="516"/>
      <c r="AH50" s="516"/>
    </row>
    <row r="51" spans="1:34" s="541" customFormat="1" ht="12" customHeight="1">
      <c r="A51" s="543"/>
      <c r="B51" s="543"/>
      <c r="C51" s="464" t="str">
        <f>L30</f>
        <v>bijkeuken</v>
      </c>
      <c r="D51" s="811" t="s">
        <v>1152</v>
      </c>
      <c r="E51" s="811"/>
      <c r="F51" s="657">
        <v>2</v>
      </c>
      <c r="G51" s="465">
        <v>0.89</v>
      </c>
      <c r="H51" s="466">
        <v>90</v>
      </c>
      <c r="I51" s="466">
        <v>31</v>
      </c>
      <c r="J51" s="466">
        <v>30</v>
      </c>
      <c r="K51" s="467" t="s">
        <v>737</v>
      </c>
      <c r="L51" s="467">
        <v>1</v>
      </c>
      <c r="M51" s="468">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0.67</v>
      </c>
      <c r="N51" s="469">
        <f>ROUND(F51*G51*L51*M51,2)</f>
        <v>1.19</v>
      </c>
      <c r="O51" s="470"/>
      <c r="P51" s="471"/>
      <c r="Q51" s="729" t="str">
        <f>IF(G51=0,"verbergen","")</f>
        <v/>
      </c>
      <c r="R51" s="404"/>
      <c r="S51" s="404"/>
      <c r="T51" s="392"/>
      <c r="U51" s="547">
        <f t="shared" si="9"/>
        <v>2</v>
      </c>
      <c r="V51" s="547"/>
      <c r="W51" s="547"/>
      <c r="X51" s="547"/>
      <c r="Y51" s="547"/>
      <c r="Z51" s="547"/>
      <c r="AA51" s="404"/>
      <c r="AB51" s="507"/>
      <c r="AC51" s="516"/>
      <c r="AD51" s="516"/>
      <c r="AE51" s="516"/>
      <c r="AF51" s="507"/>
      <c r="AG51" s="516"/>
      <c r="AH51" s="516"/>
    </row>
    <row r="52" spans="1:34" s="541" customFormat="1" ht="12" hidden="1" customHeight="1">
      <c r="A52" s="543"/>
      <c r="B52" s="543"/>
      <c r="C52" s="464" t="s">
        <v>252</v>
      </c>
      <c r="D52" s="811" t="s">
        <v>251</v>
      </c>
      <c r="E52" s="811"/>
      <c r="F52" s="657">
        <v>1</v>
      </c>
      <c r="G52" s="465">
        <v>0</v>
      </c>
      <c r="H52" s="466">
        <v>90</v>
      </c>
      <c r="I52" s="466">
        <v>20</v>
      </c>
      <c r="J52" s="466">
        <v>0</v>
      </c>
      <c r="K52" s="467" t="s">
        <v>737</v>
      </c>
      <c r="L52" s="467">
        <v>1</v>
      </c>
      <c r="M52" s="468">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69">
        <f>ROUND(F52*G52*L52*M52,2)</f>
        <v>0</v>
      </c>
      <c r="O52" s="470"/>
      <c r="P52" s="471"/>
      <c r="Q52" s="729" t="str">
        <f>IF(G52=0,"verbergen","")</f>
        <v>verbergen</v>
      </c>
      <c r="R52" s="404"/>
      <c r="S52" s="404"/>
      <c r="T52" s="392"/>
      <c r="U52" s="547">
        <f t="shared" si="9"/>
        <v>2</v>
      </c>
      <c r="V52" s="547"/>
      <c r="W52" s="547"/>
      <c r="X52" s="547"/>
      <c r="Y52" s="547"/>
      <c r="Z52" s="547"/>
      <c r="AA52" s="404"/>
      <c r="AB52" s="507"/>
      <c r="AC52" s="516"/>
      <c r="AD52" s="516"/>
      <c r="AE52" s="516"/>
      <c r="AF52" s="507"/>
      <c r="AG52" s="516"/>
      <c r="AH52" s="516"/>
    </row>
    <row r="53" spans="1:34" s="541" customFormat="1" ht="12" hidden="1" customHeight="1">
      <c r="A53" s="543"/>
      <c r="B53" s="543"/>
      <c r="C53" s="464" t="s">
        <v>252</v>
      </c>
      <c r="D53" s="812" t="s">
        <v>251</v>
      </c>
      <c r="E53" s="812"/>
      <c r="F53" s="727">
        <v>1</v>
      </c>
      <c r="G53" s="473">
        <v>0</v>
      </c>
      <c r="H53" s="474">
        <v>90</v>
      </c>
      <c r="I53" s="474">
        <v>20</v>
      </c>
      <c r="J53" s="474">
        <v>0</v>
      </c>
      <c r="K53" s="475" t="s">
        <v>737</v>
      </c>
      <c r="L53" s="475">
        <v>1</v>
      </c>
      <c r="M53" s="476">
        <f>IF(H53&gt;80,(IF(J53&gt;75,0,IF(I53&gt;80,0,INDEX(verzamelblad!$A$81:$BK$158, MATCH((CEILING(IF(J53&gt;=75,75,J53),1)),verzamelblad!$A$81:$A$158,), MATCH((CEILING(IF(I53&lt;=20,20,IF(I53&gt;=80,80,I53)),1)),verzamelblad!$A$81:$BK$81,))))),IF(I53&gt;75,0,INDEX(verzamelblad!$A$164:$BM$245, MATCH((CEILING(IF(H53&gt;=80,80,H53),1)),verzamelblad!$A$164:$A$245,), MATCH((CEILING(IF(I53&lt;=1,1,IF(I53&gt;=75,75,I53)),1)),verzamelblad!$A$164:$BM$164,))))</f>
        <v>0.8</v>
      </c>
      <c r="N53" s="477">
        <f>ROUND(F53*G53*L53*M53,2)</f>
        <v>0</v>
      </c>
      <c r="O53" s="478"/>
      <c r="P53" s="479"/>
      <c r="Q53" s="729" t="str">
        <f>IF(G53=0,"verbergen","")</f>
        <v>verbergen</v>
      </c>
      <c r="R53" s="404"/>
      <c r="S53" s="404"/>
      <c r="T53" s="392"/>
      <c r="U53" s="547">
        <f t="shared" si="9"/>
        <v>2</v>
      </c>
      <c r="V53" s="547"/>
      <c r="W53" s="547"/>
      <c r="X53" s="547"/>
      <c r="Y53" s="547"/>
      <c r="Z53" s="547"/>
      <c r="AA53" s="404"/>
      <c r="AB53" s="507"/>
      <c r="AC53" s="516"/>
      <c r="AD53" s="516"/>
      <c r="AE53" s="516"/>
      <c r="AF53" s="507"/>
      <c r="AG53" s="516"/>
      <c r="AH53" s="516"/>
    </row>
    <row r="54" spans="1:34" s="404" customFormat="1" ht="12" customHeight="1">
      <c r="A54" s="542"/>
      <c r="B54" s="556">
        <f>B47+1</f>
        <v>2</v>
      </c>
      <c r="C54" s="480">
        <f>B54</f>
        <v>2</v>
      </c>
      <c r="D54" s="481">
        <f>IF(O54&gt;P54,P54*10,O54*10)</f>
        <v>22.400000000000002</v>
      </c>
      <c r="E54" s="813" t="str">
        <f>IF(O54&lt;P54,(P54*10)-(O54*10),"(voldoet)")</f>
        <v>(voldoet)</v>
      </c>
      <c r="F54" s="813"/>
      <c r="G54" s="813"/>
      <c r="H54" s="482"/>
      <c r="I54" s="482"/>
      <c r="J54" s="483"/>
      <c r="K54" s="484"/>
      <c r="L54" s="485"/>
      <c r="M54" s="485"/>
      <c r="N54" s="485"/>
      <c r="O54" s="486">
        <f>SUM(N49:N54)</f>
        <v>3.84</v>
      </c>
      <c r="P54" s="486">
        <f>SUMPRODUCT(($AD$1:$AD$28222)*($AC$1:$AC$28222=B54))*verzamelblad!$Y$7/100</f>
        <v>2.2400000000000002</v>
      </c>
      <c r="Q54" s="557"/>
      <c r="R54" s="557"/>
      <c r="S54" s="557"/>
      <c r="T54" s="558"/>
      <c r="U54" s="547">
        <f t="shared" si="9"/>
        <v>2</v>
      </c>
      <c r="V54" s="547"/>
      <c r="W54" s="547"/>
      <c r="X54" s="547"/>
      <c r="Y54" s="559">
        <f>IF(E54="(voldoet)",0,IF(E54="(voldoet niet)",D54,E54))</f>
        <v>0</v>
      </c>
      <c r="Z54" s="547"/>
      <c r="AB54" s="547"/>
      <c r="AC54" s="392"/>
      <c r="AD54" s="392"/>
      <c r="AE54" s="392"/>
      <c r="AF54" s="547"/>
      <c r="AG54" s="392"/>
      <c r="AH54" s="392"/>
    </row>
    <row r="55" spans="1:34" s="493" customFormat="1" ht="12" customHeight="1">
      <c r="A55" s="560"/>
      <c r="B55" s="560"/>
      <c r="C55" s="487"/>
      <c r="D55" s="487"/>
      <c r="E55" s="487"/>
      <c r="F55" s="463"/>
      <c r="G55" s="463"/>
      <c r="H55" s="456"/>
      <c r="I55" s="456"/>
      <c r="J55" s="456"/>
      <c r="K55" s="456"/>
      <c r="L55" s="456"/>
      <c r="M55" s="456"/>
      <c r="N55" s="456"/>
      <c r="O55" s="488"/>
      <c r="P55" s="489"/>
      <c r="Q55" s="451"/>
      <c r="R55" s="451"/>
      <c r="S55" s="451"/>
      <c r="T55" s="561"/>
      <c r="U55" s="547">
        <f t="shared" si="9"/>
        <v>2</v>
      </c>
      <c r="V55" s="547"/>
      <c r="W55" s="547"/>
      <c r="X55" s="547"/>
      <c r="Y55" s="547"/>
      <c r="Z55" s="547"/>
      <c r="AA55" s="451"/>
      <c r="AB55" s="507"/>
      <c r="AC55" s="507"/>
      <c r="AD55" s="507"/>
      <c r="AE55" s="507"/>
      <c r="AF55" s="507"/>
      <c r="AG55" s="507"/>
      <c r="AH55" s="507"/>
    </row>
    <row r="56" spans="1:34" s="541" customFormat="1" ht="12" customHeight="1">
      <c r="A56" s="543"/>
      <c r="B56" s="543"/>
      <c r="C56" s="464" t="str">
        <f>L31</f>
        <v>slaapkamer 1</v>
      </c>
      <c r="D56" s="811" t="s">
        <v>1155</v>
      </c>
      <c r="E56" s="811"/>
      <c r="F56" s="657">
        <v>1</v>
      </c>
      <c r="G56" s="465">
        <v>1.39</v>
      </c>
      <c r="H56" s="466">
        <v>90</v>
      </c>
      <c r="I56" s="466">
        <v>20</v>
      </c>
      <c r="J56" s="466">
        <v>33</v>
      </c>
      <c r="K56" s="467" t="s">
        <v>737</v>
      </c>
      <c r="L56" s="467">
        <v>1</v>
      </c>
      <c r="M56" s="468">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0.74</v>
      </c>
      <c r="N56" s="469">
        <f>ROUND(F56*G56*L56*M56,2)</f>
        <v>1.03</v>
      </c>
      <c r="O56" s="470"/>
      <c r="P56" s="404"/>
      <c r="Q56" s="729" t="str">
        <f>IF(G56=0,"verbergen","")</f>
        <v/>
      </c>
      <c r="R56" s="404"/>
      <c r="S56" s="404"/>
      <c r="T56" s="392"/>
      <c r="U56" s="547">
        <f>U55+1</f>
        <v>3</v>
      </c>
      <c r="V56" s="547"/>
      <c r="W56" s="547"/>
      <c r="X56" s="547"/>
      <c r="Y56" s="547"/>
      <c r="Z56" s="547"/>
      <c r="AA56" s="404"/>
      <c r="AB56" s="507"/>
      <c r="AC56" s="516"/>
      <c r="AD56" s="516"/>
      <c r="AE56" s="516"/>
      <c r="AF56" s="507"/>
      <c r="AG56" s="516"/>
      <c r="AH56" s="516"/>
    </row>
    <row r="57" spans="1:34" s="541" customFormat="1" ht="12" customHeight="1">
      <c r="A57" s="543"/>
      <c r="B57" s="543"/>
      <c r="C57" s="464" t="str">
        <f>L32</f>
        <v>slaapkamer 2</v>
      </c>
      <c r="D57" s="811" t="s">
        <v>1156</v>
      </c>
      <c r="E57" s="811"/>
      <c r="F57" s="657">
        <v>1</v>
      </c>
      <c r="G57" s="465">
        <v>1.36</v>
      </c>
      <c r="H57" s="466">
        <v>90</v>
      </c>
      <c r="I57" s="466">
        <v>20</v>
      </c>
      <c r="J57" s="466">
        <v>33</v>
      </c>
      <c r="K57" s="467" t="s">
        <v>737</v>
      </c>
      <c r="L57" s="467">
        <v>1</v>
      </c>
      <c r="M57" s="468">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0.74</v>
      </c>
      <c r="N57" s="469">
        <f>ROUND(F57*G57*L57*M57,2)</f>
        <v>1.01</v>
      </c>
      <c r="O57" s="470"/>
      <c r="P57" s="471"/>
      <c r="Q57" s="729" t="str">
        <f>IF(G57=0,"verbergen","")</f>
        <v/>
      </c>
      <c r="R57" s="404"/>
      <c r="S57" s="404"/>
      <c r="T57" s="392"/>
      <c r="U57" s="547">
        <f t="shared" ref="U57:U62" si="10">U56</f>
        <v>3</v>
      </c>
      <c r="V57" s="547"/>
      <c r="W57" s="547"/>
      <c r="X57" s="547"/>
      <c r="Y57" s="547"/>
      <c r="Z57" s="547"/>
      <c r="AA57" s="404"/>
      <c r="AB57" s="507"/>
      <c r="AC57" s="516"/>
      <c r="AD57" s="516"/>
      <c r="AE57" s="516"/>
      <c r="AF57" s="507"/>
      <c r="AG57" s="516"/>
      <c r="AH57" s="516"/>
    </row>
    <row r="58" spans="1:34" s="541" customFormat="1" ht="12" customHeight="1">
      <c r="A58" s="543"/>
      <c r="B58" s="543"/>
      <c r="C58" s="464" t="str">
        <f>L33</f>
        <v>studeerkamer</v>
      </c>
      <c r="D58" s="811" t="s">
        <v>1157</v>
      </c>
      <c r="E58" s="811"/>
      <c r="F58" s="657">
        <v>1</v>
      </c>
      <c r="G58" s="465">
        <v>1.59</v>
      </c>
      <c r="H58" s="466">
        <v>90</v>
      </c>
      <c r="I58" s="466">
        <v>20</v>
      </c>
      <c r="J58" s="466">
        <v>39</v>
      </c>
      <c r="K58" s="467" t="s">
        <v>737</v>
      </c>
      <c r="L58" s="467">
        <v>1</v>
      </c>
      <c r="M58" s="468">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0.71</v>
      </c>
      <c r="N58" s="469">
        <f>ROUND(F58*G58*L58*M58,2)</f>
        <v>1.1299999999999999</v>
      </c>
      <c r="O58" s="470"/>
      <c r="P58" s="471"/>
      <c r="Q58" s="729" t="str">
        <f>IF(G58=0,"verbergen","")</f>
        <v/>
      </c>
      <c r="R58" s="404"/>
      <c r="S58" s="404"/>
      <c r="T58" s="392"/>
      <c r="U58" s="547">
        <f t="shared" si="10"/>
        <v>3</v>
      </c>
      <c r="V58" s="547"/>
      <c r="W58" s="547"/>
      <c r="X58" s="547"/>
      <c r="Y58" s="547"/>
      <c r="Z58" s="547"/>
      <c r="AA58" s="404"/>
      <c r="AB58" s="507"/>
      <c r="AC58" s="516"/>
      <c r="AD58" s="516"/>
      <c r="AE58" s="516"/>
      <c r="AF58" s="507"/>
      <c r="AG58" s="516"/>
      <c r="AH58" s="516"/>
    </row>
    <row r="59" spans="1:34" s="541" customFormat="1" ht="12" hidden="1" customHeight="1">
      <c r="A59" s="543"/>
      <c r="B59" s="543"/>
      <c r="C59" s="464" t="s">
        <v>252</v>
      </c>
      <c r="D59" s="811" t="s">
        <v>251</v>
      </c>
      <c r="E59" s="811"/>
      <c r="F59" s="657">
        <v>1</v>
      </c>
      <c r="G59" s="465">
        <v>0</v>
      </c>
      <c r="H59" s="466">
        <v>90</v>
      </c>
      <c r="I59" s="466">
        <v>20</v>
      </c>
      <c r="J59" s="466">
        <v>0</v>
      </c>
      <c r="K59" s="467" t="s">
        <v>737</v>
      </c>
      <c r="L59" s="467">
        <v>1</v>
      </c>
      <c r="M59" s="468">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0.8</v>
      </c>
      <c r="N59" s="469">
        <f>ROUND(F59*G59*L59*M59,2)</f>
        <v>0</v>
      </c>
      <c r="O59" s="470"/>
      <c r="P59" s="471"/>
      <c r="Q59" s="729" t="str">
        <f>IF(G59=0,"verbergen","")</f>
        <v>verbergen</v>
      </c>
      <c r="R59" s="404"/>
      <c r="S59" s="404"/>
      <c r="T59" s="392"/>
      <c r="U59" s="547">
        <f t="shared" si="10"/>
        <v>3</v>
      </c>
      <c r="V59" s="547"/>
      <c r="W59" s="547"/>
      <c r="X59" s="547"/>
      <c r="Y59" s="547"/>
      <c r="Z59" s="547"/>
      <c r="AA59" s="404"/>
      <c r="AB59" s="507"/>
      <c r="AC59" s="516"/>
      <c r="AD59" s="516"/>
      <c r="AE59" s="516"/>
      <c r="AF59" s="507"/>
      <c r="AG59" s="516"/>
      <c r="AH59" s="516"/>
    </row>
    <row r="60" spans="1:34" s="541" customFormat="1" ht="12" hidden="1" customHeight="1">
      <c r="A60" s="543"/>
      <c r="B60" s="543"/>
      <c r="C60" s="472" t="s">
        <v>252</v>
      </c>
      <c r="D60" s="812" t="s">
        <v>251</v>
      </c>
      <c r="E60" s="812"/>
      <c r="F60" s="727">
        <v>1</v>
      </c>
      <c r="G60" s="473">
        <v>0</v>
      </c>
      <c r="H60" s="474">
        <v>90</v>
      </c>
      <c r="I60" s="474">
        <v>20</v>
      </c>
      <c r="J60" s="474">
        <v>0</v>
      </c>
      <c r="K60" s="475" t="s">
        <v>737</v>
      </c>
      <c r="L60" s="475">
        <v>1</v>
      </c>
      <c r="M60" s="476">
        <f>IF(H60&gt;80,(IF(J60&gt;75,0,IF(I60&gt;80,0,INDEX(verzamelblad!$A$81:$BK$158, MATCH((CEILING(IF(J60&gt;=75,75,J60),1)),verzamelblad!$A$81:$A$158,), MATCH((CEILING(IF(I60&lt;=20,20,IF(I60&gt;=80,80,I60)),1)),verzamelblad!$A$81:$BK$81,))))),IF(I60&gt;75,0,INDEX(verzamelblad!$A$164:$BM$245, MATCH((CEILING(IF(H60&gt;=80,80,H60),1)),verzamelblad!$A$164:$A$245,), MATCH((CEILING(IF(I60&lt;=1,1,IF(I60&gt;=75,75,I60)),1)),verzamelblad!$A$164:$BM$164,))))</f>
        <v>0.8</v>
      </c>
      <c r="N60" s="477">
        <f>ROUND(F60*G60*L60*M60,2)</f>
        <v>0</v>
      </c>
      <c r="O60" s="478"/>
      <c r="P60" s="479"/>
      <c r="Q60" s="729" t="str">
        <f>IF(G60=0,"verbergen","")</f>
        <v>verbergen</v>
      </c>
      <c r="R60" s="404"/>
      <c r="S60" s="404"/>
      <c r="T60" s="392"/>
      <c r="U60" s="547">
        <f t="shared" si="10"/>
        <v>3</v>
      </c>
      <c r="V60" s="547"/>
      <c r="W60" s="547"/>
      <c r="X60" s="547"/>
      <c r="Y60" s="547"/>
      <c r="Z60" s="547"/>
      <c r="AA60" s="404"/>
      <c r="AB60" s="507"/>
      <c r="AC60" s="516"/>
      <c r="AD60" s="516"/>
      <c r="AE60" s="516"/>
      <c r="AF60" s="507"/>
      <c r="AG60" s="516"/>
      <c r="AH60" s="516"/>
    </row>
    <row r="61" spans="1:34" s="404" customFormat="1" ht="12" customHeight="1">
      <c r="A61" s="542"/>
      <c r="B61" s="556">
        <f>B54+1</f>
        <v>3</v>
      </c>
      <c r="C61" s="480">
        <f>B61</f>
        <v>3</v>
      </c>
      <c r="D61" s="481">
        <f>IF(O61&gt;P61,P61*10,O61*10)</f>
        <v>18.899999999999999</v>
      </c>
      <c r="E61" s="813" t="str">
        <f>IF(O61&lt;P61,(P61*10)-(O61*10),"(voldoet)")</f>
        <v>(voldoet)</v>
      </c>
      <c r="F61" s="813"/>
      <c r="G61" s="813"/>
      <c r="H61" s="482"/>
      <c r="I61" s="482"/>
      <c r="J61" s="483"/>
      <c r="K61" s="484"/>
      <c r="L61" s="485"/>
      <c r="M61" s="485"/>
      <c r="N61" s="485"/>
      <c r="O61" s="486">
        <f>SUM(N56:N61)</f>
        <v>3.17</v>
      </c>
      <c r="P61" s="486">
        <f>SUMPRODUCT(($AD$1:$AD$28206)*($AC$1:$AC$28206=B61))*verzamelblad!$Y$7/100</f>
        <v>1.89</v>
      </c>
      <c r="Q61" s="557"/>
      <c r="R61" s="557"/>
      <c r="S61" s="557"/>
      <c r="T61" s="558"/>
      <c r="U61" s="547">
        <f t="shared" si="10"/>
        <v>3</v>
      </c>
      <c r="V61" s="547"/>
      <c r="W61" s="547"/>
      <c r="X61" s="547"/>
      <c r="Y61" s="559">
        <f>IF(E61="(voldoet)",0,IF(E61="(voldoet niet)",D61,E61))</f>
        <v>0</v>
      </c>
      <c r="Z61" s="547"/>
      <c r="AB61" s="547"/>
      <c r="AC61" s="392"/>
      <c r="AD61" s="392"/>
      <c r="AE61" s="392"/>
      <c r="AF61" s="547"/>
      <c r="AG61" s="392"/>
      <c r="AH61" s="392"/>
    </row>
    <row r="62" spans="1:34" s="493" customFormat="1" ht="12" customHeight="1">
      <c r="A62" s="560"/>
      <c r="B62" s="560"/>
      <c r="C62" s="487"/>
      <c r="D62" s="487"/>
      <c r="E62" s="487"/>
      <c r="F62" s="463"/>
      <c r="G62" s="463"/>
      <c r="H62" s="456"/>
      <c r="I62" s="456"/>
      <c r="J62" s="456"/>
      <c r="K62" s="456"/>
      <c r="L62" s="456"/>
      <c r="M62" s="456"/>
      <c r="N62" s="456"/>
      <c r="O62" s="488"/>
      <c r="P62" s="489"/>
      <c r="Q62" s="451"/>
      <c r="R62" s="451"/>
      <c r="S62" s="451"/>
      <c r="T62" s="561"/>
      <c r="U62" s="547">
        <f t="shared" si="10"/>
        <v>3</v>
      </c>
      <c r="V62" s="547"/>
      <c r="W62" s="547"/>
      <c r="X62" s="547"/>
      <c r="Y62" s="547"/>
      <c r="Z62" s="547"/>
      <c r="AA62" s="451"/>
      <c r="AB62" s="507"/>
      <c r="AC62" s="507"/>
      <c r="AD62" s="507"/>
      <c r="AE62" s="507"/>
      <c r="AF62" s="507"/>
      <c r="AG62" s="507"/>
      <c r="AH62" s="507"/>
    </row>
    <row r="63" spans="1:34" s="541" customFormat="1" ht="12" customHeight="1">
      <c r="A63" s="543"/>
      <c r="B63" s="543"/>
      <c r="C63" s="464" t="str">
        <f>L34</f>
        <v>slaapkamer 3</v>
      </c>
      <c r="D63" s="811" t="s">
        <v>1155</v>
      </c>
      <c r="E63" s="811"/>
      <c r="F63" s="657">
        <v>1</v>
      </c>
      <c r="G63" s="465">
        <v>1</v>
      </c>
      <c r="H63" s="466">
        <v>90</v>
      </c>
      <c r="I63" s="466">
        <v>45</v>
      </c>
      <c r="J63" s="466">
        <v>33</v>
      </c>
      <c r="K63" s="467" t="s">
        <v>737</v>
      </c>
      <c r="L63" s="467">
        <v>1</v>
      </c>
      <c r="M63" s="468">
        <f>IF(H63&gt;80,(IF(J63&gt;75,0,IF(I63&gt;80,0,INDEX(verzamelblad!$A$81:$BK$158, MATCH((CEILING(IF(J63&gt;=75,75,J63),1)),verzamelblad!$A$81:$A$158,), MATCH((CEILING(IF(I63&lt;=20,20,IF(I63&gt;=80,80,I63)),1)),verzamelblad!$A$81:$BK$81,))))),IF(I63&gt;75,0,INDEX(verzamelblad!$A$164:$BM$245, MATCH((CEILING(IF(H63&gt;=80,80,H63),1)),verzamelblad!$A$164:$A$245,), MATCH((CEILING(IF(I63&lt;=1,1,IF(I63&gt;=75,75,I63)),1)),verzamelblad!$A$164:$BM$164,))))</f>
        <v>0.53</v>
      </c>
      <c r="N63" s="469">
        <f>ROUND(F63*G63*L63*M63,2)</f>
        <v>0.53</v>
      </c>
      <c r="O63" s="470"/>
      <c r="P63" s="404"/>
      <c r="Q63" s="729" t="str">
        <f>IF(G63=0,"verbergen","")</f>
        <v/>
      </c>
      <c r="R63" s="404"/>
      <c r="S63" s="404"/>
      <c r="T63" s="392"/>
      <c r="U63" s="547">
        <f>U62+1</f>
        <v>4</v>
      </c>
      <c r="V63" s="547"/>
      <c r="W63" s="547"/>
      <c r="X63" s="547"/>
      <c r="Y63" s="547"/>
      <c r="Z63" s="547"/>
      <c r="AA63" s="404"/>
      <c r="AB63" s="507"/>
      <c r="AC63" s="516"/>
      <c r="AD63" s="516"/>
      <c r="AE63" s="516"/>
      <c r="AF63" s="507"/>
      <c r="AG63" s="516"/>
      <c r="AH63" s="516"/>
    </row>
    <row r="64" spans="1:34" s="541" customFormat="1" ht="12" hidden="1" customHeight="1">
      <c r="A64" s="543"/>
      <c r="B64" s="543"/>
      <c r="C64" s="464" t="s">
        <v>252</v>
      </c>
      <c r="D64" s="811" t="s">
        <v>251</v>
      </c>
      <c r="E64" s="811"/>
      <c r="F64" s="657">
        <v>1</v>
      </c>
      <c r="G64" s="465">
        <v>0</v>
      </c>
      <c r="H64" s="466">
        <v>90</v>
      </c>
      <c r="I64" s="466">
        <v>20</v>
      </c>
      <c r="J64" s="466">
        <v>0</v>
      </c>
      <c r="K64" s="467" t="s">
        <v>737</v>
      </c>
      <c r="L64" s="467">
        <v>1</v>
      </c>
      <c r="M64" s="468">
        <f>IF(H64&gt;80,(IF(J64&gt;75,0,IF(I64&gt;80,0,INDEX(verzamelblad!$A$81:$BK$158, MATCH((CEILING(IF(J64&gt;=75,75,J64),1)),verzamelblad!$A$81:$A$158,), MATCH((CEILING(IF(I64&lt;=20,20,IF(I64&gt;=80,80,I64)),1)),verzamelblad!$A$81:$BK$81,))))),IF(I64&gt;75,0,INDEX(verzamelblad!$A$164:$BM$245, MATCH((CEILING(IF(H64&gt;=80,80,H64),1)),verzamelblad!$A$164:$A$245,), MATCH((CEILING(IF(I64&lt;=1,1,IF(I64&gt;=75,75,I64)),1)),verzamelblad!$A$164:$BM$164,))))</f>
        <v>0.8</v>
      </c>
      <c r="N64" s="469">
        <f>ROUND(F64*G64*L64*M64,2)</f>
        <v>0</v>
      </c>
      <c r="O64" s="470"/>
      <c r="P64" s="471"/>
      <c r="Q64" s="729" t="str">
        <f>IF(G64=0,"verbergen","")</f>
        <v>verbergen</v>
      </c>
      <c r="R64" s="404"/>
      <c r="S64" s="404"/>
      <c r="T64" s="392"/>
      <c r="U64" s="547">
        <f t="shared" ref="U64:U69" si="11">U63</f>
        <v>4</v>
      </c>
      <c r="V64" s="547"/>
      <c r="W64" s="547"/>
      <c r="X64" s="547"/>
      <c r="Y64" s="547"/>
      <c r="Z64" s="547"/>
      <c r="AA64" s="404"/>
      <c r="AB64" s="507"/>
      <c r="AC64" s="516"/>
      <c r="AD64" s="516"/>
      <c r="AE64" s="516"/>
      <c r="AF64" s="507"/>
      <c r="AG64" s="516"/>
      <c r="AH64" s="516"/>
    </row>
    <row r="65" spans="1:43" s="541" customFormat="1" ht="12" hidden="1" customHeight="1">
      <c r="A65" s="543"/>
      <c r="B65" s="543"/>
      <c r="C65" s="464" t="s">
        <v>252</v>
      </c>
      <c r="D65" s="811" t="s">
        <v>251</v>
      </c>
      <c r="E65" s="811"/>
      <c r="F65" s="657">
        <v>1</v>
      </c>
      <c r="G65" s="465">
        <v>0</v>
      </c>
      <c r="H65" s="466">
        <v>90</v>
      </c>
      <c r="I65" s="466">
        <v>20</v>
      </c>
      <c r="J65" s="466">
        <v>0</v>
      </c>
      <c r="K65" s="467" t="s">
        <v>737</v>
      </c>
      <c r="L65" s="467">
        <v>1</v>
      </c>
      <c r="M65" s="468">
        <f>IF(H65&gt;80,(IF(J65&gt;75,0,IF(I65&gt;80,0,INDEX(verzamelblad!$A$81:$BK$158, MATCH((CEILING(IF(J65&gt;=75,75,J65),1)),verzamelblad!$A$81:$A$158,), MATCH((CEILING(IF(I65&lt;=20,20,IF(I65&gt;=80,80,I65)),1)),verzamelblad!$A$81:$BK$81,))))),IF(I65&gt;75,0,INDEX(verzamelblad!$A$164:$BM$245, MATCH((CEILING(IF(H65&gt;=80,80,H65),1)),verzamelblad!$A$164:$A$245,), MATCH((CEILING(IF(I65&lt;=1,1,IF(I65&gt;=75,75,I65)),1)),verzamelblad!$A$164:$BM$164,))))</f>
        <v>0.8</v>
      </c>
      <c r="N65" s="469">
        <f>ROUND(F65*G65*L65*M65,2)</f>
        <v>0</v>
      </c>
      <c r="O65" s="470"/>
      <c r="P65" s="471"/>
      <c r="Q65" s="729" t="str">
        <f>IF(G65=0,"verbergen","")</f>
        <v>verbergen</v>
      </c>
      <c r="R65" s="404"/>
      <c r="S65" s="404"/>
      <c r="T65" s="392"/>
      <c r="U65" s="547">
        <f t="shared" si="11"/>
        <v>4</v>
      </c>
      <c r="V65" s="547"/>
      <c r="W65" s="547"/>
      <c r="X65" s="547"/>
      <c r="Y65" s="547"/>
      <c r="Z65" s="547"/>
      <c r="AA65" s="404"/>
      <c r="AB65" s="507"/>
      <c r="AC65" s="516"/>
      <c r="AD65" s="516"/>
      <c r="AE65" s="516"/>
      <c r="AF65" s="507"/>
      <c r="AG65" s="516"/>
      <c r="AH65" s="516"/>
    </row>
    <row r="66" spans="1:43" s="541" customFormat="1" ht="12" hidden="1" customHeight="1">
      <c r="A66" s="543"/>
      <c r="B66" s="543"/>
      <c r="C66" s="464" t="s">
        <v>252</v>
      </c>
      <c r="D66" s="811" t="s">
        <v>251</v>
      </c>
      <c r="E66" s="811"/>
      <c r="F66" s="657">
        <v>1</v>
      </c>
      <c r="G66" s="465">
        <v>0</v>
      </c>
      <c r="H66" s="466">
        <v>90</v>
      </c>
      <c r="I66" s="466">
        <v>20</v>
      </c>
      <c r="J66" s="466">
        <v>0</v>
      </c>
      <c r="K66" s="467" t="s">
        <v>737</v>
      </c>
      <c r="L66" s="467">
        <v>1</v>
      </c>
      <c r="M66" s="468">
        <f>IF(H66&gt;80,(IF(J66&gt;75,0,IF(I66&gt;80,0,INDEX(verzamelblad!$A$81:$BK$158, MATCH((CEILING(IF(J66&gt;=75,75,J66),1)),verzamelblad!$A$81:$A$158,), MATCH((CEILING(IF(I66&lt;=20,20,IF(I66&gt;=80,80,I66)),1)),verzamelblad!$A$81:$BK$81,))))),IF(I66&gt;75,0,INDEX(verzamelblad!$A$164:$BM$245, MATCH((CEILING(IF(H66&gt;=80,80,H66),1)),verzamelblad!$A$164:$A$245,), MATCH((CEILING(IF(I66&lt;=1,1,IF(I66&gt;=75,75,I66)),1)),verzamelblad!$A$164:$BM$164,))))</f>
        <v>0.8</v>
      </c>
      <c r="N66" s="469">
        <f>ROUND(F66*G66*L66*M66,2)</f>
        <v>0</v>
      </c>
      <c r="O66" s="470"/>
      <c r="P66" s="471"/>
      <c r="Q66" s="729" t="str">
        <f>IF(G66=0,"verbergen","")</f>
        <v>verbergen</v>
      </c>
      <c r="R66" s="404"/>
      <c r="S66" s="404"/>
      <c r="T66" s="392"/>
      <c r="U66" s="547">
        <f t="shared" si="11"/>
        <v>4</v>
      </c>
      <c r="V66" s="547"/>
      <c r="W66" s="547"/>
      <c r="X66" s="547"/>
      <c r="Y66" s="547"/>
      <c r="Z66" s="547"/>
      <c r="AA66" s="404"/>
      <c r="AB66" s="507"/>
      <c r="AC66" s="516"/>
      <c r="AD66" s="516"/>
      <c r="AE66" s="516"/>
      <c r="AF66" s="507"/>
      <c r="AG66" s="516"/>
      <c r="AH66" s="516"/>
    </row>
    <row r="67" spans="1:43" s="541" customFormat="1" ht="12" hidden="1" customHeight="1">
      <c r="A67" s="543"/>
      <c r="B67" s="543"/>
      <c r="C67" s="472" t="s">
        <v>252</v>
      </c>
      <c r="D67" s="812" t="s">
        <v>251</v>
      </c>
      <c r="E67" s="812"/>
      <c r="F67" s="727">
        <v>1</v>
      </c>
      <c r="G67" s="473">
        <v>0</v>
      </c>
      <c r="H67" s="474">
        <v>90</v>
      </c>
      <c r="I67" s="474">
        <v>20</v>
      </c>
      <c r="J67" s="474">
        <v>0</v>
      </c>
      <c r="K67" s="475" t="s">
        <v>737</v>
      </c>
      <c r="L67" s="475">
        <v>1</v>
      </c>
      <c r="M67" s="476">
        <f>IF(H67&gt;80,(IF(J67&gt;75,0,IF(I67&gt;80,0,INDEX(verzamelblad!$A$81:$BK$158, MATCH((CEILING(IF(J67&gt;=75,75,J67),1)),verzamelblad!$A$81:$A$158,), MATCH((CEILING(IF(I67&lt;=20,20,IF(I67&gt;=80,80,I67)),1)),verzamelblad!$A$81:$BK$81,))))),IF(I67&gt;75,0,INDEX(verzamelblad!$A$164:$BM$245, MATCH((CEILING(IF(H67&gt;=80,80,H67),1)),verzamelblad!$A$164:$A$245,), MATCH((CEILING(IF(I67&lt;=1,1,IF(I67&gt;=75,75,I67)),1)),verzamelblad!$A$164:$BM$164,))))</f>
        <v>0.8</v>
      </c>
      <c r="N67" s="477">
        <f>ROUND(F67*G67*L67*M67,2)</f>
        <v>0</v>
      </c>
      <c r="O67" s="478"/>
      <c r="P67" s="479"/>
      <c r="Q67" s="729" t="str">
        <f>IF(G67=0,"verbergen","")</f>
        <v>verbergen</v>
      </c>
      <c r="R67" s="404"/>
      <c r="S67" s="404"/>
      <c r="T67" s="392"/>
      <c r="U67" s="547">
        <f t="shared" si="11"/>
        <v>4</v>
      </c>
      <c r="V67" s="547"/>
      <c r="W67" s="547"/>
      <c r="X67" s="547"/>
      <c r="Y67" s="547"/>
      <c r="Z67" s="547"/>
      <c r="AA67" s="404"/>
      <c r="AB67" s="507"/>
      <c r="AC67" s="516"/>
      <c r="AD67" s="516"/>
      <c r="AE67" s="516"/>
      <c r="AF67" s="507"/>
      <c r="AG67" s="516"/>
      <c r="AH67" s="516"/>
    </row>
    <row r="68" spans="1:43" s="404" customFormat="1" ht="12" customHeight="1">
      <c r="A68" s="542"/>
      <c r="B68" s="556">
        <f>B61+1</f>
        <v>4</v>
      </c>
      <c r="C68" s="480">
        <f>B68</f>
        <v>4</v>
      </c>
      <c r="D68" s="481">
        <f>IF(O68&gt;P68,P68*10,O68*10)</f>
        <v>5.3000000000000007</v>
      </c>
      <c r="E68" s="813">
        <f>IF(O68&lt;P68,(P68*10)-(O68*10),"(voldoet)")</f>
        <v>0.69999999999999929</v>
      </c>
      <c r="F68" s="813"/>
      <c r="G68" s="813"/>
      <c r="H68" s="482"/>
      <c r="I68" s="482"/>
      <c r="J68" s="483"/>
      <c r="K68" s="484"/>
      <c r="L68" s="485"/>
      <c r="M68" s="485"/>
      <c r="N68" s="485"/>
      <c r="O68" s="486">
        <f>SUM(N63:N68)</f>
        <v>0.53</v>
      </c>
      <c r="P68" s="486">
        <f>SUMPRODUCT(($AD$1:$AD$28178)*($AC$1:$AC$28178=B68))*verzamelblad!$Y$7/100</f>
        <v>0.6</v>
      </c>
      <c r="Q68" s="557"/>
      <c r="R68" s="557"/>
      <c r="S68" s="557"/>
      <c r="T68" s="558"/>
      <c r="U68" s="547">
        <f t="shared" si="11"/>
        <v>4</v>
      </c>
      <c r="V68" s="547"/>
      <c r="W68" s="547"/>
      <c r="X68" s="547"/>
      <c r="Y68" s="559">
        <f>IF(E68="(voldoet)",0,IF(E68="(voldoet niet)",D68,E68))</f>
        <v>0.69999999999999929</v>
      </c>
      <c r="Z68" s="547"/>
      <c r="AB68" s="547"/>
      <c r="AC68" s="392"/>
      <c r="AD68" s="392"/>
      <c r="AE68" s="392"/>
      <c r="AF68" s="547"/>
      <c r="AG68" s="392"/>
      <c r="AH68" s="392"/>
    </row>
    <row r="69" spans="1:43" s="493" customFormat="1" ht="12" customHeight="1">
      <c r="A69" s="560"/>
      <c r="B69" s="560"/>
      <c r="C69" s="487"/>
      <c r="D69" s="487"/>
      <c r="E69" s="487"/>
      <c r="F69" s="463"/>
      <c r="G69" s="463"/>
      <c r="H69" s="456"/>
      <c r="I69" s="456"/>
      <c r="J69" s="456"/>
      <c r="K69" s="456"/>
      <c r="L69" s="456"/>
      <c r="M69" s="456"/>
      <c r="N69" s="456"/>
      <c r="O69" s="488"/>
      <c r="P69" s="489"/>
      <c r="Q69" s="451"/>
      <c r="R69" s="451"/>
      <c r="S69" s="451"/>
      <c r="T69" s="561"/>
      <c r="U69" s="547">
        <f t="shared" si="11"/>
        <v>4</v>
      </c>
      <c r="V69" s="547"/>
      <c r="W69" s="547"/>
      <c r="X69" s="547"/>
      <c r="Y69" s="547"/>
      <c r="Z69" s="547"/>
      <c r="AA69" s="451"/>
      <c r="AB69" s="507"/>
      <c r="AC69" s="507"/>
      <c r="AD69" s="507"/>
      <c r="AE69" s="507"/>
      <c r="AF69" s="507"/>
      <c r="AG69" s="507"/>
      <c r="AH69" s="507"/>
    </row>
    <row r="70" spans="1:43" ht="12" customHeight="1">
      <c r="A70" s="492"/>
      <c r="B70" s="492"/>
      <c r="C70" s="463"/>
      <c r="D70" s="463"/>
      <c r="E70" s="451"/>
      <c r="F70" s="463"/>
      <c r="G70" s="463"/>
      <c r="H70" s="456"/>
      <c r="I70" s="456"/>
      <c r="J70" s="456"/>
      <c r="K70" s="490"/>
      <c r="L70" s="491"/>
      <c r="M70" s="456"/>
      <c r="N70" s="456"/>
      <c r="O70" s="488"/>
      <c r="P70" s="489"/>
      <c r="Q70" s="507"/>
      <c r="R70" s="507"/>
      <c r="S70" s="507"/>
      <c r="T70" s="507"/>
      <c r="U70" s="507"/>
      <c r="V70" s="508"/>
      <c r="W70" s="508"/>
      <c r="X70" s="508"/>
      <c r="Y70" s="508"/>
      <c r="Z70" s="508"/>
      <c r="AA70" s="508"/>
      <c r="AB70" s="508"/>
      <c r="AC70" s="524"/>
      <c r="AD70" s="508"/>
      <c r="AE70" s="508"/>
      <c r="AF70" s="508"/>
      <c r="AG70" s="508"/>
      <c r="AH70" s="508"/>
    </row>
    <row r="71" spans="1:43" s="518" customFormat="1" ht="15" customHeight="1">
      <c r="A71" s="515"/>
      <c r="B71" s="515"/>
      <c r="C71" s="457" t="s">
        <v>1084</v>
      </c>
      <c r="D71" s="457"/>
      <c r="E71" s="457"/>
      <c r="F71" s="457"/>
      <c r="G71" s="457"/>
      <c r="H71" s="457"/>
      <c r="I71" s="457"/>
      <c r="J71" s="457"/>
      <c r="K71" s="457"/>
      <c r="L71" s="457"/>
      <c r="M71" s="457"/>
      <c r="N71" s="457"/>
      <c r="O71" s="457"/>
      <c r="P71" s="457"/>
      <c r="Q71" s="522"/>
      <c r="R71" s="562"/>
      <c r="S71" s="516"/>
      <c r="T71" s="521"/>
      <c r="U71" s="516"/>
      <c r="V71" s="548"/>
      <c r="W71" s="548"/>
      <c r="X71" s="548"/>
      <c r="Y71" s="548"/>
      <c r="Z71" s="517"/>
      <c r="AA71" s="517"/>
      <c r="AB71" s="517"/>
      <c r="AC71" s="524"/>
      <c r="AD71" s="517"/>
      <c r="AE71" s="517"/>
      <c r="AF71" s="517"/>
      <c r="AG71" s="517"/>
      <c r="AH71" s="517"/>
    </row>
    <row r="72" spans="1:43" s="518" customFormat="1" ht="12" customHeight="1">
      <c r="A72" s="543"/>
      <c r="B72" s="543"/>
      <c r="C72" s="563" t="s">
        <v>1019</v>
      </c>
      <c r="D72" s="814" t="s">
        <v>743</v>
      </c>
      <c r="E72" s="814"/>
      <c r="F72" s="814"/>
      <c r="G72" s="814"/>
      <c r="H72" s="566"/>
      <c r="I72" s="566"/>
      <c r="J72" s="566"/>
      <c r="K72" s="566"/>
      <c r="L72" s="566"/>
      <c r="M72" s="566"/>
      <c r="N72" s="566"/>
      <c r="O72" s="566"/>
      <c r="P72" s="566"/>
      <c r="Q72" s="459"/>
      <c r="Y72" s="517"/>
      <c r="Z72" s="517"/>
      <c r="AA72" s="517"/>
      <c r="AB72" s="517"/>
      <c r="AC72" s="517"/>
      <c r="AD72" s="517"/>
      <c r="AE72" s="517"/>
      <c r="AF72" s="517"/>
      <c r="AG72" s="517"/>
      <c r="AH72" s="517"/>
    </row>
    <row r="73" spans="1:43" s="518" customFormat="1" ht="12" customHeight="1">
      <c r="A73" s="543"/>
      <c r="B73" s="543"/>
      <c r="C73" s="563"/>
      <c r="D73" s="464"/>
      <c r="E73" s="464"/>
      <c r="F73" s="464"/>
      <c r="G73" s="464"/>
      <c r="H73" s="566"/>
      <c r="I73" s="566"/>
      <c r="J73" s="566"/>
      <c r="K73" s="566"/>
      <c r="L73" s="566"/>
      <c r="M73" s="566"/>
      <c r="N73" s="566"/>
      <c r="O73" s="566"/>
      <c r="P73" s="566"/>
      <c r="Q73" s="459"/>
      <c r="Y73" s="517"/>
      <c r="Z73" s="517"/>
      <c r="AA73" s="517"/>
      <c r="AB73" s="517"/>
      <c r="AC73" s="517"/>
      <c r="AD73" s="517"/>
      <c r="AE73" s="517"/>
      <c r="AF73" s="517"/>
      <c r="AG73" s="517"/>
      <c r="AH73" s="517"/>
    </row>
    <row r="74" spans="1:43" s="518" customFormat="1" ht="12" customHeight="1">
      <c r="A74" s="543"/>
      <c r="B74" s="546"/>
      <c r="C74" s="563" t="s">
        <v>726</v>
      </c>
      <c r="D74" s="814" t="s">
        <v>724</v>
      </c>
      <c r="E74" s="814"/>
      <c r="F74" s="814"/>
      <c r="G74" s="814"/>
      <c r="H74" s="566"/>
      <c r="I74" s="566"/>
      <c r="J74" s="566"/>
      <c r="K74" s="566"/>
      <c r="L74" s="566"/>
      <c r="M74" s="566"/>
      <c r="N74" s="566"/>
      <c r="O74" s="566"/>
      <c r="P74" s="566"/>
      <c r="Q74" s="459"/>
      <c r="Y74" s="517"/>
      <c r="Z74" s="517"/>
      <c r="AA74" s="517"/>
      <c r="AB74" s="517"/>
      <c r="AC74" s="517"/>
      <c r="AD74" s="517"/>
      <c r="AE74" s="517"/>
      <c r="AF74" s="517"/>
      <c r="AG74" s="517"/>
      <c r="AH74" s="517"/>
    </row>
    <row r="75" spans="1:43" s="518" customFormat="1" ht="12" hidden="1" customHeight="1">
      <c r="A75" s="543"/>
      <c r="B75" s="546"/>
      <c r="C75" s="563" t="s">
        <v>718</v>
      </c>
      <c r="D75" s="814" t="s">
        <v>720</v>
      </c>
      <c r="E75" s="814"/>
      <c r="F75" s="814"/>
      <c r="G75" s="814"/>
      <c r="H75" s="566"/>
      <c r="I75" s="566"/>
      <c r="J75" s="566"/>
      <c r="K75" s="566"/>
      <c r="L75" s="566"/>
      <c r="M75" s="566"/>
      <c r="N75" s="566"/>
      <c r="O75" s="566"/>
      <c r="P75" s="566"/>
      <c r="Q75" s="459" t="str">
        <f>IF(D74="systeem D - mechanische toevoer &amp; afvoer","verbergen","")</f>
        <v>verbergen</v>
      </c>
      <c r="Y75" s="517"/>
      <c r="Z75" s="517"/>
      <c r="AA75" s="517"/>
      <c r="AB75" s="517"/>
      <c r="AC75" s="517"/>
      <c r="AD75" s="517"/>
      <c r="AE75" s="517"/>
      <c r="AF75" s="517"/>
      <c r="AG75" s="517"/>
      <c r="AH75" s="517"/>
      <c r="AQ75" s="517"/>
    </row>
    <row r="76" spans="1:43" s="518" customFormat="1" ht="12" customHeight="1">
      <c r="A76" s="543"/>
      <c r="B76" s="546"/>
      <c r="C76" s="563"/>
      <c r="D76" s="730"/>
      <c r="E76" s="730"/>
      <c r="F76" s="730"/>
      <c r="G76" s="730"/>
      <c r="H76" s="566"/>
      <c r="I76" s="566"/>
      <c r="J76" s="566"/>
      <c r="K76" s="566"/>
      <c r="L76" s="566"/>
      <c r="M76" s="566"/>
      <c r="N76" s="566"/>
      <c r="O76" s="567"/>
      <c r="P76" s="564"/>
      <c r="Q76" s="459"/>
      <c r="Y76" s="517"/>
      <c r="Z76" s="517"/>
      <c r="AA76" s="517"/>
      <c r="AB76" s="517"/>
      <c r="AC76" s="517"/>
      <c r="AD76" s="517"/>
      <c r="AE76" s="517"/>
      <c r="AF76" s="517"/>
      <c r="AG76" s="517"/>
      <c r="AH76" s="517"/>
      <c r="AQ76" s="517"/>
    </row>
    <row r="77" spans="1:43" s="518" customFormat="1" ht="12" customHeight="1">
      <c r="A77" s="543"/>
      <c r="B77" s="546"/>
      <c r="C77" s="563" t="s">
        <v>746</v>
      </c>
      <c r="D77" s="730" t="s">
        <v>737</v>
      </c>
      <c r="E77" s="730"/>
      <c r="F77" s="730"/>
      <c r="G77" s="730"/>
      <c r="H77" s="568" t="str">
        <f>IF(D77="n.v.t.","","minimale luchtverversing, privaatrechterlijke eisen in 'hoogstand':")</f>
        <v/>
      </c>
      <c r="I77" s="546"/>
      <c r="J77" s="773"/>
      <c r="K77" s="569"/>
      <c r="L77" s="570"/>
      <c r="M77" s="404"/>
      <c r="N77" s="566" t="str">
        <f>IF(D77="n.v.t.","",N74+G139)</f>
        <v/>
      </c>
      <c r="O77" s="567" t="str">
        <f>IF(D77="n.v.t.","",N77*3.6)</f>
        <v/>
      </c>
      <c r="P77" s="564"/>
      <c r="Q77" s="459"/>
      <c r="Y77" s="517"/>
      <c r="Z77" s="517"/>
      <c r="AA77" s="517"/>
      <c r="AB77" s="517"/>
      <c r="AC77" s="517"/>
      <c r="AD77" s="517"/>
      <c r="AE77" s="517"/>
      <c r="AF77" s="517"/>
      <c r="AG77" s="517"/>
      <c r="AH77" s="517"/>
      <c r="AQ77" s="517"/>
    </row>
    <row r="78" spans="1:43" s="518" customFormat="1" ht="12" customHeight="1">
      <c r="A78" s="543"/>
      <c r="B78" s="546"/>
      <c r="C78" s="563"/>
      <c r="D78" s="730"/>
      <c r="E78" s="730"/>
      <c r="F78" s="730"/>
      <c r="G78" s="730"/>
      <c r="H78" s="766" t="s">
        <v>1133</v>
      </c>
      <c r="I78" s="774"/>
      <c r="J78" s="767"/>
      <c r="K78" s="767"/>
      <c r="L78" s="768"/>
      <c r="M78" s="769"/>
      <c r="N78" s="770"/>
      <c r="O78" s="771"/>
      <c r="P78" s="772"/>
      <c r="Q78" s="459"/>
      <c r="Y78" s="517"/>
      <c r="Z78" s="517"/>
      <c r="AA78" s="517"/>
      <c r="AB78" s="517"/>
      <c r="AC78" s="517"/>
      <c r="AD78" s="517"/>
      <c r="AE78" s="517"/>
      <c r="AF78" s="517"/>
      <c r="AG78" s="517"/>
      <c r="AH78" s="517"/>
      <c r="AQ78" s="517"/>
    </row>
    <row r="79" spans="1:43" s="518" customFormat="1" ht="12" customHeight="1">
      <c r="A79" s="543"/>
      <c r="B79" s="546"/>
      <c r="C79" s="563"/>
      <c r="D79" s="730"/>
      <c r="E79" s="730"/>
      <c r="F79" s="730"/>
      <c r="G79" s="730"/>
      <c r="H79" s="766" t="s">
        <v>1134</v>
      </c>
      <c r="I79" s="774"/>
      <c r="J79" s="775"/>
      <c r="K79" s="775"/>
      <c r="L79" s="768"/>
      <c r="M79" s="769"/>
      <c r="N79" s="770"/>
      <c r="O79" s="771"/>
      <c r="P79" s="772"/>
      <c r="Q79" s="459"/>
      <c r="Y79" s="517"/>
      <c r="Z79" s="517"/>
      <c r="AA79" s="517"/>
      <c r="AB79" s="517"/>
      <c r="AC79" s="517"/>
      <c r="AD79" s="517"/>
      <c r="AE79" s="517"/>
      <c r="AF79" s="517"/>
      <c r="AG79" s="517"/>
      <c r="AH79" s="517"/>
      <c r="AQ79" s="517"/>
    </row>
    <row r="80" spans="1:43" s="518" customFormat="1" ht="12" customHeight="1">
      <c r="A80" s="543"/>
      <c r="B80" s="543"/>
      <c r="C80" s="571" t="str">
        <f>IF(A42:A80=TRUE,"* vanwege het niet direct grenzen van ramen aan grens VG is op basis van gelijkwaardigheid een groter fictief oppervlak aan VG toegekend (zie ook toelichting rapport)","")</f>
        <v/>
      </c>
      <c r="D80" s="572"/>
      <c r="E80" s="572"/>
      <c r="F80" s="572"/>
      <c r="G80" s="572"/>
      <c r="H80" s="572"/>
      <c r="I80" s="572"/>
      <c r="J80" s="468"/>
      <c r="K80" s="490"/>
      <c r="L80" s="422"/>
      <c r="M80" s="471"/>
      <c r="N80" s="470"/>
      <c r="O80" s="573"/>
      <c r="P80" s="574"/>
      <c r="Q80" s="525"/>
      <c r="Y80" s="508"/>
      <c r="Z80" s="508"/>
      <c r="AA80" s="508"/>
      <c r="AB80" s="508"/>
      <c r="AC80" s="517"/>
      <c r="AD80" s="517"/>
      <c r="AE80" s="517"/>
      <c r="AF80" s="517"/>
      <c r="AG80" s="517"/>
      <c r="AH80" s="517"/>
    </row>
    <row r="81" spans="1:38" s="518" customFormat="1" ht="15" customHeight="1">
      <c r="A81" s="515"/>
      <c r="B81" s="515"/>
      <c r="C81" s="457" t="s">
        <v>1085</v>
      </c>
      <c r="D81" s="575"/>
      <c r="E81" s="575"/>
      <c r="F81" s="817"/>
      <c r="G81" s="817"/>
      <c r="H81" s="817"/>
      <c r="I81" s="575"/>
      <c r="J81" s="575"/>
      <c r="K81" s="575"/>
      <c r="L81" s="575"/>
      <c r="M81" s="575"/>
      <c r="N81" s="575"/>
      <c r="O81" s="575"/>
      <c r="P81" s="575"/>
      <c r="Q81" s="522"/>
      <c r="R81" s="516"/>
      <c r="S81" s="516"/>
      <c r="T81" s="521"/>
      <c r="U81" s="516"/>
      <c r="V81" s="548"/>
      <c r="W81" s="548"/>
      <c r="X81" s="548"/>
      <c r="Y81" s="548"/>
      <c r="Z81" s="517"/>
      <c r="AA81" s="517"/>
      <c r="AB81" s="517"/>
      <c r="AC81" s="524"/>
      <c r="AD81" s="517"/>
      <c r="AE81" s="517"/>
      <c r="AF81" s="517"/>
      <c r="AG81" s="517"/>
      <c r="AH81" s="517"/>
    </row>
    <row r="82" spans="1:38" s="518" customFormat="1" ht="12.75" hidden="1" customHeight="1">
      <c r="A82" s="515"/>
      <c r="B82" s="515"/>
      <c r="C82" s="576"/>
      <c r="D82" s="576"/>
      <c r="E82" s="576"/>
      <c r="F82" s="576"/>
      <c r="G82" s="576"/>
      <c r="H82" s="577"/>
      <c r="I82" s="577"/>
      <c r="J82" s="577"/>
      <c r="K82" s="577"/>
      <c r="L82" s="577"/>
      <c r="M82" s="577"/>
      <c r="N82" s="577"/>
      <c r="O82" s="577"/>
      <c r="P82" s="577"/>
      <c r="Q82" s="522"/>
      <c r="R82" s="516"/>
      <c r="S82" s="516"/>
      <c r="T82" s="521"/>
      <c r="U82" s="516"/>
      <c r="V82" s="548"/>
      <c r="W82" s="548"/>
      <c r="X82" s="548"/>
      <c r="Y82" s="548"/>
      <c r="Z82" s="517"/>
      <c r="AA82" s="517"/>
      <c r="AB82" s="517"/>
      <c r="AC82" s="524"/>
      <c r="AD82" s="517"/>
      <c r="AE82" s="517"/>
      <c r="AF82" s="517"/>
    </row>
    <row r="83" spans="1:38" ht="35.25" customHeight="1">
      <c r="A83" s="492"/>
      <c r="B83" s="492"/>
      <c r="C83" s="736" t="s">
        <v>133</v>
      </c>
      <c r="D83" s="460" t="s">
        <v>1106</v>
      </c>
      <c r="E83" s="578" t="s">
        <v>1066</v>
      </c>
      <c r="F83" s="809" t="str">
        <f>IF(S16=3,"","advies toevoercapaciteit")</f>
        <v>advies toevoercapaciteit</v>
      </c>
      <c r="G83" s="809"/>
      <c r="H83" s="809"/>
      <c r="I83" s="809" t="str">
        <f>IF(S16=1,"kozijnmerk","")</f>
        <v/>
      </c>
      <c r="J83" s="809"/>
      <c r="K83" s="579" t="str">
        <f>IF(S16=1,"roostermaat","")</f>
        <v/>
      </c>
      <c r="L83" s="818" t="str">
        <f>IF(AND(S16=1,S17=1),"benodigde capaciteit","")</f>
        <v/>
      </c>
      <c r="M83" s="818"/>
      <c r="N83" s="579" t="str">
        <f>IF(AND(S16=1,S17=2),"type","")</f>
        <v/>
      </c>
      <c r="O83" s="580"/>
      <c r="P83" s="581" t="str">
        <f>IF(AND(S16=1,S17=2),"maximale roostercapaciteit","")</f>
        <v/>
      </c>
      <c r="Q83" s="582"/>
      <c r="R83" s="582"/>
      <c r="S83" s="583"/>
      <c r="T83" s="532"/>
      <c r="U83" s="507"/>
      <c r="V83" s="508"/>
      <c r="W83" s="508"/>
      <c r="X83" s="508"/>
      <c r="Y83" s="508"/>
      <c r="Z83" s="508"/>
      <c r="AA83" s="508"/>
      <c r="AB83" s="508"/>
      <c r="AC83" s="534"/>
      <c r="AD83" s="508"/>
      <c r="AE83" s="508"/>
      <c r="AF83" s="508"/>
    </row>
    <row r="84" spans="1:38" s="541" customFormat="1" ht="12" customHeight="1">
      <c r="B84" s="515"/>
      <c r="C84" s="464" t="str">
        <f>L28</f>
        <v>woonkamer / eetkamer</v>
      </c>
      <c r="D84" s="733">
        <f>IF(F84="intern","",SUMPRODUCT(($AE$1:$AE$28098)*($L$1:$L$28098=C84)))</f>
        <v>28.45</v>
      </c>
      <c r="E84" s="566">
        <f>IF(F84="intern","",IF(D84=0,0,(IF(verzamelblad!$K$7*D84&gt;verzamelblad!$P$7,CEILING(verzamelblad!$K$7*D84,0.1),verzamelblad!$P$7))))</f>
        <v>20</v>
      </c>
      <c r="F84" s="584" t="str">
        <f>IF($S$16=1,"NT","MT")</f>
        <v>MT</v>
      </c>
      <c r="G84" s="731" t="s">
        <v>140</v>
      </c>
      <c r="H84" s="565">
        <v>21</v>
      </c>
      <c r="I84" s="811" t="s">
        <v>251</v>
      </c>
      <c r="J84" s="811"/>
      <c r="K84" s="585">
        <v>0</v>
      </c>
      <c r="L84" s="819" t="str">
        <f>IF(AND(S$16=1,S$17=2),"",IF(S$16=2,"",IF(K84=0,"",H84/(K84/1000))))</f>
        <v/>
      </c>
      <c r="M84" s="819"/>
      <c r="N84" s="816" t="s">
        <v>268</v>
      </c>
      <c r="O84" s="816"/>
      <c r="P84" s="586" t="str">
        <f>IF(K84=0,"-",INDEX('data roosters'!F:J,MATCH(N84,'data roosters'!F:F,0),2)*(K84/1000))</f>
        <v>-</v>
      </c>
      <c r="Q84" s="525" t="str">
        <f>IF(AND($S$16=1,$S$17=2),IF(OR(E84&lt;&gt;0,H84&lt;&gt;0,P84&lt;&gt;"-"),"","verbergen"),IF(OR(E84&lt;&gt;0,H84&lt;&gt;0),"","verbergen"))</f>
        <v/>
      </c>
      <c r="R84" s="587"/>
      <c r="S84" s="529"/>
      <c r="T84" s="516"/>
      <c r="U84" s="516"/>
      <c r="V84" s="507">
        <v>1</v>
      </c>
      <c r="W84" s="516"/>
      <c r="X84" s="516"/>
      <c r="Y84" s="516"/>
      <c r="Z84" s="516"/>
      <c r="AB84" s="516"/>
      <c r="AC84" s="516"/>
      <c r="AD84" s="516"/>
      <c r="AE84" s="516"/>
      <c r="AF84" s="515" t="str">
        <f>IF(E84&gt;0,"x","")</f>
        <v>x</v>
      </c>
      <c r="AG84" s="516"/>
      <c r="AH84" s="516"/>
    </row>
    <row r="85" spans="1:38" s="541" customFormat="1" ht="12" customHeight="1">
      <c r="B85" s="515"/>
      <c r="C85" s="464" t="str">
        <f>L28</f>
        <v>woonkamer / eetkamer</v>
      </c>
      <c r="D85" s="733" t="str">
        <f>IF(F85="intern","",SUMPRODUCT(($AE$1:$AE$28098)*($L$1:$L$28098=C85)))</f>
        <v/>
      </c>
      <c r="E85" s="566" t="str">
        <f>IF(F85="intern","",IF(D85=0,0,(IF(verzamelblad!$K$7*D85&gt;verzamelblad!$P$7,CEILING(verzamelblad!$K$7*D85,0.1),verzamelblad!$P$7))))</f>
        <v/>
      </c>
      <c r="F85" s="584" t="s">
        <v>725</v>
      </c>
      <c r="G85" s="731" t="s">
        <v>1158</v>
      </c>
      <c r="H85" s="565">
        <v>7</v>
      </c>
      <c r="I85" s="811" t="s">
        <v>251</v>
      </c>
      <c r="J85" s="811"/>
      <c r="K85" s="585">
        <v>0</v>
      </c>
      <c r="M85" s="564"/>
      <c r="N85" s="816" t="s">
        <v>268</v>
      </c>
      <c r="O85" s="816"/>
      <c r="P85" s="586" t="str">
        <f>IF(K85=0,"-",INDEX('data roosters'!F:J,MATCH(N85,'data roosters'!F:F,0),2)*(K85/1000))</f>
        <v>-</v>
      </c>
      <c r="Q85" s="525" t="str">
        <f t="shared" ref="Q85:Q88" si="12">IF(AND($S$16=1,$S$17=2),IF(OR(E85&lt;&gt;0,H85&lt;&gt;0,P85&lt;&gt;"-"),"","verbergen"),IF(OR(E85&lt;&gt;0,H85&lt;&gt;0),"","verbergen"))</f>
        <v/>
      </c>
      <c r="R85" s="588"/>
      <c r="S85" s="529"/>
      <c r="T85" s="516"/>
      <c r="U85" s="516"/>
      <c r="V85" s="507">
        <v>1</v>
      </c>
      <c r="W85" s="516"/>
      <c r="X85" s="516"/>
      <c r="Y85" s="516"/>
      <c r="Z85" s="516"/>
      <c r="AB85" s="516"/>
      <c r="AC85" s="516"/>
      <c r="AD85" s="516"/>
      <c r="AE85" s="516"/>
      <c r="AF85" s="515" t="str">
        <f>IF(E85&gt;0,"x","")</f>
        <v>x</v>
      </c>
      <c r="AG85" s="516"/>
      <c r="AH85" s="516"/>
      <c r="AJ85" s="815"/>
      <c r="AK85" s="815"/>
      <c r="AL85" s="815"/>
    </row>
    <row r="86" spans="1:38" s="541" customFormat="1" ht="12" hidden="1" customHeight="1">
      <c r="B86" s="515"/>
      <c r="C86" s="464" t="s">
        <v>252</v>
      </c>
      <c r="D86" s="733">
        <f>IF(F86="intern","",SUMPRODUCT(($AE$1:$AE$28098)*($L$1:$L$28098=C86)))</f>
        <v>0</v>
      </c>
      <c r="E86" s="566">
        <f>IF(F86="intern","",IF(D86=0,0,(IF(verzamelblad!$K$7*D86&gt;verzamelblad!$P$7,CEILING(verzamelblad!$K$7*D86,0.1),verzamelblad!$P$7))))</f>
        <v>0</v>
      </c>
      <c r="F86" s="584" t="str">
        <f>IF($S$16=1,"NT","MT")</f>
        <v>MT</v>
      </c>
      <c r="G86" s="731" t="s">
        <v>140</v>
      </c>
      <c r="H86" s="565">
        <v>0</v>
      </c>
      <c r="I86" s="811" t="s">
        <v>251</v>
      </c>
      <c r="J86" s="811"/>
      <c r="K86" s="585">
        <v>0</v>
      </c>
      <c r="L86" s="564" t="str">
        <f>IF(AND(S$16=1,S$17=2),"",IF(S$16=2,"",IF(K86=0,"",H86/(K86/1000))))</f>
        <v/>
      </c>
      <c r="M86" s="564"/>
      <c r="N86" s="816" t="s">
        <v>268</v>
      </c>
      <c r="O86" s="816"/>
      <c r="P86" s="586" t="str">
        <f>IF(K86=0,"-",INDEX('data roosters'!F:J,MATCH(N86,'data roosters'!F:F,0),2)*(K86/1000))</f>
        <v>-</v>
      </c>
      <c r="Q86" s="525" t="str">
        <f t="shared" si="12"/>
        <v>verbergen</v>
      </c>
      <c r="R86" s="589"/>
      <c r="S86" s="529"/>
      <c r="T86" s="516"/>
      <c r="U86" s="516"/>
      <c r="V86" s="507">
        <v>1</v>
      </c>
      <c r="W86" s="516"/>
      <c r="X86" s="516"/>
      <c r="Y86" s="516"/>
      <c r="Z86" s="516"/>
      <c r="AB86" s="516"/>
      <c r="AC86" s="516"/>
      <c r="AD86" s="516"/>
      <c r="AE86" s="516"/>
      <c r="AF86" s="515" t="str">
        <f>IF(E86&gt;0,"x","")</f>
        <v/>
      </c>
      <c r="AG86" s="516"/>
      <c r="AH86" s="516"/>
      <c r="AJ86" s="815"/>
      <c r="AK86" s="815"/>
      <c r="AL86" s="815"/>
    </row>
    <row r="87" spans="1:38" s="541" customFormat="1" ht="12" hidden="1" customHeight="1">
      <c r="B87" s="515"/>
      <c r="C87" s="464" t="s">
        <v>252</v>
      </c>
      <c r="D87" s="733">
        <f>IF(F87="intern","",SUMPRODUCT(($AE$1:$AE$28098)*($L$1:$L$28098=C87)))</f>
        <v>0</v>
      </c>
      <c r="E87" s="566">
        <f>IF(F87="intern","",IF(D87=0,0,(IF(verzamelblad!$K$7*D87&gt;verzamelblad!$P$7,CEILING(verzamelblad!$K$7*D87,0.1),verzamelblad!$P$7))))</f>
        <v>0</v>
      </c>
      <c r="F87" s="584" t="str">
        <f>IF($S$16=1,"NT","MT")</f>
        <v>MT</v>
      </c>
      <c r="G87" s="731" t="s">
        <v>140</v>
      </c>
      <c r="H87" s="565">
        <v>0</v>
      </c>
      <c r="I87" s="811" t="s">
        <v>251</v>
      </c>
      <c r="J87" s="811"/>
      <c r="K87" s="585">
        <v>0</v>
      </c>
      <c r="L87" s="564" t="str">
        <f>IF(AND(S$16=1,S$17=2),"",IF(S$16=2,"",IF(K87=0,"",H87/(K87/1000))))</f>
        <v/>
      </c>
      <c r="M87" s="564"/>
      <c r="N87" s="816" t="s">
        <v>268</v>
      </c>
      <c r="O87" s="816"/>
      <c r="P87" s="586" t="str">
        <f>IF(K87=0,"-",INDEX('data roosters'!F:J,MATCH(N87,'data roosters'!F:F,0),2)*(K87/1000))</f>
        <v>-</v>
      </c>
      <c r="Q87" s="525" t="str">
        <f t="shared" si="12"/>
        <v>verbergen</v>
      </c>
      <c r="R87" s="589"/>
      <c r="S87" s="529"/>
      <c r="T87" s="516"/>
      <c r="U87" s="516"/>
      <c r="V87" s="507">
        <v>1</v>
      </c>
      <c r="W87" s="516"/>
      <c r="X87" s="516"/>
      <c r="Y87" s="516"/>
      <c r="Z87" s="516"/>
      <c r="AB87" s="516"/>
      <c r="AC87" s="516"/>
      <c r="AD87" s="516"/>
      <c r="AE87" s="516"/>
      <c r="AF87" s="515" t="str">
        <f>IF(E87&gt;0,"x","")</f>
        <v/>
      </c>
      <c r="AG87" s="516"/>
      <c r="AH87" s="516"/>
      <c r="AJ87" s="815"/>
      <c r="AK87" s="815"/>
      <c r="AL87" s="815"/>
    </row>
    <row r="88" spans="1:38" s="541" customFormat="1" ht="12" hidden="1" customHeight="1">
      <c r="B88" s="515"/>
      <c r="C88" s="464" t="s">
        <v>252</v>
      </c>
      <c r="D88" s="733">
        <f>IF(F88="intern","",SUMPRODUCT(($AE$1:$AE$28098)*($L$1:$L$28098=C88)))</f>
        <v>0</v>
      </c>
      <c r="E88" s="566">
        <f>IF(F88="intern","",IF(D88=0,0,(IF(verzamelblad!$K$7*D88&gt;verzamelblad!$P$7,CEILING(verzamelblad!$K$7*D88,0.1),verzamelblad!$P$7))))</f>
        <v>0</v>
      </c>
      <c r="F88" s="584" t="str">
        <f>IF($S$16=1,"NT","MT")</f>
        <v>MT</v>
      </c>
      <c r="G88" s="731" t="s">
        <v>140</v>
      </c>
      <c r="H88" s="565">
        <v>0</v>
      </c>
      <c r="I88" s="811" t="s">
        <v>251</v>
      </c>
      <c r="J88" s="811"/>
      <c r="K88" s="585">
        <v>0</v>
      </c>
      <c r="L88" s="564"/>
      <c r="M88" s="564"/>
      <c r="N88" s="816" t="s">
        <v>268</v>
      </c>
      <c r="O88" s="816"/>
      <c r="P88" s="586" t="str">
        <f>IF(K88=0,"-",INDEX('data roosters'!F:J,MATCH(N88,'data roosters'!F:F,0),2)*(K88/1000))</f>
        <v>-</v>
      </c>
      <c r="Q88" s="525" t="str">
        <f t="shared" si="12"/>
        <v>verbergen</v>
      </c>
      <c r="R88" s="589"/>
      <c r="S88" s="529"/>
      <c r="T88" s="516"/>
      <c r="U88" s="516"/>
      <c r="V88" s="507">
        <v>1</v>
      </c>
      <c r="W88" s="516"/>
      <c r="X88" s="516"/>
      <c r="Y88" s="516"/>
      <c r="Z88" s="516"/>
      <c r="AB88" s="516"/>
      <c r="AC88" s="516"/>
      <c r="AD88" s="516"/>
      <c r="AE88" s="516"/>
      <c r="AF88" s="515" t="str">
        <f>IF(E88&gt;0,"x","")</f>
        <v/>
      </c>
      <c r="AG88" s="516"/>
      <c r="AH88" s="516"/>
      <c r="AJ88" s="815"/>
      <c r="AK88" s="815"/>
      <c r="AL88" s="815"/>
    </row>
    <row r="89" spans="1:38" s="541" customFormat="1" ht="12" customHeight="1">
      <c r="B89" s="590">
        <v>1</v>
      </c>
      <c r="C89" s="480">
        <f>B89</f>
        <v>1</v>
      </c>
      <c r="D89" s="481">
        <f>SUMPRODUCT(($AD$1:$AD$50054)*($AC$1:$AC$50054=B89))</f>
        <v>28.45</v>
      </c>
      <c r="E89" s="591">
        <f>IF(D89=0,0,(IF(verzamelblad!$E$7*D89&gt;verzamelblad!$J$7,CEILING(verzamelblad!$E$7*D89,0.1),verzamelblad!$J$7)))</f>
        <v>25.700000000000003</v>
      </c>
      <c r="F89" s="820" t="str">
        <f>IF(SUM(H84:H88)&lt;E89,"voldoet niet op VG-niveau","totaal: "&amp;SUM(H84:H88) &amp; " dm³/s ")</f>
        <v xml:space="preserve">totaal: 28 dm³/s </v>
      </c>
      <c r="G89" s="820"/>
      <c r="H89" s="820"/>
      <c r="I89" s="592"/>
      <c r="J89" s="593"/>
      <c r="K89" s="594"/>
      <c r="L89" s="595"/>
      <c r="M89" s="821"/>
      <c r="N89" s="821"/>
      <c r="O89" s="596"/>
      <c r="P89" s="597"/>
      <c r="Q89" s="459"/>
      <c r="R89" s="589"/>
      <c r="S89" s="529"/>
      <c r="T89" s="516"/>
      <c r="U89" s="516"/>
      <c r="V89" s="547">
        <v>1</v>
      </c>
      <c r="W89" s="516"/>
      <c r="X89" s="516"/>
      <c r="Y89" s="516"/>
      <c r="Z89" s="516"/>
      <c r="AB89" s="516"/>
      <c r="AC89" s="516"/>
      <c r="AD89" s="516"/>
      <c r="AE89" s="516"/>
      <c r="AF89" s="515" t="str">
        <f>IF(B89&gt;0,"ja")</f>
        <v>ja</v>
      </c>
      <c r="AG89" s="516"/>
      <c r="AH89" s="516"/>
    </row>
    <row r="90" spans="1:38" s="541" customFormat="1" ht="12" customHeight="1">
      <c r="B90" s="515"/>
      <c r="C90" s="598"/>
      <c r="D90" s="422"/>
      <c r="E90" s="422"/>
      <c r="F90" s="422"/>
      <c r="G90" s="422"/>
      <c r="H90" s="599"/>
      <c r="I90" s="599"/>
      <c r="J90" s="530"/>
      <c r="K90" s="600"/>
      <c r="L90" s="600"/>
      <c r="M90" s="600"/>
      <c r="N90" s="600"/>
      <c r="O90" s="600"/>
      <c r="P90" s="600"/>
      <c r="Q90" s="459"/>
      <c r="R90" s="589"/>
      <c r="S90" s="529"/>
      <c r="T90" s="516"/>
      <c r="U90" s="516"/>
      <c r="V90" s="507">
        <v>1</v>
      </c>
      <c r="W90" s="516"/>
      <c r="X90" s="516"/>
      <c r="Y90" s="516"/>
      <c r="Z90" s="516"/>
      <c r="AB90" s="516"/>
      <c r="AC90" s="516"/>
      <c r="AD90" s="516"/>
      <c r="AE90" s="516"/>
      <c r="AF90" s="515"/>
      <c r="AG90" s="516"/>
      <c r="AH90" s="516"/>
    </row>
    <row r="91" spans="1:38" s="541" customFormat="1" ht="12" customHeight="1">
      <c r="A91" s="404"/>
      <c r="B91" s="543"/>
      <c r="C91" s="464" t="str">
        <f>L29</f>
        <v>keuken</v>
      </c>
      <c r="D91" s="733">
        <f>IF(F91="intern","",SUMPRODUCT(($AE$1:$AE$28098)*($L$1:$L$28098=C91)))</f>
        <v>15.1</v>
      </c>
      <c r="E91" s="566">
        <f>IF(F91="intern","",IF(D91=0,0,(IF(verzamelblad!$K$7*D91&gt;verzamelblad!$P$7,CEILING(verzamelblad!$K$7*D91,0.1),verzamelblad!$P$7))))</f>
        <v>10.600000000000001</v>
      </c>
      <c r="F91" s="584" t="str">
        <f>IF($S$16=1,"NT","MT")</f>
        <v>MT</v>
      </c>
      <c r="G91" s="731" t="s">
        <v>140</v>
      </c>
      <c r="H91" s="565">
        <v>7</v>
      </c>
      <c r="I91" s="811" t="s">
        <v>251</v>
      </c>
      <c r="J91" s="811"/>
      <c r="K91" s="585">
        <v>0</v>
      </c>
      <c r="L91" s="819" t="str">
        <f>IF(AND(S$16=1,S$17=2),"",IF(S$16=2,"",IF(K91=0,"",H91/(K91/1000))))</f>
        <v/>
      </c>
      <c r="M91" s="819"/>
      <c r="N91" s="816" t="s">
        <v>268</v>
      </c>
      <c r="O91" s="816"/>
      <c r="P91" s="586" t="str">
        <f>IF(K91=0,"-",INDEX('data roosters'!F:J,MATCH(N91,'data roosters'!F:F,0),2)*(K91/1000))</f>
        <v>-</v>
      </c>
      <c r="Q91" s="729" t="str">
        <f>IF(AND($S$16=1,$S$17=2),IF(OR(E91&lt;&gt;0,H91&lt;&gt;0,P91&lt;&gt;"-"),"","verbergen"),IF(OR(E91&lt;&gt;0,H91&lt;&gt;0),"","verbergen"))</f>
        <v/>
      </c>
      <c r="R91" s="601"/>
      <c r="S91" s="602"/>
      <c r="T91" s="392"/>
      <c r="U91" s="392"/>
      <c r="V91" s="547">
        <f>V90+1</f>
        <v>2</v>
      </c>
      <c r="W91" s="392"/>
      <c r="X91" s="392"/>
      <c r="Y91" s="392"/>
      <c r="Z91" s="392"/>
      <c r="AA91" s="404"/>
      <c r="AB91" s="516"/>
      <c r="AC91" s="516"/>
      <c r="AD91" s="516"/>
      <c r="AE91" s="516"/>
      <c r="AF91" s="515" t="str">
        <f>IF(E91&gt;0,"x","")</f>
        <v>x</v>
      </c>
      <c r="AG91" s="516"/>
      <c r="AH91" s="516"/>
    </row>
    <row r="92" spans="1:38" s="541" customFormat="1" ht="12" customHeight="1">
      <c r="A92" s="404"/>
      <c r="B92" s="543"/>
      <c r="C92" s="464" t="str">
        <f>L29</f>
        <v>keuken</v>
      </c>
      <c r="D92" s="733" t="str">
        <f>IF(F92="intern","",SUMPRODUCT(($AE$1:$AE$28066)*($L$1:$L$28066=C92)))</f>
        <v/>
      </c>
      <c r="E92" s="566" t="str">
        <f>IF(F92="intern","",IF(D92=0,0,(IF(verzamelblad!$K$7*D92&gt;verzamelblad!$P$7,CEILING(verzamelblad!$K$7*D92,0.1),verzamelblad!$P$7))))</f>
        <v/>
      </c>
      <c r="F92" s="584" t="s">
        <v>725</v>
      </c>
      <c r="G92" s="731" t="s">
        <v>1158</v>
      </c>
      <c r="H92" s="565">
        <v>7</v>
      </c>
      <c r="I92" s="811" t="s">
        <v>251</v>
      </c>
      <c r="J92" s="811"/>
      <c r="K92" s="585">
        <v>0</v>
      </c>
      <c r="L92" s="819" t="str">
        <f>IF(AND(S$16=1,S$17=2),"",IF(S$16=2,"",IF(K92=0,"",H92/(K92/1000))))</f>
        <v/>
      </c>
      <c r="M92" s="819"/>
      <c r="N92" s="816" t="s">
        <v>268</v>
      </c>
      <c r="O92" s="816"/>
      <c r="P92" s="586" t="str">
        <f>IF(K92=0,"-",INDEX('data roosters'!F:J,MATCH(N92,'data roosters'!F:F,0),2)*(K92/1000))</f>
        <v>-</v>
      </c>
      <c r="Q92" s="729" t="str">
        <f t="shared" ref="Q92:Q95" si="13">IF(AND($S$16=1,$S$17=2),IF(OR(E92&lt;&gt;0,H92&lt;&gt;0,P92&lt;&gt;"-"),"","verbergen"),IF(OR(E92&lt;&gt;0,H92&lt;&gt;0),"","verbergen"))</f>
        <v/>
      </c>
      <c r="R92" s="418"/>
      <c r="S92" s="602"/>
      <c r="T92" s="392"/>
      <c r="U92" s="392"/>
      <c r="V92" s="547">
        <f t="shared" ref="V92:V97" si="14">V91</f>
        <v>2</v>
      </c>
      <c r="W92" s="392"/>
      <c r="X92" s="392"/>
      <c r="Y92" s="392"/>
      <c r="Z92" s="392"/>
      <c r="AA92" s="404"/>
      <c r="AB92" s="516"/>
      <c r="AC92" s="516"/>
      <c r="AD92" s="516"/>
      <c r="AE92" s="516"/>
      <c r="AF92" s="515" t="str">
        <f>IF(E92&gt;0,"x","")</f>
        <v>x</v>
      </c>
      <c r="AG92" s="516"/>
      <c r="AH92" s="516"/>
    </row>
    <row r="93" spans="1:38" s="541" customFormat="1" ht="12" customHeight="1">
      <c r="A93" s="404"/>
      <c r="B93" s="543"/>
      <c r="C93" s="464" t="str">
        <f>L30</f>
        <v>bijkeuken</v>
      </c>
      <c r="D93" s="733">
        <f>IF(F93="intern","",SUMPRODUCT(($AE$1:$AE$28098)*($L$1:$L$28098=C93)))</f>
        <v>5.96</v>
      </c>
      <c r="E93" s="566">
        <f>IF(F93="intern","",IF(D93=0,0,(IF(verzamelblad!$K$7*D93&gt;verzamelblad!$P$7,CEILING(verzamelblad!$K$7*D93,0.1),verzamelblad!$P$7))))</f>
        <v>7</v>
      </c>
      <c r="F93" s="584" t="str">
        <f>IF($S$16=1,"NT","MT")</f>
        <v>MT</v>
      </c>
      <c r="G93" s="731" t="s">
        <v>140</v>
      </c>
      <c r="H93" s="565">
        <v>7</v>
      </c>
      <c r="I93" s="811" t="s">
        <v>251</v>
      </c>
      <c r="J93" s="811"/>
      <c r="K93" s="585">
        <v>0</v>
      </c>
      <c r="L93" s="819" t="str">
        <f>IF(AND(S$16=1,S$17=2),"",IF(S$16=2,"",IF(K93=0,"",H93/(K93/1000))))</f>
        <v/>
      </c>
      <c r="M93" s="819"/>
      <c r="N93" s="816" t="s">
        <v>268</v>
      </c>
      <c r="O93" s="816"/>
      <c r="P93" s="586" t="str">
        <f>IF(K93=0,"-",INDEX('data roosters'!F:J,MATCH(N93,'data roosters'!F:F,0),2)*(K93/1000))</f>
        <v>-</v>
      </c>
      <c r="Q93" s="729" t="str">
        <f t="shared" si="13"/>
        <v/>
      </c>
      <c r="R93" s="603"/>
      <c r="S93" s="602"/>
      <c r="T93" s="392"/>
      <c r="U93" s="392"/>
      <c r="V93" s="547">
        <f t="shared" si="14"/>
        <v>2</v>
      </c>
      <c r="W93" s="392"/>
      <c r="X93" s="392"/>
      <c r="Y93" s="392"/>
      <c r="Z93" s="392"/>
      <c r="AA93" s="404"/>
      <c r="AB93" s="516"/>
      <c r="AC93" s="516"/>
      <c r="AD93" s="516"/>
      <c r="AE93" s="516"/>
      <c r="AF93" s="515" t="str">
        <f>IF(E93&gt;0,"x","")</f>
        <v>x</v>
      </c>
      <c r="AG93" s="516"/>
      <c r="AH93" s="516"/>
    </row>
    <row r="94" spans="1:38" s="541" customFormat="1" ht="12" hidden="1" customHeight="1">
      <c r="A94" s="404"/>
      <c r="B94" s="543"/>
      <c r="C94" s="464" t="s">
        <v>252</v>
      </c>
      <c r="D94" s="733">
        <f>IF(F94="intern","",SUMPRODUCT(($AE$1:$AE$28066)*($L$1:$L$28066=C94)))</f>
        <v>0</v>
      </c>
      <c r="E94" s="566">
        <f>IF(F94="intern","",IF(D94=0,0,(IF(verzamelblad!$K$7*D94&gt;verzamelblad!$P$7,CEILING(verzamelblad!$K$7*D94,0.1),verzamelblad!$P$7))))</f>
        <v>0</v>
      </c>
      <c r="F94" s="584" t="str">
        <f>IF($S$16=1,"NT","MT")</f>
        <v>MT</v>
      </c>
      <c r="G94" s="731" t="s">
        <v>140</v>
      </c>
      <c r="H94" s="565">
        <v>0</v>
      </c>
      <c r="I94" s="811" t="s">
        <v>251</v>
      </c>
      <c r="J94" s="811"/>
      <c r="K94" s="585">
        <v>0</v>
      </c>
      <c r="L94" s="819" t="str">
        <f>IF(AND(S$16=1,S$17=2),"",IF(S$16=2,"",IF(K94=0,"",H94/(K94/1000))))</f>
        <v/>
      </c>
      <c r="M94" s="819"/>
      <c r="N94" s="816" t="s">
        <v>268</v>
      </c>
      <c r="O94" s="816"/>
      <c r="P94" s="586" t="str">
        <f>IF(K94=0,"-",INDEX('data roosters'!F:J,MATCH(N94,'data roosters'!F:F,0),2)*(K94/1000))</f>
        <v>-</v>
      </c>
      <c r="Q94" s="729" t="str">
        <f t="shared" si="13"/>
        <v>verbergen</v>
      </c>
      <c r="R94" s="603"/>
      <c r="S94" s="602"/>
      <c r="T94" s="392"/>
      <c r="U94" s="392"/>
      <c r="V94" s="547">
        <f t="shared" si="14"/>
        <v>2</v>
      </c>
      <c r="W94" s="392"/>
      <c r="X94" s="392"/>
      <c r="Y94" s="392"/>
      <c r="Z94" s="392"/>
      <c r="AA94" s="404"/>
      <c r="AB94" s="516"/>
      <c r="AC94" s="516"/>
      <c r="AD94" s="516"/>
      <c r="AE94" s="516"/>
      <c r="AF94" s="515" t="str">
        <f>IF(E94&gt;0,"x","")</f>
        <v/>
      </c>
      <c r="AG94" s="516"/>
      <c r="AH94" s="516"/>
    </row>
    <row r="95" spans="1:38" s="541" customFormat="1" ht="12" hidden="1" customHeight="1">
      <c r="A95" s="404"/>
      <c r="B95" s="543"/>
      <c r="C95" s="464" t="s">
        <v>252</v>
      </c>
      <c r="D95" s="737">
        <f>IF(F95="intern","",SUMPRODUCT(($AE$1:$AE$28066)*($L$1:$L$28066=C95)))</f>
        <v>0</v>
      </c>
      <c r="E95" s="604">
        <f>IF(F95="intern","",IF(D95=0,0,(IF(verzamelblad!$K$7*D95&gt;verzamelblad!$P$7,CEILING(verzamelblad!$K$7*D95,0.1),verzamelblad!$P$7))))</f>
        <v>0</v>
      </c>
      <c r="F95" s="605" t="str">
        <f>IF($S$16=1,"NT","MT")</f>
        <v>MT</v>
      </c>
      <c r="G95" s="606" t="s">
        <v>140</v>
      </c>
      <c r="H95" s="607">
        <v>0</v>
      </c>
      <c r="I95" s="812" t="s">
        <v>251</v>
      </c>
      <c r="J95" s="812"/>
      <c r="K95" s="608">
        <v>0</v>
      </c>
      <c r="L95" s="822" t="str">
        <f>IF(AND(S$16=1,S$17=2),"",IF(S$16=2,"",IF(K95=0,"",H95/(K95/1000))))</f>
        <v/>
      </c>
      <c r="M95" s="822"/>
      <c r="N95" s="823" t="s">
        <v>268</v>
      </c>
      <c r="O95" s="823"/>
      <c r="P95" s="609" t="str">
        <f>IF(K95=0,"-",INDEX('data roosters'!F:J,MATCH(N95,'data roosters'!F:F,0),2)*(K95/1000))</f>
        <v>-</v>
      </c>
      <c r="Q95" s="729" t="str">
        <f t="shared" si="13"/>
        <v>verbergen</v>
      </c>
      <c r="R95" s="603"/>
      <c r="S95" s="602"/>
      <c r="T95" s="392"/>
      <c r="U95" s="392"/>
      <c r="V95" s="547">
        <f t="shared" si="14"/>
        <v>2</v>
      </c>
      <c r="W95" s="392"/>
      <c r="X95" s="392"/>
      <c r="Y95" s="392"/>
      <c r="Z95" s="392"/>
      <c r="AA95" s="404"/>
      <c r="AB95" s="516"/>
      <c r="AC95" s="516"/>
      <c r="AD95" s="516"/>
      <c r="AE95" s="516"/>
      <c r="AF95" s="515" t="str">
        <f>IF(E95&gt;0,"x","")</f>
        <v/>
      </c>
      <c r="AG95" s="516"/>
      <c r="AH95" s="516"/>
    </row>
    <row r="96" spans="1:38" s="541" customFormat="1" ht="12" customHeight="1">
      <c r="A96" s="404"/>
      <c r="B96" s="556">
        <f>B89+1</f>
        <v>2</v>
      </c>
      <c r="C96" s="480">
        <f>B96</f>
        <v>2</v>
      </c>
      <c r="D96" s="481">
        <f>SUMPRODUCT(($AD$1:$AD$50108)*($AC$1:$AC$50108=B96))</f>
        <v>22.4</v>
      </c>
      <c r="E96" s="591">
        <f>IF(D96=0,0,(IF(verzamelblad!$E$7*D96&gt;verzamelblad!$J$7,CEILING(verzamelblad!$E$7*D96,0.1),verzamelblad!$J$7)))</f>
        <v>20.200000000000003</v>
      </c>
      <c r="F96" s="824" t="str">
        <f>IF(SUM(H91:H95)&lt;E96,"voldoet niet op VG-niveau","totaal: "&amp;SUM(H91:H95) &amp; " dm³/s ")</f>
        <v xml:space="preserve">totaal: 21 dm³/s </v>
      </c>
      <c r="G96" s="824"/>
      <c r="H96" s="824"/>
      <c r="I96" s="592"/>
      <c r="J96" s="593"/>
      <c r="K96" s="594"/>
      <c r="L96" s="595"/>
      <c r="M96" s="821"/>
      <c r="N96" s="821"/>
      <c r="O96" s="596"/>
      <c r="P96" s="597"/>
      <c r="Q96" s="403"/>
      <c r="R96" s="603"/>
      <c r="S96" s="602"/>
      <c r="T96" s="392"/>
      <c r="U96" s="392"/>
      <c r="V96" s="547">
        <f t="shared" si="14"/>
        <v>2</v>
      </c>
      <c r="W96" s="392"/>
      <c r="X96" s="392"/>
      <c r="Y96" s="392"/>
      <c r="Z96" s="392"/>
      <c r="AA96" s="404"/>
      <c r="AB96" s="516"/>
      <c r="AC96" s="516"/>
      <c r="AD96" s="516"/>
      <c r="AE96" s="516"/>
      <c r="AF96" s="515" t="str">
        <f>IF(B96&gt;0,"ja")</f>
        <v>ja</v>
      </c>
      <c r="AG96" s="516"/>
      <c r="AH96" s="516"/>
    </row>
    <row r="97" spans="1:34" s="541" customFormat="1" ht="12" customHeight="1">
      <c r="A97" s="543"/>
      <c r="B97" s="543"/>
      <c r="C97" s="598"/>
      <c r="D97" s="422"/>
      <c r="E97" s="422"/>
      <c r="F97" s="422"/>
      <c r="G97" s="422"/>
      <c r="H97" s="599"/>
      <c r="I97" s="599"/>
      <c r="J97" s="530"/>
      <c r="K97" s="600"/>
      <c r="L97" s="600"/>
      <c r="M97" s="600"/>
      <c r="N97" s="600"/>
      <c r="O97" s="600"/>
      <c r="P97" s="600"/>
      <c r="Q97" s="403"/>
      <c r="R97" s="603"/>
      <c r="S97" s="602"/>
      <c r="T97" s="392"/>
      <c r="U97" s="392"/>
      <c r="V97" s="547">
        <f t="shared" si="14"/>
        <v>2</v>
      </c>
      <c r="W97" s="392"/>
      <c r="X97" s="392"/>
      <c r="Y97" s="392"/>
      <c r="Z97" s="392"/>
      <c r="AA97" s="404"/>
      <c r="AB97" s="516"/>
      <c r="AC97" s="516"/>
      <c r="AD97" s="516"/>
      <c r="AE97" s="516"/>
      <c r="AF97" s="516"/>
      <c r="AG97" s="516"/>
      <c r="AH97" s="516"/>
    </row>
    <row r="98" spans="1:34" s="541" customFormat="1" ht="12" customHeight="1">
      <c r="A98" s="404"/>
      <c r="B98" s="543"/>
      <c r="C98" s="464" t="str">
        <f>L31</f>
        <v>slaapkamer 1</v>
      </c>
      <c r="D98" s="733">
        <f>IF(F98="intern","",SUMPRODUCT(($AE$1:$AE$28050)*($L$1:$L$28050=C98)))</f>
        <v>7.57</v>
      </c>
      <c r="E98" s="566">
        <f>IF(F98="intern","",IF(D98=0,0,(IF(verzamelblad!$K$7*D98&gt;verzamelblad!$P$7,CEILING(verzamelblad!$K$7*D98,0.1),verzamelblad!$P$7))))</f>
        <v>7</v>
      </c>
      <c r="F98" s="584" t="str">
        <f>IF($S$16=1,"NT","MT")</f>
        <v>MT</v>
      </c>
      <c r="G98" s="731" t="s">
        <v>140</v>
      </c>
      <c r="H98" s="565">
        <v>14</v>
      </c>
      <c r="I98" s="811" t="s">
        <v>251</v>
      </c>
      <c r="J98" s="811"/>
      <c r="K98" s="585">
        <v>0</v>
      </c>
      <c r="L98" s="819" t="str">
        <f>IF(AND(S$16=1,S$17=2),"",IF(S$16=2,"",IF(K98=0,"",H98/(K98/1000))))</f>
        <v/>
      </c>
      <c r="M98" s="819"/>
      <c r="N98" s="816" t="s">
        <v>268</v>
      </c>
      <c r="O98" s="816"/>
      <c r="P98" s="586" t="str">
        <f>IF(K98=0,"-",INDEX('data roosters'!F:J,MATCH(N98,'data roosters'!F:F,0),2)*(K98/1000))</f>
        <v>-</v>
      </c>
      <c r="Q98" s="729" t="str">
        <f>IF(AND($S$16=1,$S$17=2),IF(OR(E98&lt;&gt;0,H98&lt;&gt;0,P98&lt;&gt;"-"),"","verbergen"),IF(OR(E98&lt;&gt;0,H98&lt;&gt;0),"","verbergen"))</f>
        <v/>
      </c>
      <c r="R98" s="601"/>
      <c r="S98" s="602"/>
      <c r="T98" s="392"/>
      <c r="U98" s="392"/>
      <c r="V98" s="547">
        <f>V97+1</f>
        <v>3</v>
      </c>
      <c r="W98" s="392"/>
      <c r="X98" s="392"/>
      <c r="Y98" s="392"/>
      <c r="Z98" s="392"/>
      <c r="AA98" s="404"/>
      <c r="AB98" s="516"/>
      <c r="AC98" s="516"/>
      <c r="AD98" s="516"/>
      <c r="AE98" s="516"/>
      <c r="AF98" s="515" t="str">
        <f>IF(E98&gt;0,"x","")</f>
        <v>x</v>
      </c>
      <c r="AG98" s="516"/>
      <c r="AH98" s="516"/>
    </row>
    <row r="99" spans="1:34" s="541" customFormat="1" ht="12" customHeight="1">
      <c r="A99" s="404"/>
      <c r="B99" s="543"/>
      <c r="C99" s="464" t="str">
        <f t="shared" ref="C99:C100" si="15">L32</f>
        <v>slaapkamer 2</v>
      </c>
      <c r="D99" s="733">
        <f>IF(F99="intern","",SUMPRODUCT(($AE$1:$AE$28050)*($L$1:$L$28050=C99)))</f>
        <v>7.47</v>
      </c>
      <c r="E99" s="566">
        <f>IF(F99="intern","",IF(D99=0,0,(IF(verzamelblad!$K$7*D99&gt;verzamelblad!$P$7,CEILING(verzamelblad!$K$7*D99,0.1),verzamelblad!$P$7))))</f>
        <v>7</v>
      </c>
      <c r="F99" s="584" t="str">
        <f>IF($S$16=1,"NT","MT")</f>
        <v>MT</v>
      </c>
      <c r="G99" s="731" t="s">
        <v>140</v>
      </c>
      <c r="H99" s="565">
        <v>14</v>
      </c>
      <c r="I99" s="811" t="s">
        <v>251</v>
      </c>
      <c r="J99" s="811"/>
      <c r="K99" s="585">
        <v>0</v>
      </c>
      <c r="L99" s="819" t="str">
        <f>IF(AND(S$16=1,S$17=2),"",IF(S$16=2,"",IF(K99=0,"",H99/(K99/1000))))</f>
        <v/>
      </c>
      <c r="M99" s="819"/>
      <c r="N99" s="816" t="s">
        <v>268</v>
      </c>
      <c r="O99" s="816"/>
      <c r="P99" s="586" t="str">
        <f>IF(K99=0,"-",INDEX('data roosters'!F:J,MATCH(N99,'data roosters'!F:F,0),2)*(K99/1000))</f>
        <v>-</v>
      </c>
      <c r="Q99" s="729" t="str">
        <f t="shared" ref="Q99:Q102" si="16">IF(AND($S$16=1,$S$17=2),IF(OR(E99&lt;&gt;0,H99&lt;&gt;0,P99&lt;&gt;"-"),"","verbergen"),IF(OR(E99&lt;&gt;0,H99&lt;&gt;0),"","verbergen"))</f>
        <v/>
      </c>
      <c r="R99" s="418"/>
      <c r="S99" s="602"/>
      <c r="T99" s="392"/>
      <c r="U99" s="392"/>
      <c r="V99" s="547">
        <f t="shared" ref="V99:V104" si="17">V98</f>
        <v>3</v>
      </c>
      <c r="W99" s="392"/>
      <c r="X99" s="392"/>
      <c r="Y99" s="392"/>
      <c r="Z99" s="392"/>
      <c r="AA99" s="404"/>
      <c r="AB99" s="516"/>
      <c r="AC99" s="516"/>
      <c r="AD99" s="516"/>
      <c r="AE99" s="516"/>
      <c r="AF99" s="515" t="str">
        <f>IF(E99&gt;0,"x","")</f>
        <v>x</v>
      </c>
      <c r="AG99" s="516"/>
      <c r="AH99" s="516"/>
    </row>
    <row r="100" spans="1:34" s="541" customFormat="1" ht="12" customHeight="1">
      <c r="A100" s="404"/>
      <c r="B100" s="543"/>
      <c r="C100" s="464" t="str">
        <f t="shared" si="15"/>
        <v>studeerkamer</v>
      </c>
      <c r="D100" s="733">
        <f>IF(F100="intern","",SUMPRODUCT(($AE$1:$AE$28050)*($L$1:$L$28050=C100)))</f>
        <v>3.33</v>
      </c>
      <c r="E100" s="566">
        <f>IF(F100="intern","",IF(D100=0,0,(IF(verzamelblad!$K$7*D100&gt;verzamelblad!$P$7,CEILING(verzamelblad!$K$7*D100,0.1),verzamelblad!$P$7))))</f>
        <v>7</v>
      </c>
      <c r="F100" s="584" t="str">
        <f>IF($S$16=1,"NT","MT")</f>
        <v>MT</v>
      </c>
      <c r="G100" s="731" t="s">
        <v>140</v>
      </c>
      <c r="H100" s="565">
        <v>14</v>
      </c>
      <c r="I100" s="811" t="s">
        <v>251</v>
      </c>
      <c r="J100" s="811"/>
      <c r="K100" s="585">
        <v>0</v>
      </c>
      <c r="L100" s="819" t="str">
        <f>IF(AND(S$16=1,S$17=2),"",IF(S$16=2,"",IF(K100=0,"",H100/(K100/1000))))</f>
        <v/>
      </c>
      <c r="M100" s="819"/>
      <c r="N100" s="816" t="s">
        <v>268</v>
      </c>
      <c r="O100" s="816"/>
      <c r="P100" s="586" t="str">
        <f>IF(K100=0,"-",INDEX('data roosters'!F:J,MATCH(N100,'data roosters'!F:F,0),2)*(K100/1000))</f>
        <v>-</v>
      </c>
      <c r="Q100" s="729" t="str">
        <f t="shared" si="16"/>
        <v/>
      </c>
      <c r="R100" s="603"/>
      <c r="S100" s="602"/>
      <c r="T100" s="392"/>
      <c r="U100" s="392"/>
      <c r="V100" s="547">
        <f t="shared" si="17"/>
        <v>3</v>
      </c>
      <c r="W100" s="392"/>
      <c r="X100" s="392"/>
      <c r="Y100" s="392"/>
      <c r="Z100" s="392"/>
      <c r="AA100" s="404"/>
      <c r="AB100" s="516"/>
      <c r="AC100" s="516"/>
      <c r="AD100" s="516"/>
      <c r="AE100" s="516"/>
      <c r="AF100" s="515" t="str">
        <f>IF(E100&gt;0,"x","")</f>
        <v>x</v>
      </c>
      <c r="AG100" s="516"/>
      <c r="AH100" s="516"/>
    </row>
    <row r="101" spans="1:34" s="541" customFormat="1" ht="12" hidden="1" customHeight="1">
      <c r="A101" s="404"/>
      <c r="B101" s="543"/>
      <c r="C101" s="464" t="s">
        <v>252</v>
      </c>
      <c r="D101" s="733">
        <f>IF(F101="intern","",SUMPRODUCT(($AE$1:$AE$28050)*($L$1:$L$28050=C101)))</f>
        <v>0</v>
      </c>
      <c r="E101" s="566">
        <f>IF(F101="intern","",IF(D101=0,0,(IF(verzamelblad!$K$7*D101&gt;verzamelblad!$P$7,CEILING(verzamelblad!$K$7*D101,0.1),verzamelblad!$P$7))))</f>
        <v>0</v>
      </c>
      <c r="F101" s="584" t="str">
        <f>IF($S$16=1,"NT","MT")</f>
        <v>MT</v>
      </c>
      <c r="G101" s="731" t="s">
        <v>140</v>
      </c>
      <c r="H101" s="565">
        <v>0</v>
      </c>
      <c r="I101" s="811" t="s">
        <v>251</v>
      </c>
      <c r="J101" s="811"/>
      <c r="K101" s="585">
        <v>0</v>
      </c>
      <c r="L101" s="819" t="str">
        <f>IF(AND(S$16=1,S$17=2),"",IF(S$16=2,"",IF(K101=0,"",H101/(K101/1000))))</f>
        <v/>
      </c>
      <c r="M101" s="819"/>
      <c r="N101" s="816" t="s">
        <v>268</v>
      </c>
      <c r="O101" s="816"/>
      <c r="P101" s="586" t="str">
        <f>IF(K101=0,"-",INDEX('data roosters'!F:J,MATCH(N101,'data roosters'!F:F,0),2)*(K101/1000))</f>
        <v>-</v>
      </c>
      <c r="Q101" s="729" t="str">
        <f t="shared" si="16"/>
        <v>verbergen</v>
      </c>
      <c r="R101" s="603"/>
      <c r="S101" s="602"/>
      <c r="T101" s="392"/>
      <c r="U101" s="392"/>
      <c r="V101" s="547">
        <f t="shared" si="17"/>
        <v>3</v>
      </c>
      <c r="W101" s="392"/>
      <c r="X101" s="392"/>
      <c r="Y101" s="392"/>
      <c r="Z101" s="392"/>
      <c r="AA101" s="404"/>
      <c r="AB101" s="516"/>
      <c r="AC101" s="516"/>
      <c r="AD101" s="516"/>
      <c r="AE101" s="516"/>
      <c r="AF101" s="515" t="str">
        <f>IF(E101&gt;0,"x","")</f>
        <v/>
      </c>
      <c r="AG101" s="516"/>
      <c r="AH101" s="516"/>
    </row>
    <row r="102" spans="1:34" s="541" customFormat="1" ht="12" hidden="1" customHeight="1">
      <c r="A102" s="404"/>
      <c r="B102" s="543"/>
      <c r="C102" s="472" t="s">
        <v>252</v>
      </c>
      <c r="D102" s="737">
        <f>IF(F102="intern","",SUMPRODUCT(($AE$1:$AE$28050)*($L$1:$L$28050=C102)))</f>
        <v>0</v>
      </c>
      <c r="E102" s="604">
        <f>IF(F102="intern","",IF(D102=0,0,(IF(verzamelblad!$K$7*D102&gt;verzamelblad!$P$7,CEILING(verzamelblad!$K$7*D102,0.1),verzamelblad!$P$7))))</f>
        <v>0</v>
      </c>
      <c r="F102" s="605" t="str">
        <f>IF($S$16=1,"NT","MT")</f>
        <v>MT</v>
      </c>
      <c r="G102" s="606" t="s">
        <v>140</v>
      </c>
      <c r="H102" s="607">
        <v>0</v>
      </c>
      <c r="I102" s="812" t="s">
        <v>251</v>
      </c>
      <c r="J102" s="812"/>
      <c r="K102" s="608">
        <v>0</v>
      </c>
      <c r="L102" s="822" t="str">
        <f>IF(AND(S$16=1,S$17=2),"",IF(S$16=2,"",IF(K102=0,"",H102/(K102/1000))))</f>
        <v/>
      </c>
      <c r="M102" s="822"/>
      <c r="N102" s="823" t="s">
        <v>268</v>
      </c>
      <c r="O102" s="823"/>
      <c r="P102" s="609" t="str">
        <f>IF(K102=0,"-",INDEX('data roosters'!F:J,MATCH(N102,'data roosters'!F:F,0),2)*(K102/1000))</f>
        <v>-</v>
      </c>
      <c r="Q102" s="729" t="str">
        <f t="shared" si="16"/>
        <v>verbergen</v>
      </c>
      <c r="R102" s="603"/>
      <c r="S102" s="602"/>
      <c r="T102" s="392"/>
      <c r="U102" s="392"/>
      <c r="V102" s="547">
        <f t="shared" si="17"/>
        <v>3</v>
      </c>
      <c r="W102" s="392"/>
      <c r="X102" s="392"/>
      <c r="Y102" s="392"/>
      <c r="Z102" s="392"/>
      <c r="AA102" s="404"/>
      <c r="AB102" s="516"/>
      <c r="AC102" s="516"/>
      <c r="AD102" s="516"/>
      <c r="AE102" s="516"/>
      <c r="AF102" s="515" t="str">
        <f>IF(E102&gt;0,"x","")</f>
        <v/>
      </c>
      <c r="AG102" s="516"/>
      <c r="AH102" s="516"/>
    </row>
    <row r="103" spans="1:34" s="541" customFormat="1" ht="12" customHeight="1">
      <c r="A103" s="404"/>
      <c r="B103" s="556">
        <f>B96+1</f>
        <v>3</v>
      </c>
      <c r="C103" s="480">
        <f>B103</f>
        <v>3</v>
      </c>
      <c r="D103" s="481">
        <f>SUMPRODUCT(($AD$1:$AD$50092)*($AC$1:$AC$50092=B103))</f>
        <v>18.899999999999999</v>
      </c>
      <c r="E103" s="591">
        <f>IF(D103=0,0,(IF(verzamelblad!$E$7*D103&gt;verzamelblad!$J$7,CEILING(verzamelblad!$E$7*D103,0.1),verzamelblad!$J$7)))</f>
        <v>17.100000000000001</v>
      </c>
      <c r="F103" s="824" t="str">
        <f>IF(SUM(H98:H102)&lt;E103,"voldoet niet op VG-niveau","totaal: "&amp;SUM(H98:H102) &amp; " dm³/s ")</f>
        <v xml:space="preserve">totaal: 42 dm³/s </v>
      </c>
      <c r="G103" s="824"/>
      <c r="H103" s="824"/>
      <c r="I103" s="592"/>
      <c r="J103" s="593"/>
      <c r="K103" s="594"/>
      <c r="L103" s="595"/>
      <c r="M103" s="821"/>
      <c r="N103" s="821"/>
      <c r="O103" s="596"/>
      <c r="P103" s="597"/>
      <c r="Q103" s="403"/>
      <c r="R103" s="603"/>
      <c r="S103" s="602"/>
      <c r="T103" s="392"/>
      <c r="U103" s="392"/>
      <c r="V103" s="547">
        <f t="shared" si="17"/>
        <v>3</v>
      </c>
      <c r="W103" s="392"/>
      <c r="X103" s="392"/>
      <c r="Y103" s="392"/>
      <c r="Z103" s="392"/>
      <c r="AA103" s="404"/>
      <c r="AB103" s="516"/>
      <c r="AC103" s="516"/>
      <c r="AD103" s="516"/>
      <c r="AE103" s="516"/>
      <c r="AF103" s="515" t="str">
        <f>IF(B103&gt;0,"ja")</f>
        <v>ja</v>
      </c>
      <c r="AG103" s="516"/>
      <c r="AH103" s="516"/>
    </row>
    <row r="104" spans="1:34" s="541" customFormat="1" ht="12" customHeight="1">
      <c r="A104" s="543"/>
      <c r="B104" s="543"/>
      <c r="C104" s="598"/>
      <c r="D104" s="422"/>
      <c r="E104" s="422"/>
      <c r="F104" s="422"/>
      <c r="G104" s="422"/>
      <c r="H104" s="599"/>
      <c r="I104" s="599"/>
      <c r="J104" s="530"/>
      <c r="K104" s="600"/>
      <c r="L104" s="600"/>
      <c r="M104" s="600"/>
      <c r="N104" s="600"/>
      <c r="O104" s="600"/>
      <c r="P104" s="600"/>
      <c r="Q104" s="403"/>
      <c r="R104" s="603"/>
      <c r="S104" s="602"/>
      <c r="T104" s="392"/>
      <c r="U104" s="392"/>
      <c r="V104" s="547">
        <f t="shared" si="17"/>
        <v>3</v>
      </c>
      <c r="W104" s="392"/>
      <c r="X104" s="392"/>
      <c r="Y104" s="392"/>
      <c r="Z104" s="392"/>
      <c r="AA104" s="404"/>
      <c r="AB104" s="516"/>
      <c r="AC104" s="516"/>
      <c r="AD104" s="516"/>
      <c r="AE104" s="516"/>
      <c r="AF104" s="516"/>
      <c r="AG104" s="516"/>
      <c r="AH104" s="516"/>
    </row>
    <row r="105" spans="1:34" s="541" customFormat="1" ht="12" customHeight="1">
      <c r="A105" s="404"/>
      <c r="B105" s="543"/>
      <c r="C105" s="464" t="str">
        <f>L34</f>
        <v>slaapkamer 3</v>
      </c>
      <c r="D105" s="733">
        <f>IF(F105="intern","",SUMPRODUCT(($AE$1:$AE$28022)*($L$1:$L$28022=C105)))</f>
        <v>6</v>
      </c>
      <c r="E105" s="566">
        <f>IF(F105="intern","",IF(D105=0,0,(IF(verzamelblad!$K$7*D105&gt;verzamelblad!$P$7,CEILING(verzamelblad!$K$7*D105,0.1),verzamelblad!$P$7))))</f>
        <v>7</v>
      </c>
      <c r="F105" s="584" t="str">
        <f>IF($S$16=1,"NT","MT")</f>
        <v>MT</v>
      </c>
      <c r="G105" s="731" t="s">
        <v>140</v>
      </c>
      <c r="H105" s="565">
        <v>14</v>
      </c>
      <c r="I105" s="811" t="s">
        <v>251</v>
      </c>
      <c r="J105" s="811"/>
      <c r="K105" s="585">
        <v>0</v>
      </c>
      <c r="L105" s="819" t="str">
        <f>IF(AND(S$16=1,S$17=2),"",IF(S$16=2,"",IF(K105=0,"",H105/(K105/1000))))</f>
        <v/>
      </c>
      <c r="M105" s="819"/>
      <c r="N105" s="816" t="s">
        <v>268</v>
      </c>
      <c r="O105" s="816"/>
      <c r="P105" s="586" t="str">
        <f>IF(K105=0,"-",INDEX('data roosters'!F:J,MATCH(N105,'data roosters'!F:F,0),2)*(K105/1000))</f>
        <v>-</v>
      </c>
      <c r="Q105" s="729" t="str">
        <f>IF(AND($S$16=1,$S$17=2),IF(OR(E105&lt;&gt;0,H105&lt;&gt;0,P105&lt;&gt;"-"),"","verbergen"),IF(OR(E105&lt;&gt;0,H105&lt;&gt;0),"","verbergen"))</f>
        <v/>
      </c>
      <c r="R105" s="601"/>
      <c r="S105" s="602"/>
      <c r="T105" s="392"/>
      <c r="U105" s="392"/>
      <c r="V105" s="547">
        <f>V104+1</f>
        <v>4</v>
      </c>
      <c r="W105" s="392"/>
      <c r="X105" s="392"/>
      <c r="Y105" s="392"/>
      <c r="Z105" s="392"/>
      <c r="AA105" s="404"/>
      <c r="AB105" s="516"/>
      <c r="AC105" s="516"/>
      <c r="AD105" s="516"/>
      <c r="AE105" s="516"/>
      <c r="AF105" s="515" t="str">
        <f>IF(E105&gt;0,"x","")</f>
        <v>x</v>
      </c>
      <c r="AG105" s="516"/>
      <c r="AH105" s="516"/>
    </row>
    <row r="106" spans="1:34" s="541" customFormat="1" ht="12" hidden="1" customHeight="1">
      <c r="A106" s="404"/>
      <c r="B106" s="543"/>
      <c r="C106" s="464" t="s">
        <v>252</v>
      </c>
      <c r="D106" s="733">
        <f>IF(F106="intern","",SUMPRODUCT(($AE$1:$AE$28022)*($L$1:$L$28022=C106)))</f>
        <v>0</v>
      </c>
      <c r="E106" s="566">
        <f>IF(F106="intern","",IF(D106=0,0,(IF(verzamelblad!$K$7*D106&gt;verzamelblad!$P$7,CEILING(verzamelblad!$K$7*D106,0.1),verzamelblad!$P$7))))</f>
        <v>0</v>
      </c>
      <c r="F106" s="584" t="str">
        <f>IF($S$16=1,"NT","MT")</f>
        <v>MT</v>
      </c>
      <c r="G106" s="731" t="s">
        <v>140</v>
      </c>
      <c r="H106" s="565">
        <v>0</v>
      </c>
      <c r="I106" s="811" t="s">
        <v>251</v>
      </c>
      <c r="J106" s="811"/>
      <c r="K106" s="585">
        <v>0</v>
      </c>
      <c r="L106" s="819" t="str">
        <f>IF(AND(S$16=1,S$17=2),"",IF(S$16=2,"",IF(K106=0,"",H106/(K106/1000))))</f>
        <v/>
      </c>
      <c r="M106" s="819"/>
      <c r="N106" s="816" t="s">
        <v>268</v>
      </c>
      <c r="O106" s="816"/>
      <c r="P106" s="586" t="str">
        <f>IF(K106=0,"-",INDEX('data roosters'!F:J,MATCH(N106,'data roosters'!F:F,0),2)*(K106/1000))</f>
        <v>-</v>
      </c>
      <c r="Q106" s="729" t="str">
        <f t="shared" ref="Q106:Q109" si="18">IF(AND($S$16=1,$S$17=2),IF(OR(E106&lt;&gt;0,H106&lt;&gt;0,P106&lt;&gt;"-"),"","verbergen"),IF(OR(E106&lt;&gt;0,H106&lt;&gt;0),"","verbergen"))</f>
        <v>verbergen</v>
      </c>
      <c r="R106" s="418"/>
      <c r="S106" s="602"/>
      <c r="T106" s="392"/>
      <c r="U106" s="392"/>
      <c r="V106" s="547">
        <f t="shared" ref="V106:V111" si="19">V105</f>
        <v>4</v>
      </c>
      <c r="W106" s="392"/>
      <c r="X106" s="392"/>
      <c r="Y106" s="392"/>
      <c r="Z106" s="392"/>
      <c r="AA106" s="404"/>
      <c r="AB106" s="516"/>
      <c r="AC106" s="516"/>
      <c r="AD106" s="516"/>
      <c r="AE106" s="516"/>
      <c r="AF106" s="515" t="str">
        <f>IF(E106&gt;0,"x","")</f>
        <v/>
      </c>
      <c r="AG106" s="516"/>
      <c r="AH106" s="516"/>
    </row>
    <row r="107" spans="1:34" s="541" customFormat="1" ht="12" hidden="1" customHeight="1">
      <c r="A107" s="404"/>
      <c r="B107" s="543"/>
      <c r="C107" s="464" t="s">
        <v>252</v>
      </c>
      <c r="D107" s="733">
        <f>IF(F107="intern","",SUMPRODUCT(($AE$1:$AE$28022)*($L$1:$L$28022=C107)))</f>
        <v>0</v>
      </c>
      <c r="E107" s="566">
        <f>IF(F107="intern","",IF(D107=0,0,(IF(verzamelblad!$K$7*D107&gt;verzamelblad!$P$7,CEILING(verzamelblad!$K$7*D107,0.1),verzamelblad!$P$7))))</f>
        <v>0</v>
      </c>
      <c r="F107" s="584" t="str">
        <f>IF($S$16=1,"NT","MT")</f>
        <v>MT</v>
      </c>
      <c r="G107" s="731" t="s">
        <v>140</v>
      </c>
      <c r="H107" s="565">
        <v>0</v>
      </c>
      <c r="I107" s="811" t="s">
        <v>251</v>
      </c>
      <c r="J107" s="811"/>
      <c r="K107" s="585">
        <v>0</v>
      </c>
      <c r="L107" s="819" t="str">
        <f>IF(AND(S$16=1,S$17=2),"",IF(S$16=2,"",IF(K107=0,"",H107/(K107/1000))))</f>
        <v/>
      </c>
      <c r="M107" s="819"/>
      <c r="N107" s="816" t="s">
        <v>268</v>
      </c>
      <c r="O107" s="816"/>
      <c r="P107" s="586" t="str">
        <f>IF(K107=0,"-",INDEX('data roosters'!F:J,MATCH(N107,'data roosters'!F:F,0),2)*(K107/1000))</f>
        <v>-</v>
      </c>
      <c r="Q107" s="729" t="str">
        <f t="shared" si="18"/>
        <v>verbergen</v>
      </c>
      <c r="R107" s="603"/>
      <c r="S107" s="602"/>
      <c r="T107" s="392"/>
      <c r="U107" s="392"/>
      <c r="V107" s="547">
        <f t="shared" si="19"/>
        <v>4</v>
      </c>
      <c r="W107" s="392"/>
      <c r="X107" s="392"/>
      <c r="Y107" s="392"/>
      <c r="Z107" s="392"/>
      <c r="AA107" s="404"/>
      <c r="AB107" s="516"/>
      <c r="AC107" s="516"/>
      <c r="AD107" s="516"/>
      <c r="AE107" s="516"/>
      <c r="AF107" s="515" t="str">
        <f>IF(E107&gt;0,"x","")</f>
        <v/>
      </c>
      <c r="AG107" s="516"/>
      <c r="AH107" s="516"/>
    </row>
    <row r="108" spans="1:34" s="541" customFormat="1" ht="12" hidden="1" customHeight="1">
      <c r="A108" s="404"/>
      <c r="B108" s="543"/>
      <c r="C108" s="464" t="s">
        <v>252</v>
      </c>
      <c r="D108" s="733">
        <f>IF(F108="intern","",SUMPRODUCT(($AE$1:$AE$28022)*($L$1:$L$28022=C108)))</f>
        <v>0</v>
      </c>
      <c r="E108" s="566">
        <f>IF(F108="intern","",IF(D108=0,0,(IF(verzamelblad!$K$7*D108&gt;verzamelblad!$P$7,CEILING(verzamelblad!$K$7*D108,0.1),verzamelblad!$P$7))))</f>
        <v>0</v>
      </c>
      <c r="F108" s="584" t="str">
        <f>IF($S$16=1,"NT","MT")</f>
        <v>MT</v>
      </c>
      <c r="G108" s="731" t="s">
        <v>140</v>
      </c>
      <c r="H108" s="565">
        <v>0</v>
      </c>
      <c r="I108" s="811" t="s">
        <v>251</v>
      </c>
      <c r="J108" s="811"/>
      <c r="K108" s="585">
        <v>0</v>
      </c>
      <c r="L108" s="819" t="str">
        <f>IF(AND(S$16=1,S$17=2),"",IF(S$16=2,"",IF(K108=0,"",H108/(K108/1000))))</f>
        <v/>
      </c>
      <c r="M108" s="819"/>
      <c r="N108" s="816" t="s">
        <v>268</v>
      </c>
      <c r="O108" s="816"/>
      <c r="P108" s="586" t="str">
        <f>IF(K108=0,"-",INDEX('data roosters'!F:J,MATCH(N108,'data roosters'!F:F,0),2)*(K108/1000))</f>
        <v>-</v>
      </c>
      <c r="Q108" s="729" t="str">
        <f t="shared" si="18"/>
        <v>verbergen</v>
      </c>
      <c r="R108" s="603"/>
      <c r="S108" s="602"/>
      <c r="T108" s="392"/>
      <c r="U108" s="392"/>
      <c r="V108" s="547">
        <f t="shared" si="19"/>
        <v>4</v>
      </c>
      <c r="W108" s="392"/>
      <c r="X108" s="392"/>
      <c r="Y108" s="392"/>
      <c r="Z108" s="392"/>
      <c r="AA108" s="404"/>
      <c r="AB108" s="516"/>
      <c r="AC108" s="516"/>
      <c r="AD108" s="516"/>
      <c r="AE108" s="516"/>
      <c r="AF108" s="515" t="str">
        <f>IF(E108&gt;0,"x","")</f>
        <v/>
      </c>
      <c r="AG108" s="516"/>
      <c r="AH108" s="516"/>
    </row>
    <row r="109" spans="1:34" s="541" customFormat="1" ht="12" hidden="1" customHeight="1">
      <c r="A109" s="404"/>
      <c r="B109" s="543"/>
      <c r="C109" s="472" t="s">
        <v>252</v>
      </c>
      <c r="D109" s="737">
        <f>IF(F109="intern","",SUMPRODUCT(($AE$1:$AE$28022)*($L$1:$L$28022=C109)))</f>
        <v>0</v>
      </c>
      <c r="E109" s="604">
        <f>IF(F109="intern","",IF(D109=0,0,(IF(verzamelblad!$K$7*D109&gt;verzamelblad!$P$7,CEILING(verzamelblad!$K$7*D109,0.1),verzamelblad!$P$7))))</f>
        <v>0</v>
      </c>
      <c r="F109" s="605" t="str">
        <f>IF($S$16=1,"NT","MT")</f>
        <v>MT</v>
      </c>
      <c r="G109" s="606" t="s">
        <v>140</v>
      </c>
      <c r="H109" s="607">
        <v>0</v>
      </c>
      <c r="I109" s="812" t="s">
        <v>251</v>
      </c>
      <c r="J109" s="812"/>
      <c r="K109" s="608">
        <v>0</v>
      </c>
      <c r="L109" s="822" t="str">
        <f>IF(AND(S$16=1,S$17=2),"",IF(S$16=2,"",IF(K109=0,"",H109/(K109/1000))))</f>
        <v/>
      </c>
      <c r="M109" s="822"/>
      <c r="N109" s="823" t="s">
        <v>268</v>
      </c>
      <c r="O109" s="823"/>
      <c r="P109" s="609" t="str">
        <f>IF(K109=0,"-",INDEX('data roosters'!F:J,MATCH(N109,'data roosters'!F:F,0),2)*(K109/1000))</f>
        <v>-</v>
      </c>
      <c r="Q109" s="729" t="str">
        <f t="shared" si="18"/>
        <v>verbergen</v>
      </c>
      <c r="R109" s="603"/>
      <c r="S109" s="602"/>
      <c r="T109" s="392"/>
      <c r="U109" s="392"/>
      <c r="V109" s="547">
        <f t="shared" si="19"/>
        <v>4</v>
      </c>
      <c r="W109" s="392"/>
      <c r="X109" s="392"/>
      <c r="Y109" s="392"/>
      <c r="Z109" s="392"/>
      <c r="AA109" s="404"/>
      <c r="AB109" s="516"/>
      <c r="AC109" s="516"/>
      <c r="AD109" s="516"/>
      <c r="AE109" s="516"/>
      <c r="AF109" s="515" t="str">
        <f>IF(E109&gt;0,"x","")</f>
        <v/>
      </c>
      <c r="AG109" s="516"/>
      <c r="AH109" s="516"/>
    </row>
    <row r="110" spans="1:34" s="541" customFormat="1" ht="12" customHeight="1">
      <c r="A110" s="404"/>
      <c r="B110" s="556">
        <f>B103+1</f>
        <v>4</v>
      </c>
      <c r="C110" s="480">
        <f>B110</f>
        <v>4</v>
      </c>
      <c r="D110" s="481">
        <f>SUMPRODUCT(($AD$1:$AD$50064)*($AC$1:$AC$50064=B110))</f>
        <v>6</v>
      </c>
      <c r="E110" s="591">
        <f>IF(D110=0,0,(IF(verzamelblad!$E$7*D110&gt;verzamelblad!$J$7,CEILING(verzamelblad!$E$7*D110,0.1),verzamelblad!$J$7)))</f>
        <v>7</v>
      </c>
      <c r="F110" s="824" t="str">
        <f>IF(SUM(H105:H109)&lt;E110,"voldoet niet op VG-niveau","totaal: "&amp;SUM(H105:H109) &amp; " dm³/s ")</f>
        <v xml:space="preserve">totaal: 14 dm³/s </v>
      </c>
      <c r="G110" s="824"/>
      <c r="H110" s="824"/>
      <c r="I110" s="592"/>
      <c r="J110" s="593"/>
      <c r="K110" s="594"/>
      <c r="L110" s="595"/>
      <c r="M110" s="821"/>
      <c r="N110" s="821"/>
      <c r="O110" s="596"/>
      <c r="P110" s="597"/>
      <c r="Q110" s="403"/>
      <c r="R110" s="603"/>
      <c r="S110" s="602"/>
      <c r="T110" s="392"/>
      <c r="U110" s="392"/>
      <c r="V110" s="547">
        <f t="shared" si="19"/>
        <v>4</v>
      </c>
      <c r="W110" s="392"/>
      <c r="X110" s="392"/>
      <c r="Y110" s="392"/>
      <c r="Z110" s="392"/>
      <c r="AA110" s="404"/>
      <c r="AB110" s="516"/>
      <c r="AC110" s="516"/>
      <c r="AD110" s="516"/>
      <c r="AE110" s="516"/>
      <c r="AF110" s="515" t="str">
        <f>IF(B110&gt;0,"ja")</f>
        <v>ja</v>
      </c>
      <c r="AG110" s="516"/>
      <c r="AH110" s="516"/>
    </row>
    <row r="111" spans="1:34" s="541" customFormat="1" ht="12" customHeight="1">
      <c r="A111" s="543"/>
      <c r="B111" s="543"/>
      <c r="C111" s="598"/>
      <c r="D111" s="422"/>
      <c r="E111" s="422"/>
      <c r="F111" s="422"/>
      <c r="G111" s="422"/>
      <c r="H111" s="599"/>
      <c r="I111" s="599"/>
      <c r="J111" s="530"/>
      <c r="K111" s="600"/>
      <c r="L111" s="600"/>
      <c r="M111" s="600"/>
      <c r="N111" s="600"/>
      <c r="O111" s="600"/>
      <c r="P111" s="600"/>
      <c r="Q111" s="403"/>
      <c r="R111" s="603"/>
      <c r="S111" s="602"/>
      <c r="T111" s="392"/>
      <c r="U111" s="392"/>
      <c r="V111" s="547">
        <f t="shared" si="19"/>
        <v>4</v>
      </c>
      <c r="W111" s="392"/>
      <c r="X111" s="392"/>
      <c r="Y111" s="392"/>
      <c r="Z111" s="392"/>
      <c r="AA111" s="404"/>
      <c r="AB111" s="516"/>
      <c r="AC111" s="516"/>
      <c r="AD111" s="516"/>
      <c r="AE111" s="516"/>
      <c r="AF111" s="516"/>
      <c r="AG111" s="516"/>
      <c r="AH111" s="516"/>
    </row>
    <row r="112" spans="1:34" s="541" customFormat="1" ht="12" customHeight="1">
      <c r="A112" s="515"/>
      <c r="B112" s="515"/>
      <c r="C112" s="610" t="s">
        <v>745</v>
      </c>
      <c r="D112" s="422"/>
      <c r="E112" s="611" t="str">
        <f>IF(SUM(H112:H116)=0,"n.v.t.","")</f>
        <v>n.v.t.</v>
      </c>
      <c r="F112" s="422"/>
      <c r="G112" s="422"/>
      <c r="H112" s="599"/>
      <c r="I112" s="599"/>
      <c r="J112" s="530"/>
      <c r="K112" s="600"/>
      <c r="L112" s="600"/>
      <c r="M112" s="600"/>
      <c r="N112" s="600"/>
      <c r="O112" s="600"/>
      <c r="P112" s="600"/>
      <c r="Q112" s="459"/>
      <c r="R112" s="589"/>
      <c r="S112" s="529"/>
      <c r="T112" s="516"/>
      <c r="U112" s="516"/>
      <c r="V112" s="507"/>
      <c r="W112" s="516"/>
      <c r="X112" s="516"/>
      <c r="Y112" s="516"/>
      <c r="Z112" s="516"/>
      <c r="AB112" s="516"/>
      <c r="AC112" s="516"/>
      <c r="AD112" s="516"/>
      <c r="AE112" s="516"/>
      <c r="AF112" s="516"/>
      <c r="AG112" s="516"/>
      <c r="AH112" s="516"/>
    </row>
    <row r="113" spans="1:34" s="541" customFormat="1" ht="12" hidden="1" customHeight="1">
      <c r="B113" s="515"/>
      <c r="C113" s="464" t="s">
        <v>140</v>
      </c>
      <c r="D113" s="733"/>
      <c r="E113" s="566"/>
      <c r="F113" s="584" t="str">
        <f>IF($S$16=1,"NT","MT")</f>
        <v>MT</v>
      </c>
      <c r="G113" s="731" t="s">
        <v>140</v>
      </c>
      <c r="H113" s="565">
        <v>0</v>
      </c>
      <c r="I113" s="811" t="s">
        <v>251</v>
      </c>
      <c r="J113" s="811"/>
      <c r="K113" s="585">
        <v>0</v>
      </c>
      <c r="L113" s="819" t="str">
        <f>IF(AND(S$16=1,S$17=2),"",IF(S$16=2,"",IF(K113=0,"",H113/(K113/1000))))</f>
        <v/>
      </c>
      <c r="M113" s="819"/>
      <c r="N113" s="816" t="s">
        <v>268</v>
      </c>
      <c r="O113" s="816"/>
      <c r="P113" s="586" t="str">
        <f>IF(K113=0,"-",INDEX('data roosters'!F:J,MATCH(N113,'data roosters'!F:F,0),2)*(K113/1000))</f>
        <v>-</v>
      </c>
      <c r="Q113" s="525" t="str">
        <f>IF(AND($S$16=1,$S$17=2),IF(OR(H113&lt;&gt;0,P113&lt;&gt;"-"),"","verbergen"),IF(H113&lt;&gt;0,"","verbergen"))</f>
        <v>verbergen</v>
      </c>
      <c r="R113" s="612"/>
      <c r="S113" s="529"/>
      <c r="T113" s="516"/>
      <c r="U113" s="516"/>
      <c r="V113" s="507"/>
      <c r="W113" s="516"/>
      <c r="X113" s="516"/>
      <c r="Y113" s="516"/>
      <c r="Z113" s="516"/>
      <c r="AB113" s="516"/>
      <c r="AC113" s="516"/>
      <c r="AD113" s="516"/>
      <c r="AE113" s="516"/>
      <c r="AF113" s="515"/>
      <c r="AG113" s="516"/>
      <c r="AH113" s="516"/>
    </row>
    <row r="114" spans="1:34" s="541" customFormat="1" ht="12" hidden="1" customHeight="1">
      <c r="B114" s="515"/>
      <c r="C114" s="464" t="s">
        <v>140</v>
      </c>
      <c r="D114" s="733"/>
      <c r="E114" s="566"/>
      <c r="F114" s="584" t="str">
        <f>IF($S$16=1,"NT","MT")</f>
        <v>MT</v>
      </c>
      <c r="G114" s="731" t="s">
        <v>140</v>
      </c>
      <c r="H114" s="565">
        <v>0</v>
      </c>
      <c r="I114" s="811" t="s">
        <v>251</v>
      </c>
      <c r="J114" s="811"/>
      <c r="K114" s="585">
        <v>0</v>
      </c>
      <c r="L114" s="819" t="str">
        <f>IF(AND(S$16=1,S$17=2),"",IF(S$16=2,"",IF(K114=0,"",H114/(K114/1000))))</f>
        <v/>
      </c>
      <c r="M114" s="819"/>
      <c r="N114" s="816" t="s">
        <v>268</v>
      </c>
      <c r="O114" s="816"/>
      <c r="P114" s="586" t="str">
        <f>IF(K114=0,"-",INDEX('data roosters'!F:J,MATCH(N114,'data roosters'!F:F,0),2)*(K114/1000))</f>
        <v>-</v>
      </c>
      <c r="Q114" s="525" t="str">
        <f t="shared" ref="Q114:Q116" si="20">IF(AND($S$16=1,$S$17=2),IF(OR(H114&lt;&gt;0,P114&lt;&gt;"-"),"","verbergen"),IF(H114&lt;&gt;0,"","verbergen"))</f>
        <v>verbergen</v>
      </c>
      <c r="R114" s="589"/>
      <c r="S114" s="529"/>
      <c r="T114" s="516"/>
      <c r="U114" s="516"/>
      <c r="V114" s="507"/>
      <c r="W114" s="516"/>
      <c r="X114" s="516"/>
      <c r="Y114" s="516"/>
      <c r="Z114" s="516"/>
      <c r="AB114" s="516"/>
      <c r="AC114" s="516"/>
      <c r="AD114" s="516"/>
      <c r="AE114" s="516"/>
      <c r="AF114" s="515"/>
      <c r="AG114" s="516"/>
      <c r="AH114" s="516"/>
    </row>
    <row r="115" spans="1:34" s="541" customFormat="1" ht="12" hidden="1" customHeight="1">
      <c r="B115" s="515"/>
      <c r="C115" s="464" t="s">
        <v>140</v>
      </c>
      <c r="D115" s="733"/>
      <c r="E115" s="566"/>
      <c r="F115" s="584" t="str">
        <f>IF($S$16=1,"NT","MT")</f>
        <v>MT</v>
      </c>
      <c r="G115" s="731" t="s">
        <v>140</v>
      </c>
      <c r="H115" s="565">
        <v>0</v>
      </c>
      <c r="I115" s="811" t="s">
        <v>251</v>
      </c>
      <c r="J115" s="811"/>
      <c r="K115" s="585">
        <v>0</v>
      </c>
      <c r="L115" s="819" t="str">
        <f>IF(AND(S$16=1,S$17=2),"",IF(S$16=2,"",IF(K115=0,"",H115/(K115/1000))))</f>
        <v/>
      </c>
      <c r="M115" s="819"/>
      <c r="N115" s="816" t="s">
        <v>268</v>
      </c>
      <c r="O115" s="816"/>
      <c r="P115" s="586" t="str">
        <f>IF(K115=0,"-",INDEX('data roosters'!F:J,MATCH(N115,'data roosters'!F:F,0),2)*(K115/1000))</f>
        <v>-</v>
      </c>
      <c r="Q115" s="525" t="str">
        <f t="shared" si="20"/>
        <v>verbergen</v>
      </c>
      <c r="R115" s="589"/>
      <c r="S115" s="529"/>
      <c r="T115" s="516"/>
      <c r="U115" s="516"/>
      <c r="V115" s="507"/>
      <c r="W115" s="516"/>
      <c r="X115" s="516"/>
      <c r="Y115" s="516"/>
      <c r="Z115" s="516"/>
      <c r="AB115" s="516"/>
      <c r="AC115" s="516"/>
      <c r="AD115" s="516"/>
      <c r="AE115" s="516"/>
      <c r="AF115" s="515"/>
      <c r="AG115" s="516"/>
      <c r="AH115" s="516"/>
    </row>
    <row r="116" spans="1:34" s="541" customFormat="1" ht="12" hidden="1" customHeight="1">
      <c r="B116" s="515"/>
      <c r="C116" s="464" t="s">
        <v>140</v>
      </c>
      <c r="D116" s="733"/>
      <c r="E116" s="566"/>
      <c r="F116" s="584" t="str">
        <f>IF($S$16=1,"NT","MT")</f>
        <v>MT</v>
      </c>
      <c r="G116" s="731" t="s">
        <v>140</v>
      </c>
      <c r="H116" s="565">
        <v>0</v>
      </c>
      <c r="I116" s="811" t="s">
        <v>251</v>
      </c>
      <c r="J116" s="811"/>
      <c r="K116" s="585">
        <v>0</v>
      </c>
      <c r="L116" s="819" t="str">
        <f>IF(AND(S$16=1,S$17=2),"",IF(S$16=2,"",IF(K116=0,"",H116/(K116/1000))))</f>
        <v/>
      </c>
      <c r="M116" s="819"/>
      <c r="N116" s="816" t="s">
        <v>268</v>
      </c>
      <c r="O116" s="816"/>
      <c r="P116" s="586" t="str">
        <f>IF(K116=0,"-",INDEX('data roosters'!F:J,MATCH(N116,'data roosters'!F:F,0),2)*(K116/1000))</f>
        <v>-</v>
      </c>
      <c r="Q116" s="525" t="str">
        <f t="shared" si="20"/>
        <v>verbergen</v>
      </c>
      <c r="R116" s="589"/>
      <c r="S116" s="529"/>
      <c r="T116" s="516"/>
      <c r="U116" s="516"/>
      <c r="V116" s="507"/>
      <c r="W116" s="516"/>
      <c r="X116" s="516"/>
      <c r="Y116" s="516"/>
      <c r="Z116" s="516"/>
      <c r="AB116" s="516"/>
      <c r="AC116" s="516"/>
      <c r="AD116" s="516"/>
      <c r="AE116" s="516"/>
      <c r="AF116" s="515"/>
      <c r="AG116" s="516"/>
      <c r="AH116" s="516"/>
    </row>
    <row r="117" spans="1:34" s="541" customFormat="1" ht="12" customHeight="1">
      <c r="B117" s="590"/>
      <c r="C117" s="610"/>
      <c r="D117" s="733"/>
      <c r="E117" s="566"/>
      <c r="F117" s="825"/>
      <c r="G117" s="825"/>
      <c r="H117" s="825"/>
      <c r="I117" s="404"/>
      <c r="J117" s="613"/>
      <c r="K117" s="422"/>
      <c r="L117" s="614"/>
      <c r="M117" s="826"/>
      <c r="N117" s="826"/>
      <c r="O117" s="565"/>
      <c r="P117" s="615"/>
      <c r="Q117" s="459"/>
      <c r="R117" s="589"/>
      <c r="S117" s="529"/>
      <c r="T117" s="516"/>
      <c r="U117" s="516"/>
      <c r="V117" s="547"/>
      <c r="W117" s="516"/>
      <c r="X117" s="516"/>
      <c r="Y117" s="516"/>
      <c r="Z117" s="516"/>
      <c r="AB117" s="516"/>
      <c r="AC117" s="516"/>
      <c r="AD117" s="516"/>
      <c r="AE117" s="516"/>
      <c r="AF117" s="515"/>
      <c r="AG117" s="516"/>
      <c r="AH117" s="516"/>
    </row>
    <row r="118" spans="1:34" s="518" customFormat="1" ht="15" customHeight="1">
      <c r="A118" s="515"/>
      <c r="B118" s="515"/>
      <c r="C118" s="457" t="s">
        <v>1086</v>
      </c>
      <c r="D118" s="575"/>
      <c r="E118" s="575"/>
      <c r="F118" s="575"/>
      <c r="G118" s="575"/>
      <c r="H118" s="575"/>
      <c r="I118" s="575"/>
      <c r="J118" s="575"/>
      <c r="K118" s="575"/>
      <c r="L118" s="575"/>
      <c r="M118" s="575"/>
      <c r="N118" s="575"/>
      <c r="O118" s="575"/>
      <c r="P118" s="575"/>
      <c r="Q118" s="516"/>
      <c r="R118" s="616"/>
      <c r="S118" s="516"/>
      <c r="T118" s="521"/>
      <c r="U118" s="516"/>
      <c r="V118" s="517"/>
      <c r="W118" s="517"/>
      <c r="X118" s="517"/>
      <c r="Y118" s="517"/>
      <c r="Z118" s="517"/>
      <c r="AA118" s="517"/>
      <c r="AB118" s="517"/>
      <c r="AC118" s="524"/>
      <c r="AD118" s="517"/>
      <c r="AE118" s="517"/>
      <c r="AF118" s="517"/>
    </row>
    <row r="119" spans="1:34" s="518" customFormat="1" ht="12.75" hidden="1" customHeight="1">
      <c r="A119" s="515"/>
      <c r="B119" s="515"/>
      <c r="C119" s="576"/>
      <c r="D119" s="576"/>
      <c r="E119" s="576"/>
      <c r="F119" s="576"/>
      <c r="G119" s="576"/>
      <c r="H119" s="577"/>
      <c r="I119" s="577"/>
      <c r="J119" s="577"/>
      <c r="K119" s="577"/>
      <c r="L119" s="577"/>
      <c r="M119" s="577"/>
      <c r="N119" s="577"/>
      <c r="O119" s="577"/>
      <c r="P119" s="577"/>
      <c r="Q119" s="522"/>
      <c r="R119" s="516"/>
      <c r="S119" s="516"/>
      <c r="T119" s="521"/>
      <c r="U119" s="516"/>
      <c r="V119" s="548"/>
      <c r="W119" s="548"/>
      <c r="X119" s="548"/>
      <c r="Y119" s="548"/>
      <c r="Z119" s="517"/>
      <c r="AA119" s="517"/>
      <c r="AB119" s="517"/>
      <c r="AC119" s="524"/>
      <c r="AD119" s="517"/>
      <c r="AE119" s="517"/>
      <c r="AF119" s="517"/>
    </row>
    <row r="120" spans="1:34" ht="15" customHeight="1">
      <c r="A120" s="492"/>
      <c r="B120" s="492"/>
      <c r="C120" s="579" t="s">
        <v>133</v>
      </c>
      <c r="D120" s="580"/>
      <c r="E120" s="580"/>
      <c r="F120" s="460" t="s">
        <v>653</v>
      </c>
      <c r="G120" s="736" t="s">
        <v>34</v>
      </c>
      <c r="H120" s="736" t="s">
        <v>1135</v>
      </c>
      <c r="I120" s="580"/>
      <c r="J120" s="580"/>
      <c r="K120" s="580"/>
      <c r="L120" s="580"/>
      <c r="M120" s="580"/>
      <c r="N120" s="580"/>
      <c r="O120" s="580"/>
      <c r="P120" s="580"/>
      <c r="Q120" s="507"/>
      <c r="R120" s="507"/>
      <c r="S120" s="507"/>
      <c r="T120" s="532"/>
      <c r="U120" s="507"/>
      <c r="V120" s="508"/>
      <c r="W120" s="508"/>
      <c r="X120" s="508"/>
      <c r="Y120" s="508"/>
      <c r="Z120" s="508"/>
      <c r="AA120" s="508"/>
      <c r="AB120" s="508"/>
      <c r="AC120" s="534"/>
      <c r="AD120" s="508"/>
      <c r="AE120" s="508"/>
      <c r="AF120" s="508"/>
    </row>
    <row r="121" spans="1:34" s="518" customFormat="1" ht="12" customHeight="1">
      <c r="A121" s="515"/>
      <c r="B121" s="515"/>
      <c r="C121" s="617" t="s">
        <v>728</v>
      </c>
      <c r="D121" s="404"/>
      <c r="E121" s="404"/>
      <c r="F121" s="618">
        <v>2</v>
      </c>
      <c r="G121" s="619">
        <f>F121*7</f>
        <v>14</v>
      </c>
      <c r="H121" s="620">
        <v>28</v>
      </c>
      <c r="I121" s="621"/>
      <c r="J121" s="622"/>
      <c r="K121" s="827"/>
      <c r="L121" s="827"/>
      <c r="M121" s="827"/>
      <c r="N121" s="827"/>
      <c r="O121" s="827"/>
      <c r="P121" s="827"/>
      <c r="Q121" s="525" t="str">
        <f t="shared" ref="Q121:Q126" si="21">IF(H121&gt;0,"","verbergen")</f>
        <v/>
      </c>
      <c r="R121" s="589"/>
      <c r="S121" s="529"/>
      <c r="T121" s="516"/>
      <c r="U121" s="516"/>
      <c r="V121" s="508"/>
      <c r="W121" s="517"/>
      <c r="X121" s="517"/>
      <c r="Y121" s="517"/>
      <c r="Z121" s="517"/>
      <c r="AA121" s="517"/>
      <c r="AB121" s="517"/>
      <c r="AC121" s="517"/>
      <c r="AD121" s="517"/>
      <c r="AE121" s="517"/>
      <c r="AF121" s="517"/>
      <c r="AG121" s="517"/>
      <c r="AH121" s="517"/>
    </row>
    <row r="122" spans="1:34" s="518" customFormat="1" ht="12" customHeight="1">
      <c r="A122" s="515"/>
      <c r="B122" s="590"/>
      <c r="C122" s="617" t="s">
        <v>729</v>
      </c>
      <c r="D122" s="404"/>
      <c r="E122" s="404"/>
      <c r="F122" s="618">
        <v>1</v>
      </c>
      <c r="G122" s="619">
        <f>F122*14</f>
        <v>14</v>
      </c>
      <c r="H122" s="620">
        <v>21</v>
      </c>
      <c r="I122" s="621"/>
      <c r="J122" s="622"/>
      <c r="K122" s="827"/>
      <c r="L122" s="827"/>
      <c r="M122" s="827"/>
      <c r="N122" s="827"/>
      <c r="O122" s="827"/>
      <c r="P122" s="827"/>
      <c r="Q122" s="525" t="str">
        <f t="shared" si="21"/>
        <v/>
      </c>
      <c r="R122" s="623"/>
      <c r="S122" s="624"/>
      <c r="T122" s="516"/>
      <c r="U122" s="516"/>
      <c r="V122" s="508"/>
      <c r="W122" s="517"/>
      <c r="X122" s="517"/>
      <c r="Y122" s="517"/>
      <c r="Z122" s="517"/>
      <c r="AA122" s="517"/>
      <c r="AB122" s="517"/>
      <c r="AC122" s="517"/>
      <c r="AD122" s="517"/>
      <c r="AE122" s="517"/>
      <c r="AF122" s="517"/>
    </row>
    <row r="123" spans="1:34" s="518" customFormat="1" ht="12" customHeight="1">
      <c r="A123" s="515"/>
      <c r="B123" s="515"/>
      <c r="C123" s="617" t="s">
        <v>727</v>
      </c>
      <c r="D123" s="404"/>
      <c r="E123" s="404"/>
      <c r="F123" s="618">
        <v>1</v>
      </c>
      <c r="G123" s="619">
        <f>F123*21</f>
        <v>21</v>
      </c>
      <c r="H123" s="620">
        <v>28</v>
      </c>
      <c r="I123" s="621"/>
      <c r="J123" s="622"/>
      <c r="K123" s="827"/>
      <c r="L123" s="827"/>
      <c r="M123" s="827"/>
      <c r="N123" s="827"/>
      <c r="O123" s="827"/>
      <c r="P123" s="827"/>
      <c r="Q123" s="525" t="str">
        <f t="shared" si="21"/>
        <v/>
      </c>
      <c r="R123" s="625"/>
      <c r="S123" s="624"/>
      <c r="T123" s="516"/>
      <c r="U123" s="516"/>
      <c r="V123" s="508"/>
      <c r="W123" s="517"/>
      <c r="X123" s="517"/>
      <c r="Y123" s="517"/>
      <c r="Z123" s="517"/>
      <c r="AA123" s="517"/>
      <c r="AB123" s="517"/>
      <c r="AC123" s="517"/>
      <c r="AD123" s="517"/>
      <c r="AE123" s="517"/>
      <c r="AF123" s="517"/>
    </row>
    <row r="124" spans="1:34" s="518" customFormat="1" ht="12" hidden="1" customHeight="1">
      <c r="A124" s="515"/>
      <c r="B124" s="515"/>
      <c r="C124" s="617" t="s">
        <v>140</v>
      </c>
      <c r="D124" s="404"/>
      <c r="E124" s="404"/>
      <c r="F124" s="626"/>
      <c r="G124" s="619" t="s">
        <v>268</v>
      </c>
      <c r="H124" s="620"/>
      <c r="I124" s="621"/>
      <c r="J124" s="622"/>
      <c r="K124" s="827"/>
      <c r="L124" s="827"/>
      <c r="M124" s="827"/>
      <c r="N124" s="827"/>
      <c r="O124" s="827"/>
      <c r="P124" s="827"/>
      <c r="Q124" s="525" t="str">
        <f t="shared" si="21"/>
        <v>verbergen</v>
      </c>
      <c r="R124" s="625"/>
      <c r="S124" s="624"/>
      <c r="T124" s="516"/>
      <c r="U124" s="516"/>
      <c r="V124" s="508"/>
      <c r="W124" s="517"/>
      <c r="X124" s="517"/>
      <c r="Y124" s="517"/>
      <c r="Z124" s="517"/>
      <c r="AA124" s="517"/>
      <c r="AB124" s="517"/>
      <c r="AC124" s="517"/>
      <c r="AD124" s="517"/>
      <c r="AE124" s="517"/>
      <c r="AF124" s="517"/>
    </row>
    <row r="125" spans="1:34" s="518" customFormat="1" ht="12" hidden="1" customHeight="1">
      <c r="A125" s="515"/>
      <c r="B125" s="515"/>
      <c r="C125" s="617" t="s">
        <v>140</v>
      </c>
      <c r="D125" s="404"/>
      <c r="E125" s="404"/>
      <c r="F125" s="626"/>
      <c r="G125" s="619" t="s">
        <v>268</v>
      </c>
      <c r="H125" s="620"/>
      <c r="I125" s="621"/>
      <c r="J125" s="622"/>
      <c r="K125" s="827"/>
      <c r="L125" s="827"/>
      <c r="M125" s="827"/>
      <c r="N125" s="827"/>
      <c r="O125" s="827"/>
      <c r="P125" s="827"/>
      <c r="Q125" s="525" t="str">
        <f t="shared" si="21"/>
        <v>verbergen</v>
      </c>
      <c r="R125" s="625"/>
      <c r="S125" s="624"/>
      <c r="T125" s="516"/>
      <c r="U125" s="516"/>
      <c r="V125" s="508"/>
      <c r="W125" s="517"/>
      <c r="X125" s="517"/>
      <c r="Y125" s="517"/>
      <c r="Z125" s="517"/>
      <c r="AA125" s="517"/>
      <c r="AB125" s="517"/>
      <c r="AC125" s="517"/>
      <c r="AD125" s="517"/>
      <c r="AE125" s="517"/>
      <c r="AF125" s="517"/>
    </row>
    <row r="126" spans="1:34" s="518" customFormat="1" ht="12" hidden="1" customHeight="1">
      <c r="A126" s="515"/>
      <c r="B126" s="515"/>
      <c r="C126" s="627" t="s">
        <v>140</v>
      </c>
      <c r="D126" s="628"/>
      <c r="E126" s="628"/>
      <c r="F126" s="629"/>
      <c r="G126" s="630" t="s">
        <v>268</v>
      </c>
      <c r="H126" s="631"/>
      <c r="I126" s="632"/>
      <c r="J126" s="633"/>
      <c r="K126" s="828"/>
      <c r="L126" s="828"/>
      <c r="M126" s="828"/>
      <c r="N126" s="828"/>
      <c r="O126" s="828"/>
      <c r="P126" s="828"/>
      <c r="Q126" s="525" t="str">
        <f t="shared" si="21"/>
        <v>verbergen</v>
      </c>
      <c r="R126" s="625"/>
      <c r="S126" s="624"/>
      <c r="T126" s="516"/>
      <c r="U126" s="516"/>
      <c r="V126" s="508"/>
      <c r="W126" s="517"/>
      <c r="X126" s="517"/>
      <c r="Y126" s="517"/>
      <c r="Z126" s="517"/>
      <c r="AA126" s="517"/>
      <c r="AB126" s="517"/>
      <c r="AC126" s="517"/>
      <c r="AD126" s="517"/>
      <c r="AE126" s="517"/>
      <c r="AF126" s="517"/>
    </row>
    <row r="127" spans="1:34" s="518" customFormat="1" ht="12" customHeight="1">
      <c r="A127" s="515"/>
      <c r="B127" s="515"/>
      <c r="C127" s="634" t="s">
        <v>16</v>
      </c>
      <c r="D127" s="592"/>
      <c r="E127" s="592"/>
      <c r="F127" s="635"/>
      <c r="G127" s="636">
        <f>SUM(G121:G126)</f>
        <v>49</v>
      </c>
      <c r="H127" s="636">
        <f>SUM(H121:H126)</f>
        <v>77</v>
      </c>
      <c r="I127" s="637"/>
      <c r="J127" s="732" t="str">
        <f>IF(M127="","","toe- en afvoer niet in balans")</f>
        <v/>
      </c>
      <c r="K127" s="638"/>
      <c r="L127" s="639"/>
      <c r="M127" s="829" t="str">
        <f>IF(SUMIF(F83:F117,R127,H83:H117)-H127-H139=0,"",SUMIF(F83:F117,R127,H83:H117)-H127-H139)</f>
        <v/>
      </c>
      <c r="N127" s="830"/>
      <c r="O127" s="830"/>
      <c r="P127" s="830"/>
      <c r="Q127" s="525"/>
      <c r="R127" s="625" t="str">
        <f>IF(OR(RIGHT(LEFT(D74,9),1)="A",RIGHT(LEFT(D74,9),1)="C"),"NT","MT")</f>
        <v>MT</v>
      </c>
      <c r="S127" s="624"/>
      <c r="T127" s="516"/>
      <c r="U127" s="516"/>
      <c r="V127" s="508"/>
      <c r="W127" s="517"/>
      <c r="X127" s="517"/>
      <c r="Y127" s="517"/>
      <c r="Z127" s="517"/>
      <c r="AA127" s="517"/>
      <c r="AB127" s="517"/>
      <c r="AC127" s="517"/>
      <c r="AD127" s="517"/>
      <c r="AE127" s="517"/>
      <c r="AF127" s="517"/>
    </row>
    <row r="128" spans="1:34" s="518" customFormat="1" ht="12" customHeight="1">
      <c r="A128" s="515"/>
      <c r="B128" s="515"/>
      <c r="C128" s="640"/>
      <c r="D128" s="831"/>
      <c r="E128" s="831"/>
      <c r="F128" s="641"/>
      <c r="G128" s="642">
        <f>G127*3.6</f>
        <v>176.4</v>
      </c>
      <c r="H128" s="642">
        <f>H127*3.6</f>
        <v>277.2</v>
      </c>
      <c r="I128" s="643"/>
      <c r="J128" s="404"/>
      <c r="K128" s="422"/>
      <c r="L128" s="614"/>
      <c r="M128" s="826"/>
      <c r="N128" s="826"/>
      <c r="O128" s="565"/>
      <c r="P128" s="615"/>
      <c r="Q128" s="525"/>
      <c r="R128" s="625"/>
      <c r="S128" s="624"/>
      <c r="T128" s="516"/>
      <c r="U128" s="516"/>
      <c r="V128" s="508"/>
      <c r="W128" s="517"/>
      <c r="X128" s="517"/>
      <c r="Y128" s="517"/>
      <c r="Z128" s="517"/>
      <c r="AA128" s="517"/>
      <c r="AB128" s="517"/>
      <c r="AC128" s="517"/>
      <c r="AD128" s="517"/>
      <c r="AE128" s="517"/>
      <c r="AF128" s="517"/>
    </row>
    <row r="129" spans="1:32" s="518" customFormat="1" ht="12" customHeight="1">
      <c r="A129" s="515"/>
      <c r="B129" s="515"/>
      <c r="C129" s="640"/>
      <c r="D129" s="733"/>
      <c r="E129" s="733"/>
      <c r="F129" s="641"/>
      <c r="G129" s="642"/>
      <c r="H129" s="731"/>
      <c r="I129" s="731"/>
      <c r="J129" s="404"/>
      <c r="K129" s="422"/>
      <c r="L129" s="614"/>
      <c r="M129" s="731"/>
      <c r="N129" s="731"/>
      <c r="O129" s="565"/>
      <c r="P129" s="615"/>
      <c r="Q129" s="525"/>
      <c r="R129" s="625"/>
      <c r="S129" s="624"/>
      <c r="T129" s="516"/>
      <c r="U129" s="516"/>
      <c r="V129" s="508"/>
      <c r="W129" s="517"/>
      <c r="X129" s="517"/>
      <c r="Y129" s="517"/>
      <c r="Z129" s="517"/>
      <c r="AA129" s="517"/>
      <c r="AB129" s="517"/>
      <c r="AC129" s="517"/>
      <c r="AD129" s="517"/>
      <c r="AE129" s="517"/>
      <c r="AF129" s="517"/>
    </row>
    <row r="130" spans="1:32" s="518" customFormat="1" ht="12" hidden="1" customHeight="1">
      <c r="A130" s="515"/>
      <c r="B130" s="515"/>
      <c r="C130" s="457" t="s">
        <v>1087</v>
      </c>
      <c r="D130" s="457"/>
      <c r="E130" s="457"/>
      <c r="F130" s="457"/>
      <c r="G130" s="457"/>
      <c r="H130" s="457"/>
      <c r="I130" s="457"/>
      <c r="J130" s="457"/>
      <c r="K130" s="457"/>
      <c r="L130" s="457"/>
      <c r="M130" s="457"/>
      <c r="N130" s="457"/>
      <c r="O130" s="457"/>
      <c r="P130" s="457"/>
      <c r="Q130" s="525" t="str">
        <f>IF(D77="n.v.t.","verbergen","")</f>
        <v>verbergen</v>
      </c>
      <c r="R130" s="625"/>
      <c r="S130" s="624"/>
      <c r="T130" s="516"/>
      <c r="U130" s="516"/>
      <c r="V130" s="508"/>
      <c r="W130" s="517"/>
      <c r="X130" s="517"/>
      <c r="Y130" s="517"/>
      <c r="Z130" s="517"/>
      <c r="AA130" s="517"/>
      <c r="AB130" s="517"/>
      <c r="AC130" s="517"/>
      <c r="AD130" s="517"/>
      <c r="AE130" s="517"/>
      <c r="AF130" s="517"/>
    </row>
    <row r="131" spans="1:32" s="518" customFormat="1" ht="12" hidden="1" customHeight="1">
      <c r="A131" s="515"/>
      <c r="B131" s="515"/>
      <c r="C131" s="458"/>
      <c r="D131" s="458"/>
      <c r="E131" s="458"/>
      <c r="F131" s="458"/>
      <c r="G131" s="458"/>
      <c r="H131" s="459"/>
      <c r="I131" s="459"/>
      <c r="J131" s="459"/>
      <c r="K131" s="459"/>
      <c r="L131" s="459"/>
      <c r="M131" s="459"/>
      <c r="N131" s="459"/>
      <c r="O131" s="459"/>
      <c r="P131" s="459"/>
      <c r="Q131" s="525"/>
      <c r="R131" s="625"/>
      <c r="S131" s="624"/>
      <c r="T131" s="516"/>
      <c r="U131" s="516"/>
      <c r="V131" s="508"/>
      <c r="W131" s="517"/>
      <c r="X131" s="517"/>
      <c r="Y131" s="517"/>
      <c r="Z131" s="517"/>
      <c r="AA131" s="517"/>
      <c r="AB131" s="517"/>
      <c r="AC131" s="517"/>
      <c r="AD131" s="517"/>
      <c r="AE131" s="517"/>
      <c r="AF131" s="517"/>
    </row>
    <row r="132" spans="1:32" s="518" customFormat="1" ht="12" hidden="1" customHeight="1">
      <c r="A132" s="515"/>
      <c r="B132" s="515"/>
      <c r="C132" s="579" t="s">
        <v>133</v>
      </c>
      <c r="D132" s="580"/>
      <c r="E132" s="580"/>
      <c r="F132" s="460" t="s">
        <v>653</v>
      </c>
      <c r="G132" s="736" t="s">
        <v>34</v>
      </c>
      <c r="H132" s="736" t="str">
        <f>IF(S16=3,"","aanwezig")</f>
        <v>aanwezig</v>
      </c>
      <c r="I132" s="580"/>
      <c r="J132" s="580"/>
      <c r="K132" s="580"/>
      <c r="L132" s="580"/>
      <c r="M132" s="580"/>
      <c r="N132" s="580"/>
      <c r="O132" s="580"/>
      <c r="P132" s="580"/>
      <c r="Q132" s="525" t="str">
        <f>IF(D77="n.v.t.","verbergen","")</f>
        <v>verbergen</v>
      </c>
      <c r="R132" s="625"/>
      <c r="S132" s="624"/>
      <c r="T132" s="516"/>
      <c r="U132" s="516"/>
      <c r="V132" s="508"/>
      <c r="W132" s="517"/>
      <c r="X132" s="517"/>
      <c r="Y132" s="517"/>
      <c r="Z132" s="517"/>
      <c r="AA132" s="517"/>
      <c r="AB132" s="517"/>
      <c r="AC132" s="517"/>
      <c r="AD132" s="517"/>
      <c r="AE132" s="517"/>
      <c r="AF132" s="517"/>
    </row>
    <row r="133" spans="1:32" s="518" customFormat="1" ht="12" customHeight="1">
      <c r="A133" s="515"/>
      <c r="B133" s="515"/>
      <c r="C133" s="617" t="s">
        <v>739</v>
      </c>
      <c r="D133" s="404"/>
      <c r="E133" s="404"/>
      <c r="F133" s="618">
        <v>1</v>
      </c>
      <c r="G133" s="619">
        <f>F133*7</f>
        <v>7</v>
      </c>
      <c r="H133" s="620">
        <f>G133</f>
        <v>7</v>
      </c>
      <c r="I133" s="621"/>
      <c r="J133" s="622"/>
      <c r="K133" s="827"/>
      <c r="L133" s="827"/>
      <c r="M133" s="827"/>
      <c r="N133" s="827"/>
      <c r="O133" s="827"/>
      <c r="P133" s="827"/>
      <c r="Q133" s="525" t="str">
        <f>IF(H133&gt;0,"","verbergen")</f>
        <v/>
      </c>
      <c r="R133" s="625"/>
      <c r="S133" s="624"/>
      <c r="T133" s="516"/>
      <c r="U133" s="516"/>
      <c r="V133" s="508"/>
      <c r="W133" s="517"/>
      <c r="X133" s="517"/>
      <c r="Y133" s="517"/>
      <c r="Z133" s="517"/>
      <c r="AA133" s="517"/>
      <c r="AB133" s="517"/>
      <c r="AC133" s="517"/>
      <c r="AD133" s="517"/>
      <c r="AE133" s="517"/>
      <c r="AF133" s="517"/>
    </row>
    <row r="134" spans="1:32" s="518" customFormat="1" ht="12" hidden="1" customHeight="1">
      <c r="A134" s="515"/>
      <c r="B134" s="515"/>
      <c r="C134" s="617" t="s">
        <v>739</v>
      </c>
      <c r="D134" s="404"/>
      <c r="E134" s="404"/>
      <c r="F134" s="618">
        <v>0</v>
      </c>
      <c r="G134" s="619">
        <f>F134*14</f>
        <v>0</v>
      </c>
      <c r="H134" s="620">
        <f>G134</f>
        <v>0</v>
      </c>
      <c r="I134" s="621"/>
      <c r="J134" s="622"/>
      <c r="K134" s="827"/>
      <c r="L134" s="827"/>
      <c r="M134" s="827"/>
      <c r="N134" s="827"/>
      <c r="O134" s="827"/>
      <c r="P134" s="827"/>
      <c r="Q134" s="525" t="str">
        <f t="shared" ref="Q134:Q138" si="22">IF(H134&gt;0,"","verbergen")</f>
        <v>verbergen</v>
      </c>
      <c r="R134" s="625"/>
      <c r="S134" s="624"/>
      <c r="T134" s="516"/>
      <c r="U134" s="516"/>
      <c r="V134" s="508"/>
      <c r="W134" s="517"/>
      <c r="X134" s="517"/>
      <c r="Y134" s="517"/>
      <c r="Z134" s="517"/>
      <c r="AA134" s="517"/>
      <c r="AB134" s="517"/>
      <c r="AC134" s="517"/>
      <c r="AD134" s="517"/>
      <c r="AE134" s="517"/>
      <c r="AF134" s="517"/>
    </row>
    <row r="135" spans="1:32" s="518" customFormat="1" ht="12" customHeight="1">
      <c r="A135" s="515"/>
      <c r="B135" s="515"/>
      <c r="C135" s="617" t="s">
        <v>740</v>
      </c>
      <c r="D135" s="404"/>
      <c r="E135" s="404"/>
      <c r="F135" s="618">
        <v>1</v>
      </c>
      <c r="G135" s="619">
        <f>F135*7</f>
        <v>7</v>
      </c>
      <c r="H135" s="620">
        <f>G135</f>
        <v>7</v>
      </c>
      <c r="I135" s="621"/>
      <c r="J135" s="622"/>
      <c r="K135" s="827"/>
      <c r="L135" s="827"/>
      <c r="M135" s="827"/>
      <c r="N135" s="827"/>
      <c r="O135" s="827"/>
      <c r="P135" s="827"/>
      <c r="Q135" s="525" t="str">
        <f t="shared" si="22"/>
        <v/>
      </c>
      <c r="R135" s="625"/>
      <c r="S135" s="624"/>
      <c r="T135" s="516"/>
      <c r="U135" s="516"/>
      <c r="V135" s="508"/>
      <c r="W135" s="517"/>
      <c r="X135" s="517"/>
      <c r="Y135" s="517"/>
      <c r="Z135" s="517"/>
      <c r="AA135" s="517"/>
      <c r="AB135" s="517"/>
      <c r="AC135" s="517"/>
      <c r="AD135" s="517"/>
      <c r="AE135" s="517"/>
      <c r="AF135" s="517"/>
    </row>
    <row r="136" spans="1:32" s="518" customFormat="1" ht="12" hidden="1" customHeight="1">
      <c r="A136" s="515"/>
      <c r="B136" s="515"/>
      <c r="C136" s="617" t="s">
        <v>140</v>
      </c>
      <c r="D136" s="404"/>
      <c r="E136" s="404"/>
      <c r="F136" s="626"/>
      <c r="G136" s="619" t="s">
        <v>268</v>
      </c>
      <c r="H136" s="620"/>
      <c r="I136" s="621"/>
      <c r="J136" s="622"/>
      <c r="K136" s="827"/>
      <c r="L136" s="827"/>
      <c r="M136" s="827"/>
      <c r="N136" s="827"/>
      <c r="O136" s="827"/>
      <c r="P136" s="827"/>
      <c r="Q136" s="525" t="str">
        <f t="shared" si="22"/>
        <v>verbergen</v>
      </c>
      <c r="R136" s="625"/>
      <c r="S136" s="624"/>
      <c r="T136" s="516"/>
      <c r="U136" s="516"/>
      <c r="V136" s="508"/>
      <c r="W136" s="517"/>
      <c r="X136" s="517"/>
      <c r="Y136" s="517"/>
      <c r="Z136" s="517"/>
      <c r="AA136" s="517"/>
      <c r="AB136" s="517"/>
      <c r="AC136" s="517"/>
      <c r="AD136" s="517"/>
      <c r="AE136" s="517"/>
      <c r="AF136" s="517"/>
    </row>
    <row r="137" spans="1:32" s="518" customFormat="1" ht="12" hidden="1" customHeight="1">
      <c r="A137" s="515"/>
      <c r="B137" s="515"/>
      <c r="C137" s="617" t="s">
        <v>140</v>
      </c>
      <c r="D137" s="404"/>
      <c r="E137" s="404"/>
      <c r="F137" s="626"/>
      <c r="G137" s="619" t="s">
        <v>268</v>
      </c>
      <c r="H137" s="620"/>
      <c r="I137" s="621"/>
      <c r="J137" s="622"/>
      <c r="K137" s="827"/>
      <c r="L137" s="827"/>
      <c r="M137" s="827"/>
      <c r="N137" s="827"/>
      <c r="O137" s="827"/>
      <c r="P137" s="827"/>
      <c r="Q137" s="525" t="str">
        <f t="shared" si="22"/>
        <v>verbergen</v>
      </c>
      <c r="R137" s="625"/>
      <c r="S137" s="624"/>
      <c r="T137" s="516"/>
      <c r="U137" s="516"/>
      <c r="V137" s="508"/>
      <c r="W137" s="517"/>
      <c r="X137" s="517"/>
      <c r="Y137" s="517"/>
      <c r="Z137" s="517"/>
      <c r="AA137" s="517"/>
      <c r="AB137" s="517"/>
      <c r="AC137" s="517"/>
      <c r="AD137" s="517"/>
      <c r="AE137" s="517"/>
      <c r="AF137" s="517"/>
    </row>
    <row r="138" spans="1:32" s="518" customFormat="1" ht="12" hidden="1" customHeight="1">
      <c r="A138" s="515"/>
      <c r="B138" s="515"/>
      <c r="C138" s="627" t="s">
        <v>140</v>
      </c>
      <c r="D138" s="628"/>
      <c r="E138" s="628"/>
      <c r="F138" s="629"/>
      <c r="G138" s="630" t="s">
        <v>268</v>
      </c>
      <c r="H138" s="631"/>
      <c r="I138" s="632"/>
      <c r="J138" s="633"/>
      <c r="K138" s="828"/>
      <c r="L138" s="828"/>
      <c r="M138" s="828"/>
      <c r="N138" s="828"/>
      <c r="O138" s="828"/>
      <c r="P138" s="828"/>
      <c r="Q138" s="525" t="str">
        <f t="shared" si="22"/>
        <v>verbergen</v>
      </c>
      <c r="R138" s="625"/>
      <c r="S138" s="624"/>
      <c r="T138" s="516"/>
      <c r="U138" s="516"/>
      <c r="V138" s="508"/>
      <c r="W138" s="517"/>
      <c r="X138" s="517"/>
      <c r="Y138" s="517"/>
      <c r="Z138" s="517"/>
      <c r="AA138" s="517"/>
      <c r="AB138" s="517"/>
      <c r="AC138" s="517"/>
      <c r="AD138" s="517"/>
      <c r="AE138" s="517"/>
      <c r="AF138" s="517"/>
    </row>
    <row r="139" spans="1:32" s="518" customFormat="1" ht="12" hidden="1" customHeight="1">
      <c r="A139" s="515"/>
      <c r="B139" s="515"/>
      <c r="C139" s="634" t="s">
        <v>16</v>
      </c>
      <c r="D139" s="592"/>
      <c r="E139" s="592"/>
      <c r="F139" s="635"/>
      <c r="G139" s="636">
        <f>SUM(G133:G138)</f>
        <v>14</v>
      </c>
      <c r="H139" s="636">
        <f>SUM(H133:H138)</f>
        <v>14</v>
      </c>
      <c r="I139" s="637"/>
      <c r="J139" s="732"/>
      <c r="K139" s="638"/>
      <c r="L139" s="639"/>
      <c r="M139" s="830"/>
      <c r="N139" s="830"/>
      <c r="O139" s="830"/>
      <c r="P139" s="830"/>
      <c r="Q139" s="525" t="str">
        <f>IF(D77="n.v.t.","verbergen","")</f>
        <v>verbergen</v>
      </c>
      <c r="R139" s="625"/>
      <c r="S139" s="624"/>
      <c r="T139" s="516"/>
      <c r="U139" s="516"/>
      <c r="V139" s="508"/>
      <c r="W139" s="517"/>
      <c r="X139" s="517"/>
      <c r="Y139" s="517"/>
      <c r="Z139" s="517"/>
      <c r="AA139" s="517"/>
      <c r="AB139" s="517"/>
      <c r="AC139" s="517"/>
      <c r="AD139" s="517"/>
      <c r="AE139" s="517"/>
      <c r="AF139" s="517"/>
    </row>
    <row r="140" spans="1:32" s="518" customFormat="1" ht="12" hidden="1" customHeight="1">
      <c r="A140" s="515"/>
      <c r="B140" s="515"/>
      <c r="C140" s="640"/>
      <c r="D140" s="831"/>
      <c r="E140" s="831"/>
      <c r="F140" s="641"/>
      <c r="G140" s="642">
        <f>G139*3.6</f>
        <v>50.4</v>
      </c>
      <c r="H140" s="642">
        <f>H139*3.6</f>
        <v>50.4</v>
      </c>
      <c r="I140" s="643"/>
      <c r="J140" s="404"/>
      <c r="K140" s="422"/>
      <c r="L140" s="614"/>
      <c r="M140" s="826"/>
      <c r="N140" s="826"/>
      <c r="O140" s="565"/>
      <c r="P140" s="615"/>
      <c r="Q140" s="525" t="str">
        <f>IF(D77="n.v.t.","verbergen","")</f>
        <v>verbergen</v>
      </c>
      <c r="R140" s="625"/>
      <c r="S140" s="624"/>
      <c r="T140" s="516"/>
      <c r="U140" s="516"/>
      <c r="V140" s="508"/>
      <c r="W140" s="517"/>
      <c r="X140" s="517"/>
      <c r="Y140" s="517"/>
      <c r="Z140" s="517"/>
      <c r="AA140" s="517"/>
      <c r="AB140" s="517"/>
      <c r="AC140" s="517"/>
      <c r="AD140" s="517"/>
      <c r="AE140" s="517"/>
      <c r="AF140" s="517"/>
    </row>
    <row r="141" spans="1:32" s="518" customFormat="1" ht="15" customHeight="1">
      <c r="A141" s="515"/>
      <c r="B141" s="515"/>
      <c r="C141" s="644" t="s">
        <v>1088</v>
      </c>
      <c r="D141" s="645"/>
      <c r="E141" s="645"/>
      <c r="F141" s="645"/>
      <c r="G141" s="645"/>
      <c r="H141" s="645"/>
      <c r="I141" s="645"/>
      <c r="J141" s="645"/>
      <c r="K141" s="645"/>
      <c r="L141" s="645"/>
      <c r="M141" s="645"/>
      <c r="N141" s="645"/>
      <c r="O141" s="645"/>
      <c r="P141" s="645"/>
      <c r="Q141" s="516" t="str">
        <f>IF(D72="berekening op basis van minimale capaciteit","verbergen","")</f>
        <v/>
      </c>
      <c r="R141" s="616"/>
      <c r="S141" s="516"/>
      <c r="T141" s="521"/>
      <c r="U141" s="516"/>
      <c r="V141" s="517"/>
      <c r="W141" s="517"/>
      <c r="X141" s="517"/>
      <c r="Y141" s="517"/>
      <c r="Z141" s="517"/>
      <c r="AA141" s="517"/>
      <c r="AB141" s="517"/>
      <c r="AC141" s="524"/>
      <c r="AD141" s="517"/>
      <c r="AE141" s="517"/>
      <c r="AF141" s="517"/>
    </row>
    <row r="142" spans="1:32" s="518" customFormat="1" ht="12.75" hidden="1" customHeight="1">
      <c r="A142" s="515"/>
      <c r="B142" s="515"/>
      <c r="C142" s="576"/>
      <c r="D142" s="576"/>
      <c r="E142" s="576"/>
      <c r="F142" s="576"/>
      <c r="G142" s="576"/>
      <c r="H142" s="577"/>
      <c r="I142" s="577"/>
      <c r="J142" s="577"/>
      <c r="K142" s="577"/>
      <c r="L142" s="577"/>
      <c r="M142" s="577"/>
      <c r="N142" s="577"/>
      <c r="O142" s="577"/>
      <c r="P142" s="577"/>
      <c r="Q142" s="522"/>
      <c r="R142" s="516"/>
      <c r="S142" s="516"/>
      <c r="T142" s="521"/>
      <c r="U142" s="516"/>
      <c r="V142" s="548"/>
      <c r="W142" s="548"/>
      <c r="X142" s="548"/>
      <c r="Y142" s="548"/>
      <c r="Z142" s="517"/>
      <c r="AA142" s="517"/>
      <c r="AB142" s="517"/>
      <c r="AC142" s="524"/>
      <c r="AD142" s="517"/>
      <c r="AE142" s="517"/>
      <c r="AF142" s="517"/>
    </row>
    <row r="143" spans="1:32" ht="15" customHeight="1">
      <c r="A143" s="492"/>
      <c r="B143" s="492"/>
      <c r="C143" s="579" t="s">
        <v>730</v>
      </c>
      <c r="D143" s="580"/>
      <c r="E143" s="646" t="s">
        <v>731</v>
      </c>
      <c r="F143" s="580"/>
      <c r="G143" s="580"/>
      <c r="H143" s="460" t="s">
        <v>732</v>
      </c>
      <c r="I143" s="832" t="s">
        <v>605</v>
      </c>
      <c r="J143" s="832"/>
      <c r="K143" s="580"/>
      <c r="L143" s="580"/>
      <c r="M143" s="580"/>
      <c r="N143" s="580"/>
      <c r="O143" s="580"/>
      <c r="P143" s="580"/>
      <c r="Q143" s="507" t="str">
        <f>IF(D72="berekening op basis van minimale capaciteit","verbergen","")</f>
        <v/>
      </c>
      <c r="R143" s="507"/>
      <c r="S143" s="507"/>
      <c r="T143" s="532"/>
      <c r="U143" s="507"/>
      <c r="V143" s="508"/>
      <c r="W143" s="508"/>
      <c r="X143" s="508"/>
      <c r="Y143" s="508"/>
      <c r="Z143" s="508"/>
      <c r="AA143" s="508"/>
      <c r="AB143" s="508"/>
      <c r="AC143" s="534"/>
      <c r="AD143" s="508"/>
      <c r="AE143" s="508"/>
      <c r="AF143" s="508"/>
    </row>
    <row r="144" spans="1:32" s="518" customFormat="1" ht="12" customHeight="1">
      <c r="A144" s="516"/>
      <c r="B144" s="515"/>
      <c r="C144" s="464" t="str">
        <f>L28</f>
        <v>woonkamer / eetkamer</v>
      </c>
      <c r="D144" s="100" t="s">
        <v>141</v>
      </c>
      <c r="E144" s="464" t="str">
        <f>L29</f>
        <v>keuken</v>
      </c>
      <c r="F144" s="586"/>
      <c r="G144" s="586"/>
      <c r="H144" s="647">
        <v>21</v>
      </c>
      <c r="I144" s="833">
        <f>H144*12</f>
        <v>252</v>
      </c>
      <c r="J144" s="833"/>
      <c r="K144" s="834" t="str">
        <f>IF(I144&gt;180,"zie rapport voor nadere toelichting overstroomvoorzieningen","")</f>
        <v>zie rapport voor nadere toelichting overstroomvoorzieningen</v>
      </c>
      <c r="L144" s="834"/>
      <c r="M144" s="834"/>
      <c r="N144" s="834"/>
      <c r="O144" s="834"/>
      <c r="P144" s="834"/>
      <c r="Q144" s="525" t="str">
        <f t="shared" ref="Q144:Q148" si="23">IF(H144=0,"verbergen","")</f>
        <v/>
      </c>
      <c r="R144" s="516"/>
      <c r="S144" s="516"/>
      <c r="T144" s="521"/>
      <c r="U144" s="516"/>
      <c r="V144" s="517"/>
      <c r="W144" s="517"/>
      <c r="X144" s="517"/>
      <c r="Y144" s="517"/>
      <c r="Z144" s="508">
        <v>1</v>
      </c>
      <c r="AA144" s="648"/>
      <c r="AB144" s="517"/>
      <c r="AC144" s="517"/>
      <c r="AD144" s="517"/>
      <c r="AE144" s="517"/>
      <c r="AF144" s="517"/>
    </row>
    <row r="145" spans="1:32" s="518" customFormat="1" ht="12" customHeight="1">
      <c r="A145" s="516"/>
      <c r="B145" s="515"/>
      <c r="C145" s="464" t="str">
        <f>L28</f>
        <v>woonkamer / eetkamer</v>
      </c>
      <c r="D145" s="100" t="s">
        <v>141</v>
      </c>
      <c r="E145" s="464" t="s">
        <v>1159</v>
      </c>
      <c r="F145" s="586"/>
      <c r="G145" s="586"/>
      <c r="H145" s="647">
        <v>14</v>
      </c>
      <c r="I145" s="833">
        <f t="shared" ref="I145:I148" si="24">H145*12</f>
        <v>168</v>
      </c>
      <c r="J145" s="833"/>
      <c r="K145" s="834" t="str">
        <f>IF(I145&gt;180,"zie rapport voor nadere toelichting overstroomvoorzieningen","")</f>
        <v/>
      </c>
      <c r="L145" s="834"/>
      <c r="M145" s="834"/>
      <c r="N145" s="834"/>
      <c r="O145" s="834"/>
      <c r="P145" s="834"/>
      <c r="Q145" s="525" t="str">
        <f t="shared" si="23"/>
        <v/>
      </c>
      <c r="R145" s="516"/>
      <c r="S145" s="516"/>
      <c r="T145" s="521"/>
      <c r="U145" s="516"/>
      <c r="V145" s="517"/>
      <c r="W145" s="517"/>
      <c r="X145" s="517"/>
      <c r="Y145" s="517"/>
      <c r="Z145" s="508">
        <v>1</v>
      </c>
      <c r="AA145" s="648"/>
      <c r="AB145" s="517"/>
      <c r="AC145" s="517"/>
      <c r="AD145" s="517"/>
      <c r="AE145" s="517"/>
      <c r="AF145" s="517"/>
    </row>
    <row r="146" spans="1:32" s="518" customFormat="1" ht="12" hidden="1" customHeight="1">
      <c r="A146" s="516"/>
      <c r="B146" s="515"/>
      <c r="C146" s="464" t="s">
        <v>140</v>
      </c>
      <c r="D146" s="100" t="s">
        <v>141</v>
      </c>
      <c r="E146" s="464" t="s">
        <v>140</v>
      </c>
      <c r="F146" s="586"/>
      <c r="G146" s="586"/>
      <c r="H146" s="647">
        <v>0</v>
      </c>
      <c r="I146" s="833">
        <f t="shared" si="24"/>
        <v>0</v>
      </c>
      <c r="J146" s="833"/>
      <c r="K146" s="834" t="str">
        <f>IF(I146&gt;180,"zie rapport voor nadere toelichting overstroomvoorzieningen","")</f>
        <v/>
      </c>
      <c r="L146" s="834"/>
      <c r="M146" s="834"/>
      <c r="N146" s="834"/>
      <c r="O146" s="834"/>
      <c r="P146" s="834"/>
      <c r="Q146" s="525" t="str">
        <f t="shared" si="23"/>
        <v>verbergen</v>
      </c>
      <c r="R146" s="516"/>
      <c r="S146" s="516"/>
      <c r="T146" s="521"/>
      <c r="U146" s="516"/>
      <c r="V146" s="517"/>
      <c r="W146" s="517"/>
      <c r="X146" s="517"/>
      <c r="Y146" s="517"/>
      <c r="Z146" s="508">
        <v>1</v>
      </c>
      <c r="AA146" s="648"/>
      <c r="AB146" s="517"/>
      <c r="AC146" s="517"/>
      <c r="AD146" s="517"/>
      <c r="AE146" s="517"/>
      <c r="AF146" s="517"/>
    </row>
    <row r="147" spans="1:32" s="518" customFormat="1" ht="12" hidden="1" customHeight="1">
      <c r="A147" s="527"/>
      <c r="B147" s="515"/>
      <c r="C147" s="464" t="s">
        <v>140</v>
      </c>
      <c r="D147" s="100" t="s">
        <v>141</v>
      </c>
      <c r="E147" s="464" t="s">
        <v>140</v>
      </c>
      <c r="F147" s="586"/>
      <c r="G147" s="404"/>
      <c r="H147" s="647">
        <v>0</v>
      </c>
      <c r="I147" s="833">
        <f t="shared" si="24"/>
        <v>0</v>
      </c>
      <c r="J147" s="833"/>
      <c r="K147" s="834" t="str">
        <f>IF(I147&gt;180,"zie rapport voor nadere toelichting overstroomvoorzieningen","")</f>
        <v/>
      </c>
      <c r="L147" s="834"/>
      <c r="M147" s="834"/>
      <c r="N147" s="834"/>
      <c r="O147" s="834"/>
      <c r="P147" s="834"/>
      <c r="Q147" s="525" t="str">
        <f t="shared" si="23"/>
        <v>verbergen</v>
      </c>
      <c r="R147" s="516"/>
      <c r="S147" s="516"/>
      <c r="T147" s="521"/>
      <c r="U147" s="516"/>
      <c r="V147" s="517"/>
      <c r="W147" s="517"/>
      <c r="X147" s="517"/>
      <c r="Y147" s="517"/>
      <c r="Z147" s="508">
        <v>1</v>
      </c>
      <c r="AA147" s="648"/>
      <c r="AB147" s="517"/>
      <c r="AC147" s="517"/>
      <c r="AD147" s="517"/>
      <c r="AE147" s="517"/>
      <c r="AF147" s="517"/>
    </row>
    <row r="148" spans="1:32" s="518" customFormat="1" ht="12" hidden="1" customHeight="1">
      <c r="A148" s="527"/>
      <c r="B148" s="515"/>
      <c r="C148" s="464" t="s">
        <v>140</v>
      </c>
      <c r="D148" s="342" t="s">
        <v>141</v>
      </c>
      <c r="E148" s="464" t="s">
        <v>140</v>
      </c>
      <c r="F148" s="609"/>
      <c r="G148" s="628"/>
      <c r="H148" s="649">
        <v>0</v>
      </c>
      <c r="I148" s="835">
        <f t="shared" si="24"/>
        <v>0</v>
      </c>
      <c r="J148" s="835"/>
      <c r="K148" s="836" t="str">
        <f>IF(I148&gt;180,"zie rapport voor nadere toelichting overstroomvoorzieningen","")</f>
        <v/>
      </c>
      <c r="L148" s="836"/>
      <c r="M148" s="836"/>
      <c r="N148" s="836"/>
      <c r="O148" s="836"/>
      <c r="P148" s="836"/>
      <c r="Q148" s="525" t="str">
        <f t="shared" si="23"/>
        <v>verbergen</v>
      </c>
      <c r="R148" s="516"/>
      <c r="S148" s="516"/>
      <c r="T148" s="521"/>
      <c r="U148" s="516"/>
      <c r="V148" s="517"/>
      <c r="W148" s="517"/>
      <c r="X148" s="517"/>
      <c r="Y148" s="517"/>
      <c r="Z148" s="508">
        <v>1</v>
      </c>
      <c r="AA148" s="648"/>
      <c r="AB148" s="517"/>
      <c r="AC148" s="517"/>
      <c r="AD148" s="517"/>
      <c r="AE148" s="517"/>
      <c r="AF148" s="517"/>
    </row>
    <row r="149" spans="1:32" s="518" customFormat="1" ht="12" customHeight="1">
      <c r="A149" s="527"/>
      <c r="B149" s="590">
        <v>1</v>
      </c>
      <c r="C149" s="480">
        <f>B149</f>
        <v>1</v>
      </c>
      <c r="D149" s="592"/>
      <c r="E149" s="592"/>
      <c r="F149" s="650"/>
      <c r="G149" s="592"/>
      <c r="H149" s="651"/>
      <c r="I149" s="652"/>
      <c r="J149" s="653"/>
      <c r="K149" s="837" t="str">
        <f>IF(MAX(P144:P148)&gt;200,"zie rapport voor nadere toelichting overstroomvoorzieningen","")</f>
        <v/>
      </c>
      <c r="L149" s="837"/>
      <c r="M149" s="837"/>
      <c r="N149" s="837"/>
      <c r="O149" s="837"/>
      <c r="P149" s="837"/>
      <c r="Q149" s="516" t="str">
        <f>IF(SUM(H144:H150)=0,"verbergen","")</f>
        <v/>
      </c>
      <c r="R149" s="516"/>
      <c r="S149" s="516"/>
      <c r="T149" s="521"/>
      <c r="U149" s="516"/>
      <c r="V149" s="517"/>
      <c r="W149" s="517"/>
      <c r="X149" s="517"/>
      <c r="Y149" s="517"/>
      <c r="Z149" s="508">
        <v>1</v>
      </c>
      <c r="AA149" s="648"/>
      <c r="AB149" s="517"/>
      <c r="AC149" s="517"/>
      <c r="AD149" s="517"/>
      <c r="AE149" s="517"/>
      <c r="AF149" s="517"/>
    </row>
    <row r="150" spans="1:32" s="518" customFormat="1" ht="12" customHeight="1">
      <c r="A150" s="527"/>
      <c r="B150" s="515"/>
      <c r="C150" s="654"/>
      <c r="D150" s="404"/>
      <c r="E150" s="404"/>
      <c r="F150" s="586"/>
      <c r="G150" s="404"/>
      <c r="H150" s="655"/>
      <c r="I150" s="656"/>
      <c r="J150" s="657"/>
      <c r="K150" s="838"/>
      <c r="L150" s="838"/>
      <c r="M150" s="839"/>
      <c r="N150" s="839"/>
      <c r="O150" s="840"/>
      <c r="P150" s="840"/>
      <c r="Q150" s="516" t="str">
        <f>Q149</f>
        <v/>
      </c>
      <c r="R150" s="516"/>
      <c r="S150" s="516"/>
      <c r="T150" s="521"/>
      <c r="U150" s="516"/>
      <c r="V150" s="517"/>
      <c r="W150" s="517"/>
      <c r="X150" s="517"/>
      <c r="Y150" s="517"/>
      <c r="Z150" s="508">
        <v>1</v>
      </c>
      <c r="AA150" s="648"/>
      <c r="AB150" s="517"/>
      <c r="AC150" s="517"/>
      <c r="AD150" s="517"/>
      <c r="AE150" s="517"/>
      <c r="AF150" s="517"/>
    </row>
    <row r="151" spans="1:32" s="541" customFormat="1" ht="12" customHeight="1">
      <c r="A151" s="392"/>
      <c r="B151" s="543"/>
      <c r="C151" s="464" t="str">
        <f>L29</f>
        <v>keuken</v>
      </c>
      <c r="D151" s="100" t="s">
        <v>141</v>
      </c>
      <c r="E151" s="464" t="str">
        <f>L30</f>
        <v>bijkeuken</v>
      </c>
      <c r="F151" s="586"/>
      <c r="G151" s="586"/>
      <c r="H151" s="647">
        <v>7</v>
      </c>
      <c r="I151" s="833">
        <f>H151*12</f>
        <v>84</v>
      </c>
      <c r="J151" s="833"/>
      <c r="K151" s="834" t="str">
        <f>IF(I151&gt;180,"zie rapport voor nadere toelichting overstroomvoorzieningen","")</f>
        <v/>
      </c>
      <c r="L151" s="834"/>
      <c r="M151" s="834"/>
      <c r="N151" s="834"/>
      <c r="O151" s="834"/>
      <c r="P151" s="834"/>
      <c r="Q151" s="729" t="str">
        <f>IF(H151=0,"verbergen","")</f>
        <v/>
      </c>
      <c r="R151" s="392"/>
      <c r="S151" s="392"/>
      <c r="T151" s="544"/>
      <c r="U151" s="392"/>
      <c r="V151" s="392"/>
      <c r="W151" s="392"/>
      <c r="X151" s="392"/>
      <c r="Y151" s="392"/>
      <c r="Z151" s="547">
        <f>Z150+1</f>
        <v>2</v>
      </c>
      <c r="AA151" s="404"/>
      <c r="AB151" s="516"/>
      <c r="AC151" s="516"/>
      <c r="AD151" s="516"/>
      <c r="AE151" s="516"/>
      <c r="AF151" s="515"/>
    </row>
    <row r="152" spans="1:32" s="541" customFormat="1" ht="12" hidden="1" customHeight="1">
      <c r="A152" s="392"/>
      <c r="B152" s="543"/>
      <c r="C152" s="464" t="s">
        <v>140</v>
      </c>
      <c r="D152" s="100" t="s">
        <v>141</v>
      </c>
      <c r="E152" s="464" t="s">
        <v>140</v>
      </c>
      <c r="F152" s="586"/>
      <c r="G152" s="586"/>
      <c r="H152" s="647">
        <v>0</v>
      </c>
      <c r="I152" s="833">
        <f t="shared" ref="I152:I155" si="25">H152*12</f>
        <v>0</v>
      </c>
      <c r="J152" s="833"/>
      <c r="K152" s="834" t="str">
        <f>IF(I152&gt;180,"zie rapport voor nadere toelichting overstroomvoorzieningen","")</f>
        <v/>
      </c>
      <c r="L152" s="834"/>
      <c r="M152" s="834"/>
      <c r="N152" s="834"/>
      <c r="O152" s="834"/>
      <c r="P152" s="834"/>
      <c r="Q152" s="729" t="str">
        <f>IF(H152=0,"verbergen","")</f>
        <v>verbergen</v>
      </c>
      <c r="R152" s="392"/>
      <c r="S152" s="392"/>
      <c r="T152" s="544"/>
      <c r="U152" s="392"/>
      <c r="V152" s="392"/>
      <c r="W152" s="392"/>
      <c r="X152" s="392"/>
      <c r="Y152" s="392"/>
      <c r="Z152" s="547">
        <f t="shared" ref="Z152:Z157" si="26">Z151</f>
        <v>2</v>
      </c>
      <c r="AA152" s="404"/>
      <c r="AB152" s="516"/>
      <c r="AC152" s="516"/>
      <c r="AD152" s="516"/>
      <c r="AE152" s="516"/>
      <c r="AF152" s="515"/>
    </row>
    <row r="153" spans="1:32" s="541" customFormat="1" ht="12" hidden="1" customHeight="1">
      <c r="A153" s="392"/>
      <c r="B153" s="543"/>
      <c r="C153" s="464" t="s">
        <v>140</v>
      </c>
      <c r="D153" s="100" t="s">
        <v>141</v>
      </c>
      <c r="E153" s="464" t="s">
        <v>140</v>
      </c>
      <c r="F153" s="586"/>
      <c r="G153" s="586"/>
      <c r="H153" s="647">
        <v>0</v>
      </c>
      <c r="I153" s="833">
        <f t="shared" si="25"/>
        <v>0</v>
      </c>
      <c r="J153" s="833"/>
      <c r="K153" s="834" t="str">
        <f>IF(I153&gt;180,"zie rapport voor nadere toelichting overstroomvoorzieningen","")</f>
        <v/>
      </c>
      <c r="L153" s="834"/>
      <c r="M153" s="834"/>
      <c r="N153" s="834"/>
      <c r="O153" s="834"/>
      <c r="P153" s="834"/>
      <c r="Q153" s="729" t="str">
        <f>IF(H153=0,"verbergen","")</f>
        <v>verbergen</v>
      </c>
      <c r="R153" s="392"/>
      <c r="S153" s="392"/>
      <c r="T153" s="544"/>
      <c r="U153" s="392"/>
      <c r="V153" s="392"/>
      <c r="W153" s="392"/>
      <c r="X153" s="392"/>
      <c r="Y153" s="392"/>
      <c r="Z153" s="547">
        <f t="shared" si="26"/>
        <v>2</v>
      </c>
      <c r="AA153" s="404"/>
      <c r="AB153" s="516"/>
      <c r="AC153" s="516"/>
      <c r="AD153" s="516"/>
      <c r="AE153" s="516"/>
      <c r="AF153" s="515"/>
    </row>
    <row r="154" spans="1:32" s="541" customFormat="1" ht="12" hidden="1" customHeight="1">
      <c r="A154" s="542"/>
      <c r="B154" s="543"/>
      <c r="C154" s="464" t="s">
        <v>140</v>
      </c>
      <c r="D154" s="100" t="s">
        <v>141</v>
      </c>
      <c r="E154" s="464" t="s">
        <v>140</v>
      </c>
      <c r="F154" s="586"/>
      <c r="G154" s="404"/>
      <c r="H154" s="647">
        <v>0</v>
      </c>
      <c r="I154" s="833">
        <f t="shared" si="25"/>
        <v>0</v>
      </c>
      <c r="J154" s="833"/>
      <c r="K154" s="834" t="str">
        <f>IF(I154&gt;180,"zie rapport voor nadere toelichting overstroomvoorzieningen","")</f>
        <v/>
      </c>
      <c r="L154" s="834"/>
      <c r="M154" s="834"/>
      <c r="N154" s="834"/>
      <c r="O154" s="834"/>
      <c r="P154" s="834"/>
      <c r="Q154" s="729" t="str">
        <f>IF(H154=0,"verbergen","")</f>
        <v>verbergen</v>
      </c>
      <c r="R154" s="392"/>
      <c r="S154" s="392"/>
      <c r="T154" s="544"/>
      <c r="U154" s="392"/>
      <c r="V154" s="392"/>
      <c r="W154" s="392"/>
      <c r="X154" s="392"/>
      <c r="Y154" s="392"/>
      <c r="Z154" s="547">
        <f t="shared" si="26"/>
        <v>2</v>
      </c>
      <c r="AA154" s="404"/>
      <c r="AB154" s="516"/>
      <c r="AC154" s="516"/>
      <c r="AD154" s="516"/>
      <c r="AE154" s="516"/>
      <c r="AF154" s="515"/>
    </row>
    <row r="155" spans="1:32" s="541" customFormat="1" ht="12" hidden="1" customHeight="1">
      <c r="A155" s="542"/>
      <c r="B155" s="543"/>
      <c r="C155" s="464" t="s">
        <v>140</v>
      </c>
      <c r="D155" s="342" t="s">
        <v>141</v>
      </c>
      <c r="E155" s="464" t="s">
        <v>140</v>
      </c>
      <c r="F155" s="609"/>
      <c r="G155" s="628"/>
      <c r="H155" s="649">
        <v>0</v>
      </c>
      <c r="I155" s="835">
        <f t="shared" si="25"/>
        <v>0</v>
      </c>
      <c r="J155" s="835"/>
      <c r="K155" s="836" t="str">
        <f>IF(I155&gt;180,"zie rapport voor nadere toelichting overstroomvoorzieningen","")</f>
        <v/>
      </c>
      <c r="L155" s="836"/>
      <c r="M155" s="836"/>
      <c r="N155" s="836"/>
      <c r="O155" s="836"/>
      <c r="P155" s="836"/>
      <c r="Q155" s="729" t="str">
        <f>IF(H155=0,"verbergen","")</f>
        <v>verbergen</v>
      </c>
      <c r="R155" s="392"/>
      <c r="S155" s="392"/>
      <c r="T155" s="544"/>
      <c r="U155" s="392"/>
      <c r="V155" s="392"/>
      <c r="W155" s="392"/>
      <c r="X155" s="392"/>
      <c r="Y155" s="392"/>
      <c r="Z155" s="547">
        <f t="shared" si="26"/>
        <v>2</v>
      </c>
      <c r="AA155" s="404"/>
      <c r="AB155" s="516"/>
      <c r="AC155" s="516"/>
      <c r="AD155" s="516"/>
      <c r="AE155" s="516"/>
      <c r="AF155" s="515"/>
    </row>
    <row r="156" spans="1:32" s="541" customFormat="1" ht="12" customHeight="1">
      <c r="A156" s="542"/>
      <c r="B156" s="556">
        <f>B149+1</f>
        <v>2</v>
      </c>
      <c r="C156" s="480">
        <f>B156</f>
        <v>2</v>
      </c>
      <c r="D156" s="592"/>
      <c r="E156" s="592"/>
      <c r="F156" s="650"/>
      <c r="G156" s="592"/>
      <c r="H156" s="651"/>
      <c r="I156" s="652"/>
      <c r="J156" s="653"/>
      <c r="K156" s="837" t="str">
        <f>IF(MAX(P151:P155)&gt;200,"zie rapport voor nadere toelichting overstroomvoorzieningen","")</f>
        <v/>
      </c>
      <c r="L156" s="837"/>
      <c r="M156" s="837"/>
      <c r="N156" s="837"/>
      <c r="O156" s="837"/>
      <c r="P156" s="837"/>
      <c r="Q156" s="392" t="str">
        <f>IF(SUM(H151:H157)=0,"verbergen","")</f>
        <v/>
      </c>
      <c r="R156" s="392"/>
      <c r="S156" s="392"/>
      <c r="T156" s="544"/>
      <c r="U156" s="392"/>
      <c r="V156" s="392"/>
      <c r="W156" s="392"/>
      <c r="X156" s="392"/>
      <c r="Y156" s="392"/>
      <c r="Z156" s="547">
        <f t="shared" si="26"/>
        <v>2</v>
      </c>
      <c r="AA156" s="404"/>
      <c r="AB156" s="516"/>
      <c r="AC156" s="516"/>
      <c r="AD156" s="516"/>
      <c r="AE156" s="516"/>
      <c r="AF156" s="515"/>
    </row>
    <row r="157" spans="1:32" s="541" customFormat="1" ht="12" customHeight="1">
      <c r="A157" s="542"/>
      <c r="B157" s="543"/>
      <c r="C157" s="654"/>
      <c r="D157" s="404"/>
      <c r="E157" s="404"/>
      <c r="F157" s="586"/>
      <c r="G157" s="404"/>
      <c r="H157" s="655"/>
      <c r="I157" s="656"/>
      <c r="J157" s="657"/>
      <c r="K157" s="838"/>
      <c r="L157" s="838"/>
      <c r="M157" s="839"/>
      <c r="N157" s="839"/>
      <c r="O157" s="840"/>
      <c r="P157" s="840"/>
      <c r="Q157" s="392" t="str">
        <f>Q156</f>
        <v/>
      </c>
      <c r="R157" s="392"/>
      <c r="S157" s="392"/>
      <c r="T157" s="544"/>
      <c r="U157" s="392"/>
      <c r="V157" s="392"/>
      <c r="W157" s="392"/>
      <c r="X157" s="392"/>
      <c r="Y157" s="392"/>
      <c r="Z157" s="547">
        <f t="shared" si="26"/>
        <v>2</v>
      </c>
      <c r="AA157" s="404"/>
      <c r="AB157" s="516"/>
      <c r="AC157" s="516"/>
      <c r="AD157" s="516"/>
      <c r="AE157" s="516"/>
      <c r="AF157" s="515"/>
    </row>
    <row r="158" spans="1:32" s="541" customFormat="1" ht="12" customHeight="1">
      <c r="A158" s="392"/>
      <c r="B158" s="543"/>
      <c r="C158" s="464" t="str">
        <f>L31</f>
        <v>slaapkamer 1</v>
      </c>
      <c r="D158" s="100" t="s">
        <v>141</v>
      </c>
      <c r="E158" s="464" t="s">
        <v>1158</v>
      </c>
      <c r="F158" s="586"/>
      <c r="G158" s="586"/>
      <c r="H158" s="647">
        <v>14</v>
      </c>
      <c r="I158" s="833">
        <f>H158*12</f>
        <v>168</v>
      </c>
      <c r="J158" s="833"/>
      <c r="K158" s="834" t="str">
        <f>IF(I158&gt;200,"zie rapport voor nadere toelichting overstroomvoorzieningen","")</f>
        <v/>
      </c>
      <c r="L158" s="834"/>
      <c r="M158" s="834"/>
      <c r="N158" s="834"/>
      <c r="O158" s="834"/>
      <c r="P158" s="834"/>
      <c r="Q158" s="729" t="str">
        <f>IF(H158=0,"verbergen","")</f>
        <v/>
      </c>
      <c r="R158" s="392"/>
      <c r="S158" s="392"/>
      <c r="T158" s="544"/>
      <c r="U158" s="392"/>
      <c r="V158" s="392"/>
      <c r="W158" s="392"/>
      <c r="X158" s="392"/>
      <c r="Y158" s="392"/>
      <c r="Z158" s="547">
        <f>Z157+1</f>
        <v>3</v>
      </c>
      <c r="AA158" s="404"/>
      <c r="AB158" s="516"/>
      <c r="AC158" s="516"/>
      <c r="AD158" s="516"/>
      <c r="AE158" s="516"/>
      <c r="AF158" s="515"/>
    </row>
    <row r="159" spans="1:32" s="541" customFormat="1" ht="12" customHeight="1">
      <c r="A159" s="392"/>
      <c r="B159" s="543"/>
      <c r="C159" s="464" t="str">
        <f t="shared" ref="C159:C160" si="27">L32</f>
        <v>slaapkamer 2</v>
      </c>
      <c r="D159" s="100" t="s">
        <v>141</v>
      </c>
      <c r="E159" s="464" t="s">
        <v>1158</v>
      </c>
      <c r="F159" s="586"/>
      <c r="G159" s="586"/>
      <c r="H159" s="647">
        <v>14</v>
      </c>
      <c r="I159" s="833">
        <f t="shared" ref="I159:I162" si="28">H159*12</f>
        <v>168</v>
      </c>
      <c r="J159" s="833"/>
      <c r="K159" s="834" t="str">
        <f>IF(I159&gt;200,"zie rapport voor nadere toelichting overstroomvoorzieningen","")</f>
        <v/>
      </c>
      <c r="L159" s="834"/>
      <c r="M159" s="834"/>
      <c r="N159" s="834"/>
      <c r="O159" s="834"/>
      <c r="P159" s="834"/>
      <c r="Q159" s="729" t="str">
        <f>IF(H159=0,"verbergen","")</f>
        <v/>
      </c>
      <c r="R159" s="392"/>
      <c r="S159" s="392"/>
      <c r="T159" s="544"/>
      <c r="U159" s="392"/>
      <c r="V159" s="392"/>
      <c r="W159" s="392"/>
      <c r="X159" s="392"/>
      <c r="Y159" s="392"/>
      <c r="Z159" s="547">
        <f t="shared" ref="Z159:Z164" si="29">Z158</f>
        <v>3</v>
      </c>
      <c r="AA159" s="404"/>
      <c r="AB159" s="516"/>
      <c r="AC159" s="516"/>
      <c r="AD159" s="516"/>
      <c r="AE159" s="516"/>
      <c r="AF159" s="515"/>
    </row>
    <row r="160" spans="1:32" s="541" customFormat="1" ht="12" customHeight="1">
      <c r="A160" s="392"/>
      <c r="B160" s="543"/>
      <c r="C160" s="464" t="str">
        <f t="shared" si="27"/>
        <v>studeerkamer</v>
      </c>
      <c r="D160" s="100" t="s">
        <v>141</v>
      </c>
      <c r="E160" s="464" t="s">
        <v>1158</v>
      </c>
      <c r="F160" s="586"/>
      <c r="G160" s="586"/>
      <c r="H160" s="647">
        <v>14</v>
      </c>
      <c r="I160" s="833">
        <f t="shared" si="28"/>
        <v>168</v>
      </c>
      <c r="J160" s="833"/>
      <c r="K160" s="834" t="str">
        <f>IF(I160&gt;200,"zie rapport voor nadere toelichting overstroomvoorzieningen","")</f>
        <v/>
      </c>
      <c r="L160" s="834"/>
      <c r="M160" s="834"/>
      <c r="N160" s="834"/>
      <c r="O160" s="834"/>
      <c r="P160" s="834"/>
      <c r="Q160" s="729" t="str">
        <f>IF(H160=0,"verbergen","")</f>
        <v/>
      </c>
      <c r="R160" s="392"/>
      <c r="S160" s="392"/>
      <c r="T160" s="544"/>
      <c r="U160" s="392"/>
      <c r="V160" s="392"/>
      <c r="W160" s="392"/>
      <c r="X160" s="392"/>
      <c r="Y160" s="392"/>
      <c r="Z160" s="547">
        <f t="shared" si="29"/>
        <v>3</v>
      </c>
      <c r="AA160" s="404"/>
      <c r="AB160" s="516"/>
      <c r="AC160" s="516"/>
      <c r="AD160" s="516"/>
      <c r="AE160" s="516"/>
      <c r="AF160" s="515"/>
    </row>
    <row r="161" spans="1:32" s="541" customFormat="1" ht="12" hidden="1" customHeight="1">
      <c r="A161" s="542"/>
      <c r="B161" s="543"/>
      <c r="C161" s="464" t="s">
        <v>140</v>
      </c>
      <c r="D161" s="100" t="s">
        <v>141</v>
      </c>
      <c r="E161" s="464" t="s">
        <v>140</v>
      </c>
      <c r="F161" s="586"/>
      <c r="G161" s="404"/>
      <c r="H161" s="647">
        <v>0</v>
      </c>
      <c r="I161" s="833">
        <f t="shared" si="28"/>
        <v>0</v>
      </c>
      <c r="J161" s="833"/>
      <c r="K161" s="834" t="str">
        <f>IF(I161&gt;200,"zie rapport voor nadere toelichting overstroomvoorzieningen","")</f>
        <v/>
      </c>
      <c r="L161" s="834"/>
      <c r="M161" s="834"/>
      <c r="N161" s="834"/>
      <c r="O161" s="834"/>
      <c r="P161" s="834"/>
      <c r="Q161" s="729" t="str">
        <f>IF(H161=0,"verbergen","")</f>
        <v>verbergen</v>
      </c>
      <c r="R161" s="392"/>
      <c r="S161" s="392"/>
      <c r="T161" s="544"/>
      <c r="U161" s="392"/>
      <c r="V161" s="392"/>
      <c r="W161" s="392"/>
      <c r="X161" s="392"/>
      <c r="Y161" s="392"/>
      <c r="Z161" s="547">
        <f t="shared" si="29"/>
        <v>3</v>
      </c>
      <c r="AA161" s="404"/>
      <c r="AB161" s="516"/>
      <c r="AC161" s="516"/>
      <c r="AD161" s="516"/>
      <c r="AE161" s="516"/>
      <c r="AF161" s="515"/>
    </row>
    <row r="162" spans="1:32" s="541" customFormat="1" ht="12" hidden="1" customHeight="1">
      <c r="A162" s="542"/>
      <c r="B162" s="543"/>
      <c r="C162" s="472" t="s">
        <v>140</v>
      </c>
      <c r="D162" s="100" t="s">
        <v>141</v>
      </c>
      <c r="E162" s="472" t="s">
        <v>140</v>
      </c>
      <c r="F162" s="609"/>
      <c r="G162" s="628"/>
      <c r="H162" s="649">
        <v>0</v>
      </c>
      <c r="I162" s="835">
        <f t="shared" si="28"/>
        <v>0</v>
      </c>
      <c r="J162" s="835"/>
      <c r="K162" s="836" t="str">
        <f>IF(I162&gt;200,"zie rapport voor nadere toelichting overstroomvoorzieningen","")</f>
        <v/>
      </c>
      <c r="L162" s="836"/>
      <c r="M162" s="836"/>
      <c r="N162" s="836"/>
      <c r="O162" s="836"/>
      <c r="P162" s="836"/>
      <c r="Q162" s="729" t="str">
        <f>IF(H162=0,"verbergen","")</f>
        <v>verbergen</v>
      </c>
      <c r="R162" s="392"/>
      <c r="S162" s="392"/>
      <c r="T162" s="544"/>
      <c r="U162" s="392"/>
      <c r="V162" s="392"/>
      <c r="W162" s="392"/>
      <c r="X162" s="392"/>
      <c r="Y162" s="392"/>
      <c r="Z162" s="547">
        <f t="shared" si="29"/>
        <v>3</v>
      </c>
      <c r="AA162" s="404"/>
      <c r="AB162" s="516"/>
      <c r="AC162" s="516"/>
      <c r="AD162" s="516"/>
      <c r="AE162" s="516"/>
      <c r="AF162" s="515"/>
    </row>
    <row r="163" spans="1:32" s="541" customFormat="1" ht="12" customHeight="1">
      <c r="A163" s="542"/>
      <c r="B163" s="556">
        <f>B156+1</f>
        <v>3</v>
      </c>
      <c r="C163" s="480">
        <f>B163</f>
        <v>3</v>
      </c>
      <c r="D163" s="592"/>
      <c r="E163" s="592"/>
      <c r="F163" s="650"/>
      <c r="G163" s="592"/>
      <c r="H163" s="651"/>
      <c r="I163" s="652"/>
      <c r="J163" s="653"/>
      <c r="K163" s="837" t="str">
        <f>IF(MAX(P158:P162)&gt;200,"zie rapport voor nadere toelichting overstroomvoorzieningen","")</f>
        <v/>
      </c>
      <c r="L163" s="837"/>
      <c r="M163" s="837"/>
      <c r="N163" s="837"/>
      <c r="O163" s="837"/>
      <c r="P163" s="837"/>
      <c r="Q163" s="392" t="str">
        <f>IF(SUM(H158:H164)=0,"verbergen","")</f>
        <v/>
      </c>
      <c r="R163" s="392"/>
      <c r="S163" s="392"/>
      <c r="T163" s="544"/>
      <c r="U163" s="392"/>
      <c r="V163" s="392"/>
      <c r="W163" s="392"/>
      <c r="X163" s="392"/>
      <c r="Y163" s="392"/>
      <c r="Z163" s="547">
        <f t="shared" si="29"/>
        <v>3</v>
      </c>
      <c r="AA163" s="404"/>
      <c r="AB163" s="516"/>
      <c r="AC163" s="516"/>
      <c r="AD163" s="516"/>
      <c r="AE163" s="516"/>
      <c r="AF163" s="515"/>
    </row>
    <row r="164" spans="1:32" s="541" customFormat="1" ht="12" customHeight="1">
      <c r="A164" s="542"/>
      <c r="B164" s="543"/>
      <c r="C164" s="654"/>
      <c r="D164" s="404"/>
      <c r="E164" s="404"/>
      <c r="F164" s="586"/>
      <c r="G164" s="404"/>
      <c r="H164" s="655"/>
      <c r="I164" s="656"/>
      <c r="J164" s="657"/>
      <c r="K164" s="838"/>
      <c r="L164" s="838"/>
      <c r="M164" s="839"/>
      <c r="N164" s="839"/>
      <c r="O164" s="840"/>
      <c r="P164" s="840"/>
      <c r="Q164" s="392" t="str">
        <f>Q163</f>
        <v/>
      </c>
      <c r="R164" s="392"/>
      <c r="S164" s="392"/>
      <c r="T164" s="544"/>
      <c r="U164" s="392"/>
      <c r="V164" s="392"/>
      <c r="W164" s="392"/>
      <c r="X164" s="392"/>
      <c r="Y164" s="392"/>
      <c r="Z164" s="547">
        <f t="shared" si="29"/>
        <v>3</v>
      </c>
      <c r="AA164" s="404"/>
      <c r="AB164" s="516"/>
      <c r="AC164" s="516"/>
      <c r="AD164" s="516"/>
      <c r="AE164" s="516"/>
      <c r="AF164" s="515"/>
    </row>
    <row r="165" spans="1:32" s="541" customFormat="1" ht="12" customHeight="1">
      <c r="A165" s="392"/>
      <c r="B165" s="543"/>
      <c r="C165" s="464" t="str">
        <f>L34</f>
        <v>slaapkamer 3</v>
      </c>
      <c r="D165" s="100" t="s">
        <v>141</v>
      </c>
      <c r="E165" s="464" t="s">
        <v>1158</v>
      </c>
      <c r="F165" s="586"/>
      <c r="G165" s="586"/>
      <c r="H165" s="647">
        <v>14</v>
      </c>
      <c r="I165" s="833">
        <f>H165*12</f>
        <v>168</v>
      </c>
      <c r="J165" s="833"/>
      <c r="K165" s="834" t="str">
        <f>IF(I165&gt;200,"zie rapport voor nadere toelichting overstroomvoorzieningen","")</f>
        <v/>
      </c>
      <c r="L165" s="834"/>
      <c r="M165" s="834"/>
      <c r="N165" s="834"/>
      <c r="O165" s="834"/>
      <c r="P165" s="834"/>
      <c r="Q165" s="729" t="str">
        <f>IF(H165=0,"verbergen","")</f>
        <v/>
      </c>
      <c r="R165" s="392"/>
      <c r="S165" s="392"/>
      <c r="T165" s="544"/>
      <c r="U165" s="392"/>
      <c r="V165" s="392"/>
      <c r="W165" s="392"/>
      <c r="X165" s="392"/>
      <c r="Y165" s="392"/>
      <c r="Z165" s="547">
        <f>Z164+1</f>
        <v>4</v>
      </c>
      <c r="AA165" s="404"/>
      <c r="AB165" s="516"/>
      <c r="AC165" s="516"/>
      <c r="AD165" s="516"/>
      <c r="AE165" s="516"/>
      <c r="AF165" s="515"/>
    </row>
    <row r="166" spans="1:32" s="541" customFormat="1" ht="12" hidden="1" customHeight="1">
      <c r="A166" s="392"/>
      <c r="B166" s="543"/>
      <c r="C166" s="464" t="s">
        <v>140</v>
      </c>
      <c r="D166" s="100" t="s">
        <v>141</v>
      </c>
      <c r="E166" s="464" t="s">
        <v>140</v>
      </c>
      <c r="F166" s="586"/>
      <c r="G166" s="586"/>
      <c r="H166" s="647">
        <v>0</v>
      </c>
      <c r="I166" s="833">
        <f t="shared" ref="I166:I169" si="30">H166*12</f>
        <v>0</v>
      </c>
      <c r="J166" s="833"/>
      <c r="K166" s="834" t="str">
        <f>IF(I166&gt;200,"zie rapport voor nadere toelichting overstroomvoorzieningen","")</f>
        <v/>
      </c>
      <c r="L166" s="834"/>
      <c r="M166" s="834"/>
      <c r="N166" s="834"/>
      <c r="O166" s="834"/>
      <c r="P166" s="834"/>
      <c r="Q166" s="729" t="str">
        <f>IF(H166=0,"verbergen","")</f>
        <v>verbergen</v>
      </c>
      <c r="R166" s="392"/>
      <c r="S166" s="392"/>
      <c r="T166" s="544"/>
      <c r="U166" s="392"/>
      <c r="V166" s="392"/>
      <c r="W166" s="392"/>
      <c r="X166" s="392"/>
      <c r="Y166" s="392"/>
      <c r="Z166" s="547">
        <f t="shared" ref="Z166:Z171" si="31">Z165</f>
        <v>4</v>
      </c>
      <c r="AA166" s="404"/>
      <c r="AB166" s="516"/>
      <c r="AC166" s="516"/>
      <c r="AD166" s="516"/>
      <c r="AE166" s="516"/>
      <c r="AF166" s="515"/>
    </row>
    <row r="167" spans="1:32" s="541" customFormat="1" ht="12" hidden="1" customHeight="1">
      <c r="A167" s="392"/>
      <c r="B167" s="543"/>
      <c r="C167" s="464" t="s">
        <v>140</v>
      </c>
      <c r="D167" s="100" t="s">
        <v>141</v>
      </c>
      <c r="E167" s="464" t="s">
        <v>140</v>
      </c>
      <c r="F167" s="586"/>
      <c r="G167" s="586"/>
      <c r="H167" s="647">
        <v>0</v>
      </c>
      <c r="I167" s="833">
        <f t="shared" si="30"/>
        <v>0</v>
      </c>
      <c r="J167" s="833"/>
      <c r="K167" s="834" t="str">
        <f>IF(I167&gt;200,"zie rapport voor nadere toelichting overstroomvoorzieningen","")</f>
        <v/>
      </c>
      <c r="L167" s="834"/>
      <c r="M167" s="834"/>
      <c r="N167" s="834"/>
      <c r="O167" s="834"/>
      <c r="P167" s="834"/>
      <c r="Q167" s="729" t="str">
        <f>IF(H167=0,"verbergen","")</f>
        <v>verbergen</v>
      </c>
      <c r="R167" s="392"/>
      <c r="S167" s="392"/>
      <c r="T167" s="544"/>
      <c r="U167" s="392"/>
      <c r="V167" s="392"/>
      <c r="W167" s="392"/>
      <c r="X167" s="392"/>
      <c r="Y167" s="392"/>
      <c r="Z167" s="547">
        <f t="shared" si="31"/>
        <v>4</v>
      </c>
      <c r="AA167" s="404"/>
      <c r="AB167" s="516"/>
      <c r="AC167" s="516"/>
      <c r="AD167" s="516"/>
      <c r="AE167" s="516"/>
      <c r="AF167" s="515"/>
    </row>
    <row r="168" spans="1:32" s="541" customFormat="1" ht="12" hidden="1" customHeight="1">
      <c r="A168" s="542"/>
      <c r="B168" s="543"/>
      <c r="C168" s="464" t="s">
        <v>140</v>
      </c>
      <c r="D168" s="100" t="s">
        <v>141</v>
      </c>
      <c r="E168" s="464" t="s">
        <v>140</v>
      </c>
      <c r="F168" s="586"/>
      <c r="G168" s="404"/>
      <c r="H168" s="647">
        <v>0</v>
      </c>
      <c r="I168" s="833">
        <f t="shared" si="30"/>
        <v>0</v>
      </c>
      <c r="J168" s="833"/>
      <c r="K168" s="834" t="str">
        <f>IF(I168&gt;200,"zie rapport voor nadere toelichting overstroomvoorzieningen","")</f>
        <v/>
      </c>
      <c r="L168" s="834"/>
      <c r="M168" s="834"/>
      <c r="N168" s="834"/>
      <c r="O168" s="834"/>
      <c r="P168" s="834"/>
      <c r="Q168" s="729" t="str">
        <f>IF(H168=0,"verbergen","")</f>
        <v>verbergen</v>
      </c>
      <c r="R168" s="392"/>
      <c r="S168" s="392"/>
      <c r="T168" s="544"/>
      <c r="U168" s="392"/>
      <c r="V168" s="392"/>
      <c r="W168" s="392"/>
      <c r="X168" s="392"/>
      <c r="Y168" s="392"/>
      <c r="Z168" s="547">
        <f t="shared" si="31"/>
        <v>4</v>
      </c>
      <c r="AA168" s="404"/>
      <c r="AB168" s="516"/>
      <c r="AC168" s="516"/>
      <c r="AD168" s="516"/>
      <c r="AE168" s="516"/>
      <c r="AF168" s="515"/>
    </row>
    <row r="169" spans="1:32" s="541" customFormat="1" ht="12" hidden="1" customHeight="1">
      <c r="A169" s="542"/>
      <c r="B169" s="543"/>
      <c r="C169" s="472" t="s">
        <v>140</v>
      </c>
      <c r="D169" s="100" t="s">
        <v>141</v>
      </c>
      <c r="E169" s="472" t="s">
        <v>140</v>
      </c>
      <c r="F169" s="609"/>
      <c r="G169" s="628"/>
      <c r="H169" s="649">
        <v>0</v>
      </c>
      <c r="I169" s="835">
        <f t="shared" si="30"/>
        <v>0</v>
      </c>
      <c r="J169" s="835"/>
      <c r="K169" s="836" t="str">
        <f>IF(I169&gt;200,"zie rapport voor nadere toelichting overstroomvoorzieningen","")</f>
        <v/>
      </c>
      <c r="L169" s="836"/>
      <c r="M169" s="836"/>
      <c r="N169" s="836"/>
      <c r="O169" s="836"/>
      <c r="P169" s="836"/>
      <c r="Q169" s="729" t="str">
        <f>IF(H169=0,"verbergen","")</f>
        <v>verbergen</v>
      </c>
      <c r="R169" s="392"/>
      <c r="S169" s="392"/>
      <c r="T169" s="544"/>
      <c r="U169" s="392"/>
      <c r="V169" s="392"/>
      <c r="W169" s="392"/>
      <c r="X169" s="392"/>
      <c r="Y169" s="392"/>
      <c r="Z169" s="547">
        <f t="shared" si="31"/>
        <v>4</v>
      </c>
      <c r="AA169" s="404"/>
      <c r="AB169" s="516"/>
      <c r="AC169" s="516"/>
      <c r="AD169" s="516"/>
      <c r="AE169" s="516"/>
      <c r="AF169" s="515"/>
    </row>
    <row r="170" spans="1:32" s="541" customFormat="1" ht="12" customHeight="1">
      <c r="A170" s="542"/>
      <c r="B170" s="556">
        <f>B163+1</f>
        <v>4</v>
      </c>
      <c r="C170" s="480">
        <f>B170</f>
        <v>4</v>
      </c>
      <c r="D170" s="592"/>
      <c r="E170" s="592"/>
      <c r="F170" s="650"/>
      <c r="G170" s="592"/>
      <c r="H170" s="651"/>
      <c r="I170" s="652"/>
      <c r="J170" s="653"/>
      <c r="K170" s="837" t="str">
        <f>IF(MAX(P165:P169)&gt;200,"zie rapport voor nadere toelichting overstroomvoorzieningen","")</f>
        <v/>
      </c>
      <c r="L170" s="837"/>
      <c r="M170" s="837"/>
      <c r="N170" s="837"/>
      <c r="O170" s="837"/>
      <c r="P170" s="837"/>
      <c r="Q170" s="392" t="str">
        <f>IF(SUM(H165:H171)=0,"verbergen","")</f>
        <v/>
      </c>
      <c r="R170" s="392"/>
      <c r="S170" s="392"/>
      <c r="T170" s="544"/>
      <c r="U170" s="392"/>
      <c r="V170" s="392"/>
      <c r="W170" s="392"/>
      <c r="X170" s="392"/>
      <c r="Y170" s="392"/>
      <c r="Z170" s="547">
        <f t="shared" si="31"/>
        <v>4</v>
      </c>
      <c r="AA170" s="404"/>
      <c r="AB170" s="516"/>
      <c r="AC170" s="516"/>
      <c r="AD170" s="516"/>
      <c r="AE170" s="516"/>
      <c r="AF170" s="515"/>
    </row>
    <row r="171" spans="1:32" s="541" customFormat="1" ht="12" customHeight="1">
      <c r="A171" s="542"/>
      <c r="B171" s="543"/>
      <c r="C171" s="654"/>
      <c r="D171" s="404"/>
      <c r="E171" s="404"/>
      <c r="F171" s="586"/>
      <c r="G171" s="404"/>
      <c r="H171" s="655"/>
      <c r="I171" s="656"/>
      <c r="J171" s="657"/>
      <c r="K171" s="838"/>
      <c r="L171" s="838"/>
      <c r="M171" s="839"/>
      <c r="N171" s="839"/>
      <c r="O171" s="840"/>
      <c r="P171" s="840"/>
      <c r="Q171" s="392" t="str">
        <f>Q170</f>
        <v/>
      </c>
      <c r="R171" s="392"/>
      <c r="S171" s="392"/>
      <c r="T171" s="544"/>
      <c r="U171" s="392"/>
      <c r="V171" s="392"/>
      <c r="W171" s="392"/>
      <c r="X171" s="392"/>
      <c r="Y171" s="392"/>
      <c r="Z171" s="547">
        <f t="shared" si="31"/>
        <v>4</v>
      </c>
      <c r="AA171" s="404"/>
      <c r="AB171" s="516"/>
      <c r="AC171" s="516"/>
      <c r="AD171" s="516"/>
      <c r="AE171" s="516"/>
      <c r="AF171" s="515"/>
    </row>
    <row r="172" spans="1:32" s="518" customFormat="1" ht="12" customHeight="1">
      <c r="A172" s="516"/>
      <c r="B172" s="515"/>
      <c r="C172" s="464" t="s">
        <v>1158</v>
      </c>
      <c r="D172" s="100" t="s">
        <v>141</v>
      </c>
      <c r="E172" s="464" t="str">
        <f>L28</f>
        <v>woonkamer / eetkamer</v>
      </c>
      <c r="F172" s="586"/>
      <c r="G172" s="586"/>
      <c r="H172" s="647">
        <f>H133</f>
        <v>7</v>
      </c>
      <c r="I172" s="833">
        <f>H172*12</f>
        <v>84</v>
      </c>
      <c r="J172" s="833"/>
      <c r="K172" s="834" t="str">
        <f>IF(I172&gt;180,"zie rapport voor nadere toelichting overstroomvoorzieningen","")</f>
        <v/>
      </c>
      <c r="L172" s="834"/>
      <c r="M172" s="834"/>
      <c r="N172" s="834"/>
      <c r="O172" s="834"/>
      <c r="P172" s="834"/>
      <c r="Q172" s="525" t="str">
        <f>IF(H172=0,"verbergen","")</f>
        <v/>
      </c>
      <c r="R172" s="516"/>
      <c r="S172" s="516"/>
      <c r="T172" s="521"/>
      <c r="U172" s="516"/>
      <c r="V172" s="517"/>
      <c r="W172" s="517"/>
      <c r="X172" s="517"/>
      <c r="Y172" s="517"/>
      <c r="Z172" s="508"/>
      <c r="AA172" s="648"/>
      <c r="AB172" s="517"/>
      <c r="AC172" s="517"/>
      <c r="AD172" s="517"/>
      <c r="AE172" s="517"/>
      <c r="AF172" s="517"/>
    </row>
    <row r="173" spans="1:32" s="518" customFormat="1" ht="12" customHeight="1">
      <c r="A173" s="516"/>
      <c r="B173" s="515"/>
      <c r="C173" s="464" t="s">
        <v>1158</v>
      </c>
      <c r="D173" s="100" t="s">
        <v>141</v>
      </c>
      <c r="E173" s="464" t="s">
        <v>1160</v>
      </c>
      <c r="F173" s="586"/>
      <c r="G173" s="586"/>
      <c r="H173" s="647">
        <v>14</v>
      </c>
      <c r="I173" s="833">
        <f t="shared" ref="I173:I176" si="32">H173*12</f>
        <v>168</v>
      </c>
      <c r="J173" s="833"/>
      <c r="K173" s="834" t="str">
        <f>IF(I173&gt;180,"zie rapport voor nadere toelichting overstroomvoorzieningen","")</f>
        <v/>
      </c>
      <c r="L173" s="834"/>
      <c r="M173" s="834"/>
      <c r="N173" s="834"/>
      <c r="O173" s="834"/>
      <c r="P173" s="834"/>
      <c r="Q173" s="525" t="str">
        <f>IF(H173=0,"verbergen","")</f>
        <v/>
      </c>
      <c r="R173" s="516"/>
      <c r="S173" s="516"/>
      <c r="T173" s="521"/>
      <c r="U173" s="516"/>
      <c r="V173" s="517"/>
      <c r="W173" s="517"/>
      <c r="X173" s="517"/>
      <c r="Y173" s="517"/>
      <c r="Z173" s="508"/>
      <c r="AA173" s="648"/>
      <c r="AB173" s="517"/>
      <c r="AC173" s="517"/>
      <c r="AD173" s="517"/>
      <c r="AE173" s="517"/>
      <c r="AF173" s="517"/>
    </row>
    <row r="174" spans="1:32" s="518" customFormat="1" ht="12" customHeight="1">
      <c r="A174" s="516"/>
      <c r="B174" s="515"/>
      <c r="C174" s="464" t="s">
        <v>1158</v>
      </c>
      <c r="D174" s="100" t="s">
        <v>141</v>
      </c>
      <c r="E174" s="464" t="s">
        <v>729</v>
      </c>
      <c r="F174" s="586"/>
      <c r="G174" s="586"/>
      <c r="H174" s="647">
        <v>21</v>
      </c>
      <c r="I174" s="833">
        <f t="shared" si="32"/>
        <v>252</v>
      </c>
      <c r="J174" s="833"/>
      <c r="K174" s="834" t="str">
        <f>IF(I174&gt;180,"zie rapport voor nadere toelichting overstroomvoorzieningen","")</f>
        <v>zie rapport voor nadere toelichting overstroomvoorzieningen</v>
      </c>
      <c r="L174" s="834"/>
      <c r="M174" s="834"/>
      <c r="N174" s="834"/>
      <c r="O174" s="834"/>
      <c r="P174" s="834"/>
      <c r="Q174" s="525" t="str">
        <f>IF(H174=0,"verbergen","")</f>
        <v/>
      </c>
      <c r="R174" s="516"/>
      <c r="S174" s="516"/>
      <c r="T174" s="521"/>
      <c r="U174" s="516"/>
      <c r="V174" s="517"/>
      <c r="W174" s="517"/>
      <c r="X174" s="517"/>
      <c r="Y174" s="517"/>
      <c r="Z174" s="508"/>
      <c r="AA174" s="648"/>
      <c r="AB174" s="517"/>
      <c r="AC174" s="517"/>
      <c r="AD174" s="517"/>
      <c r="AE174" s="517"/>
      <c r="AF174" s="517"/>
    </row>
    <row r="175" spans="1:32" s="518" customFormat="1" ht="12" customHeight="1">
      <c r="A175" s="527"/>
      <c r="B175" s="515"/>
      <c r="C175" s="464" t="s">
        <v>1158</v>
      </c>
      <c r="D175" s="100" t="s">
        <v>141</v>
      </c>
      <c r="E175" s="464" t="s">
        <v>727</v>
      </c>
      <c r="F175" s="586"/>
      <c r="G175" s="404"/>
      <c r="H175" s="647">
        <v>7</v>
      </c>
      <c r="I175" s="833">
        <f t="shared" si="32"/>
        <v>84</v>
      </c>
      <c r="J175" s="833"/>
      <c r="K175" s="834" t="str">
        <f>IF(I175&gt;180,"zie rapport voor nadere toelichting overstroomvoorzieningen","")</f>
        <v/>
      </c>
      <c r="L175" s="834"/>
      <c r="M175" s="834"/>
      <c r="N175" s="834"/>
      <c r="O175" s="834"/>
      <c r="P175" s="834"/>
      <c r="Q175" s="525" t="str">
        <f>IF(H175=0,"verbergen","")</f>
        <v/>
      </c>
      <c r="R175" s="516"/>
      <c r="S175" s="516"/>
      <c r="T175" s="521"/>
      <c r="U175" s="516"/>
      <c r="V175" s="517"/>
      <c r="W175" s="517"/>
      <c r="X175" s="517"/>
      <c r="Y175" s="517"/>
      <c r="Z175" s="508"/>
      <c r="AA175" s="648"/>
      <c r="AB175" s="517"/>
      <c r="AC175" s="517"/>
      <c r="AD175" s="517"/>
      <c r="AE175" s="517"/>
      <c r="AF175" s="517"/>
    </row>
    <row r="176" spans="1:32" s="518" customFormat="1" ht="12" customHeight="1">
      <c r="A176" s="527"/>
      <c r="B176" s="515"/>
      <c r="C176" s="472" t="s">
        <v>1159</v>
      </c>
      <c r="D176" s="342" t="s">
        <v>141</v>
      </c>
      <c r="E176" s="472" t="s">
        <v>1161</v>
      </c>
      <c r="F176" s="609"/>
      <c r="G176" s="628"/>
      <c r="H176" s="649">
        <v>14</v>
      </c>
      <c r="I176" s="835">
        <f t="shared" si="32"/>
        <v>168</v>
      </c>
      <c r="J176" s="835"/>
      <c r="K176" s="836" t="str">
        <f>IF(I176&gt;180,"zie rapport voor nadere toelichting overstroomvoorzieningen","")</f>
        <v/>
      </c>
      <c r="L176" s="836"/>
      <c r="M176" s="836"/>
      <c r="N176" s="836"/>
      <c r="O176" s="836"/>
      <c r="P176" s="836"/>
      <c r="Q176" s="525" t="str">
        <f>IF(H176=0,"verbergen","")</f>
        <v/>
      </c>
      <c r="R176" s="516"/>
      <c r="S176" s="516"/>
      <c r="T176" s="521"/>
      <c r="U176" s="516"/>
      <c r="V176" s="517"/>
      <c r="W176" s="517"/>
      <c r="X176" s="517"/>
      <c r="Y176" s="517"/>
      <c r="Z176" s="508"/>
      <c r="AA176" s="648"/>
      <c r="AB176" s="517"/>
      <c r="AC176" s="517"/>
      <c r="AD176" s="517"/>
      <c r="AE176" s="517"/>
      <c r="AF176" s="517"/>
    </row>
    <row r="177" spans="1:34" s="518" customFormat="1" ht="12" customHeight="1">
      <c r="A177" s="527"/>
      <c r="B177" s="590"/>
      <c r="C177" s="480" t="s">
        <v>734</v>
      </c>
      <c r="D177" s="592"/>
      <c r="E177" s="592"/>
      <c r="F177" s="650"/>
      <c r="G177" s="592"/>
      <c r="H177" s="651"/>
      <c r="I177" s="652"/>
      <c r="J177" s="653"/>
      <c r="K177" s="837" t="str">
        <f>IF(MAX(P172:P176)&gt;200,"zie rapport voor nadere toelichting overstroomvoorzieningen","")</f>
        <v/>
      </c>
      <c r="L177" s="837"/>
      <c r="M177" s="837"/>
      <c r="N177" s="837"/>
      <c r="O177" s="837"/>
      <c r="P177" s="837"/>
      <c r="Q177" s="516" t="str">
        <f>IF(SUM(H172:H178)=0,"verbergen","")</f>
        <v/>
      </c>
      <c r="R177" s="516"/>
      <c r="S177" s="516"/>
      <c r="T177" s="521"/>
      <c r="U177" s="516"/>
      <c r="V177" s="517"/>
      <c r="W177" s="517"/>
      <c r="X177" s="517"/>
      <c r="Y177" s="517"/>
      <c r="Z177" s="508"/>
      <c r="AA177" s="648"/>
      <c r="AB177" s="517"/>
      <c r="AC177" s="517"/>
      <c r="AD177" s="517"/>
      <c r="AE177" s="517"/>
      <c r="AF177" s="517"/>
    </row>
    <row r="178" spans="1:34" s="518" customFormat="1" ht="12" customHeight="1">
      <c r="A178" s="527"/>
      <c r="B178" s="515"/>
      <c r="C178" s="654"/>
      <c r="D178" s="404"/>
      <c r="E178" s="404"/>
      <c r="F178" s="586"/>
      <c r="G178" s="404"/>
      <c r="H178" s="655"/>
      <c r="I178" s="656"/>
      <c r="J178" s="657"/>
      <c r="K178" s="396"/>
      <c r="L178" s="396"/>
      <c r="M178" s="585"/>
      <c r="N178" s="585"/>
      <c r="O178" s="734"/>
      <c r="P178" s="734"/>
      <c r="Q178" s="516" t="str">
        <f>Q177</f>
        <v/>
      </c>
      <c r="R178" s="516"/>
      <c r="S178" s="516"/>
      <c r="T178" s="521"/>
      <c r="U178" s="516"/>
      <c r="V178" s="517"/>
      <c r="W178" s="517"/>
      <c r="X178" s="517"/>
      <c r="Y178" s="517"/>
      <c r="Z178" s="508"/>
      <c r="AA178" s="648"/>
      <c r="AB178" s="517"/>
      <c r="AC178" s="517"/>
      <c r="AD178" s="517"/>
      <c r="AE178" s="517"/>
      <c r="AF178" s="517"/>
    </row>
    <row r="179" spans="1:34" s="518" customFormat="1" ht="12" customHeight="1">
      <c r="A179" s="527"/>
      <c r="B179" s="515"/>
      <c r="C179" s="654"/>
      <c r="D179" s="404"/>
      <c r="E179" s="404"/>
      <c r="F179" s="586"/>
      <c r="G179" s="404"/>
      <c r="H179" s="655"/>
      <c r="I179" s="656"/>
      <c r="J179" s="657"/>
      <c r="K179" s="396"/>
      <c r="L179" s="396"/>
      <c r="M179" s="585"/>
      <c r="N179" s="585"/>
      <c r="O179" s="734"/>
      <c r="P179" s="734"/>
      <c r="Q179" s="516"/>
      <c r="R179" s="516"/>
      <c r="S179" s="516"/>
      <c r="T179" s="521"/>
      <c r="U179" s="516"/>
      <c r="V179" s="517"/>
      <c r="W179" s="517"/>
      <c r="X179" s="517"/>
      <c r="Y179" s="517"/>
      <c r="Z179" s="517"/>
      <c r="AA179" s="648"/>
      <c r="AB179" s="517"/>
      <c r="AC179" s="517"/>
      <c r="AD179" s="517"/>
      <c r="AE179" s="517"/>
      <c r="AF179" s="517"/>
    </row>
    <row r="180" spans="1:34" s="518" customFormat="1" ht="15" customHeight="1">
      <c r="A180" s="515"/>
      <c r="B180" s="658" t="s">
        <v>673</v>
      </c>
      <c r="C180" s="457" t="s">
        <v>1089</v>
      </c>
      <c r="D180" s="575"/>
      <c r="E180" s="575"/>
      <c r="F180" s="575"/>
      <c r="G180" s="575"/>
      <c r="H180" s="575"/>
      <c r="I180" s="575"/>
      <c r="J180" s="575"/>
      <c r="K180" s="575"/>
      <c r="L180" s="575"/>
      <c r="M180" s="575"/>
      <c r="N180" s="575"/>
      <c r="O180" s="575"/>
      <c r="P180" s="575"/>
      <c r="Q180" s="525"/>
      <c r="R180" s="659"/>
      <c r="S180" s="660"/>
      <c r="T180" s="521"/>
      <c r="U180" s="516"/>
      <c r="V180" s="517"/>
      <c r="W180" s="517"/>
      <c r="X180" s="517"/>
      <c r="Y180" s="517"/>
      <c r="Z180" s="517"/>
      <c r="AA180" s="517"/>
      <c r="AB180" s="517"/>
      <c r="AC180" s="524"/>
      <c r="AD180" s="517"/>
      <c r="AE180" s="517"/>
      <c r="AF180" s="517"/>
      <c r="AG180" s="517"/>
    </row>
    <row r="181" spans="1:34" s="518" customFormat="1" ht="12.75" hidden="1" customHeight="1">
      <c r="A181" s="515"/>
      <c r="B181" s="515"/>
      <c r="C181" s="661"/>
      <c r="D181" s="577"/>
      <c r="E181" s="577"/>
      <c r="F181" s="577"/>
      <c r="G181" s="577"/>
      <c r="H181" s="662"/>
      <c r="I181" s="662"/>
      <c r="J181" s="577"/>
      <c r="K181" s="577"/>
      <c r="L181" s="577"/>
      <c r="M181" s="577"/>
      <c r="N181" s="577"/>
      <c r="O181" s="577"/>
      <c r="P181" s="663"/>
      <c r="Q181" s="525"/>
      <c r="R181" s="659"/>
      <c r="S181" s="664"/>
      <c r="T181" s="521"/>
      <c r="U181" s="516"/>
      <c r="V181" s="517"/>
      <c r="W181" s="517"/>
      <c r="X181" s="517"/>
      <c r="Y181" s="517"/>
      <c r="Z181" s="517"/>
      <c r="AA181" s="517"/>
      <c r="AB181" s="517"/>
      <c r="AC181" s="524"/>
      <c r="AD181" s="517"/>
      <c r="AE181" s="517"/>
      <c r="AF181" s="517"/>
      <c r="AG181" s="517"/>
    </row>
    <row r="182" spans="1:34" ht="15" customHeight="1">
      <c r="A182" s="492"/>
      <c r="B182" s="492"/>
      <c r="C182" s="579" t="s">
        <v>133</v>
      </c>
      <c r="D182" s="809" t="s">
        <v>1100</v>
      </c>
      <c r="E182" s="809"/>
      <c r="F182" s="809" t="s">
        <v>678</v>
      </c>
      <c r="G182" s="809"/>
      <c r="H182" s="809" t="s">
        <v>677</v>
      </c>
      <c r="I182" s="809"/>
      <c r="J182" s="818" t="s">
        <v>134</v>
      </c>
      <c r="K182" s="818"/>
      <c r="L182" s="646"/>
      <c r="M182" s="844" t="s">
        <v>1107</v>
      </c>
      <c r="N182" s="844"/>
      <c r="O182" s="809" t="s">
        <v>1108</v>
      </c>
      <c r="P182" s="809"/>
      <c r="Q182" s="665"/>
      <c r="R182" s="507"/>
      <c r="S182" s="507"/>
      <c r="T182" s="532"/>
      <c r="U182" s="507"/>
      <c r="V182" s="508"/>
      <c r="W182" s="508"/>
      <c r="X182" s="508"/>
      <c r="Y182" s="508"/>
      <c r="Z182" s="508"/>
      <c r="AA182" s="508"/>
      <c r="AB182" s="508"/>
      <c r="AC182" s="534"/>
      <c r="AD182" s="508"/>
      <c r="AE182" s="508"/>
      <c r="AF182" s="508"/>
      <c r="AG182" s="508"/>
    </row>
    <row r="183" spans="1:34">
      <c r="A183" s="492"/>
      <c r="B183" s="492"/>
      <c r="C183" s="463"/>
      <c r="D183" s="463"/>
      <c r="E183" s="463"/>
      <c r="F183" s="463"/>
      <c r="G183" s="463"/>
      <c r="H183" s="456"/>
      <c r="I183" s="456"/>
      <c r="J183" s="456"/>
      <c r="K183" s="456"/>
      <c r="L183" s="456"/>
      <c r="M183" s="456"/>
      <c r="N183" s="456"/>
      <c r="O183" s="456"/>
      <c r="P183" s="456"/>
      <c r="Q183" s="507"/>
      <c r="R183" s="507"/>
      <c r="S183" s="507"/>
      <c r="T183" s="532"/>
      <c r="U183" s="507"/>
      <c r="V183" s="508"/>
      <c r="W183" s="508"/>
      <c r="X183" s="508"/>
      <c r="Y183" s="508"/>
      <c r="Z183" s="508"/>
      <c r="AA183" s="508"/>
      <c r="AB183" s="508"/>
      <c r="AC183" s="524"/>
      <c r="AD183" s="508"/>
      <c r="AE183" s="517"/>
      <c r="AF183" s="508"/>
      <c r="AG183" s="508"/>
    </row>
    <row r="184" spans="1:34" s="518" customFormat="1" ht="12" customHeight="1">
      <c r="A184" s="515"/>
      <c r="B184" s="515"/>
      <c r="C184" s="464" t="str">
        <f>L28</f>
        <v>woonkamer / eetkamer</v>
      </c>
      <c r="D184" s="831">
        <f>SUMPRODUCT(($AE$1:$AE$28075)*($L$1:$L$28075=C184))</f>
        <v>28.45</v>
      </c>
      <c r="E184" s="831"/>
      <c r="F184" s="811">
        <v>1</v>
      </c>
      <c r="G184" s="811"/>
      <c r="H184" s="841">
        <f t="shared" ref="H184:H189" si="33">IF(F184=0,"",IF(F184=1,0.1,0.4))</f>
        <v>0.1</v>
      </c>
      <c r="I184" s="841"/>
      <c r="J184" s="842" t="s">
        <v>245</v>
      </c>
      <c r="K184" s="842"/>
      <c r="L184" s="404"/>
      <c r="M184" s="666">
        <f>verzamelblad!$S$7*D184/H184/1000</f>
        <v>0.85349999999999993</v>
      </c>
      <c r="N184" s="735"/>
      <c r="O184" s="843">
        <f>M184</f>
        <v>0.85349999999999993</v>
      </c>
      <c r="P184" s="843"/>
      <c r="Q184" s="525" t="str">
        <f t="shared" ref="Q184:Q189" si="34">IF(D184=0,"verbergen","")</f>
        <v/>
      </c>
      <c r="R184" s="516"/>
      <c r="S184" s="516"/>
      <c r="T184" s="516"/>
      <c r="U184" s="516"/>
      <c r="V184" s="517"/>
      <c r="W184" s="508">
        <v>1</v>
      </c>
      <c r="X184" s="517"/>
      <c r="Y184" s="517"/>
      <c r="Z184" s="517"/>
      <c r="AA184" s="517"/>
      <c r="AB184" s="517"/>
      <c r="AC184" s="517"/>
      <c r="AD184" s="517"/>
      <c r="AE184" s="517"/>
      <c r="AF184" s="517"/>
      <c r="AG184" s="517"/>
    </row>
    <row r="185" spans="1:34" s="518" customFormat="1" ht="12" hidden="1" customHeight="1">
      <c r="A185" s="515"/>
      <c r="B185" s="515"/>
      <c r="C185" s="464" t="s">
        <v>140</v>
      </c>
      <c r="D185" s="831">
        <f>SUMPRODUCT(($AE$1:$AE$28075)*($L$1:$L$28075=C185))</f>
        <v>0</v>
      </c>
      <c r="E185" s="831"/>
      <c r="F185" s="811">
        <v>2</v>
      </c>
      <c r="G185" s="811"/>
      <c r="H185" s="841">
        <f t="shared" si="33"/>
        <v>0.4</v>
      </c>
      <c r="I185" s="841"/>
      <c r="J185" s="842" t="s">
        <v>245</v>
      </c>
      <c r="K185" s="842"/>
      <c r="L185" s="404"/>
      <c r="M185" s="666">
        <f>verzamelblad!$S$7*D185/H185/1000</f>
        <v>0</v>
      </c>
      <c r="N185" s="735"/>
      <c r="O185" s="843">
        <f t="shared" ref="O185:O189" si="35">M185</f>
        <v>0</v>
      </c>
      <c r="P185" s="843"/>
      <c r="Q185" s="525" t="str">
        <f t="shared" si="34"/>
        <v>verbergen</v>
      </c>
      <c r="R185" s="516"/>
      <c r="S185" s="516"/>
      <c r="T185" s="516"/>
      <c r="U185" s="516"/>
      <c r="V185" s="517"/>
      <c r="W185" s="508">
        <v>1</v>
      </c>
      <c r="X185" s="517"/>
      <c r="Y185" s="517"/>
      <c r="Z185" s="517"/>
      <c r="AA185" s="517"/>
      <c r="AB185" s="517"/>
      <c r="AC185" s="517"/>
      <c r="AD185" s="517"/>
      <c r="AE185" s="517"/>
      <c r="AF185" s="517"/>
      <c r="AG185" s="517"/>
    </row>
    <row r="186" spans="1:34" s="518" customFormat="1" ht="12" hidden="1" customHeight="1">
      <c r="A186" s="515"/>
      <c r="B186" s="515"/>
      <c r="C186" s="464" t="s">
        <v>140</v>
      </c>
      <c r="D186" s="831">
        <f>SUMPRODUCT(($AE$1:$AE$28075)*($L$1:$L$28075=C186))</f>
        <v>0</v>
      </c>
      <c r="E186" s="831"/>
      <c r="F186" s="811">
        <v>2</v>
      </c>
      <c r="G186" s="811"/>
      <c r="H186" s="841">
        <f t="shared" si="33"/>
        <v>0.4</v>
      </c>
      <c r="I186" s="841"/>
      <c r="J186" s="842" t="s">
        <v>245</v>
      </c>
      <c r="K186" s="842"/>
      <c r="L186" s="404"/>
      <c r="M186" s="666">
        <f>verzamelblad!$S$7*D186/H186/1000</f>
        <v>0</v>
      </c>
      <c r="N186" s="735"/>
      <c r="O186" s="845">
        <f t="shared" si="35"/>
        <v>0</v>
      </c>
      <c r="P186" s="846"/>
      <c r="Q186" s="525" t="str">
        <f t="shared" si="34"/>
        <v>verbergen</v>
      </c>
      <c r="R186" s="516"/>
      <c r="S186" s="516"/>
      <c r="T186" s="516"/>
      <c r="U186" s="516"/>
      <c r="V186" s="517"/>
      <c r="W186" s="508">
        <v>1</v>
      </c>
      <c r="X186" s="517"/>
      <c r="Y186" s="517"/>
      <c r="Z186" s="517"/>
      <c r="AA186" s="517"/>
      <c r="AB186" s="517"/>
      <c r="AC186" s="517"/>
      <c r="AD186" s="517"/>
      <c r="AE186" s="517"/>
      <c r="AF186" s="517"/>
      <c r="AG186" s="517"/>
    </row>
    <row r="187" spans="1:34" s="518" customFormat="1" ht="12" hidden="1" customHeight="1">
      <c r="A187" s="515"/>
      <c r="B187" s="515"/>
      <c r="C187" s="464" t="s">
        <v>140</v>
      </c>
      <c r="D187" s="831">
        <f>SUMPRODUCT(($AE$1:$AE$28075)*($L$1:$L$28075=C187))</f>
        <v>0</v>
      </c>
      <c r="E187" s="831"/>
      <c r="F187" s="811">
        <v>2</v>
      </c>
      <c r="G187" s="811"/>
      <c r="H187" s="841">
        <f t="shared" si="33"/>
        <v>0.4</v>
      </c>
      <c r="I187" s="841"/>
      <c r="J187" s="842" t="s">
        <v>245</v>
      </c>
      <c r="K187" s="842"/>
      <c r="L187" s="404"/>
      <c r="M187" s="666">
        <f>verzamelblad!$S$7*D187/H187/1000</f>
        <v>0</v>
      </c>
      <c r="N187" s="735"/>
      <c r="O187" s="843">
        <f t="shared" si="35"/>
        <v>0</v>
      </c>
      <c r="P187" s="843"/>
      <c r="Q187" s="525" t="str">
        <f t="shared" si="34"/>
        <v>verbergen</v>
      </c>
      <c r="R187" s="516"/>
      <c r="S187" s="516"/>
      <c r="T187" s="516"/>
      <c r="U187" s="516"/>
      <c r="V187" s="517"/>
      <c r="W187" s="508">
        <v>1</v>
      </c>
      <c r="X187" s="517"/>
      <c r="Y187" s="517"/>
      <c r="Z187" s="517"/>
      <c r="AA187" s="517"/>
      <c r="AB187" s="517"/>
      <c r="AC187" s="517"/>
      <c r="AD187" s="517"/>
      <c r="AE187" s="517"/>
      <c r="AF187" s="517"/>
      <c r="AG187" s="517"/>
    </row>
    <row r="188" spans="1:34" s="518" customFormat="1" ht="12" hidden="1" customHeight="1">
      <c r="A188" s="515"/>
      <c r="B188" s="515"/>
      <c r="C188" s="667" t="s">
        <v>140</v>
      </c>
      <c r="D188" s="847">
        <f>SUMPRODUCT(($AE$1:$AE$28075)*($L$1:$L$28075=C188))</f>
        <v>0</v>
      </c>
      <c r="E188" s="847"/>
      <c r="F188" s="812">
        <v>2</v>
      </c>
      <c r="G188" s="812"/>
      <c r="H188" s="848">
        <f t="shared" si="33"/>
        <v>0.4</v>
      </c>
      <c r="I188" s="848"/>
      <c r="J188" s="849" t="s">
        <v>245</v>
      </c>
      <c r="K188" s="849"/>
      <c r="L188" s="628"/>
      <c r="M188" s="668">
        <f>verzamelblad!$S$7*D188/H188/1000</f>
        <v>0</v>
      </c>
      <c r="N188" s="738"/>
      <c r="O188" s="850">
        <f t="shared" si="35"/>
        <v>0</v>
      </c>
      <c r="P188" s="850"/>
      <c r="Q188" s="525" t="str">
        <f t="shared" si="34"/>
        <v>verbergen</v>
      </c>
      <c r="R188" s="516"/>
      <c r="S188" s="516"/>
      <c r="T188" s="516"/>
      <c r="U188" s="516"/>
      <c r="V188" s="517"/>
      <c r="W188" s="508">
        <v>1</v>
      </c>
      <c r="X188" s="517"/>
      <c r="Y188" s="517"/>
      <c r="Z188" s="517"/>
      <c r="AA188" s="517"/>
      <c r="AB188" s="517"/>
      <c r="AC188" s="517"/>
      <c r="AD188" s="517"/>
      <c r="AE188" s="517"/>
      <c r="AF188" s="517"/>
      <c r="AG188" s="517"/>
    </row>
    <row r="189" spans="1:34" s="518" customFormat="1" ht="12" customHeight="1">
      <c r="A189" s="515"/>
      <c r="B189" s="590">
        <v>1</v>
      </c>
      <c r="C189" s="480">
        <f>B189</f>
        <v>1</v>
      </c>
      <c r="D189" s="851">
        <f>SUMPRODUCT(($AD$1:$AD$50032)*($AC$1:$AC$50032=B189))</f>
        <v>28.45</v>
      </c>
      <c r="E189" s="851"/>
      <c r="F189" s="852">
        <v>1</v>
      </c>
      <c r="G189" s="852"/>
      <c r="H189" s="853">
        <f t="shared" si="33"/>
        <v>0.1</v>
      </c>
      <c r="I189" s="853"/>
      <c r="J189" s="854" t="s">
        <v>245</v>
      </c>
      <c r="K189" s="854"/>
      <c r="L189" s="592"/>
      <c r="M189" s="669">
        <f>verzamelblad!$R$7*D189/H189/1000</f>
        <v>1.7069999999999999</v>
      </c>
      <c r="N189" s="739"/>
      <c r="O189" s="855">
        <f t="shared" si="35"/>
        <v>1.7069999999999999</v>
      </c>
      <c r="P189" s="855"/>
      <c r="Q189" s="525" t="str">
        <f t="shared" si="34"/>
        <v/>
      </c>
      <c r="R189" s="516"/>
      <c r="S189" s="516"/>
      <c r="T189" s="516"/>
      <c r="U189" s="516"/>
      <c r="V189" s="517"/>
      <c r="W189" s="508">
        <v>1</v>
      </c>
      <c r="X189" s="517"/>
      <c r="Y189" s="517"/>
      <c r="Z189" s="517"/>
      <c r="AA189" s="517"/>
      <c r="AB189" s="517"/>
      <c r="AC189" s="524"/>
      <c r="AD189" s="517"/>
      <c r="AE189" s="517"/>
      <c r="AF189" s="517"/>
      <c r="AG189" s="517"/>
    </row>
    <row r="190" spans="1:34" ht="12" customHeight="1">
      <c r="A190" s="492"/>
      <c r="B190" s="492"/>
      <c r="C190" s="463"/>
      <c r="D190" s="463"/>
      <c r="E190" s="463"/>
      <c r="F190" s="463"/>
      <c r="G190" s="463"/>
      <c r="H190" s="456"/>
      <c r="I190" s="456"/>
      <c r="J190" s="456"/>
      <c r="K190" s="456"/>
      <c r="L190" s="456"/>
      <c r="M190" s="456"/>
      <c r="N190" s="456"/>
      <c r="O190" s="456"/>
      <c r="P190" s="456"/>
      <c r="Q190" s="525"/>
      <c r="R190" s="507"/>
      <c r="S190" s="507"/>
      <c r="T190" s="532"/>
      <c r="U190" s="507"/>
      <c r="V190" s="508"/>
      <c r="W190" s="508">
        <v>1</v>
      </c>
      <c r="X190" s="508"/>
      <c r="Y190" s="508"/>
      <c r="Z190" s="508"/>
      <c r="AA190" s="508"/>
      <c r="AB190" s="508"/>
      <c r="AC190" s="508"/>
      <c r="AD190" s="508"/>
      <c r="AE190" s="508"/>
      <c r="AF190" s="508"/>
      <c r="AG190" s="508"/>
    </row>
    <row r="191" spans="1:34" s="541" customFormat="1" ht="12" customHeight="1">
      <c r="A191" s="543"/>
      <c r="B191" s="543"/>
      <c r="C191" s="464" t="str">
        <f>L29</f>
        <v>keuken</v>
      </c>
      <c r="D191" s="831">
        <f>SUMPRODUCT(($AE$1:$AE$28018)*($L$1:$L$28018=C191))</f>
        <v>15.1</v>
      </c>
      <c r="E191" s="831"/>
      <c r="F191" s="811">
        <v>1</v>
      </c>
      <c r="G191" s="811"/>
      <c r="H191" s="841">
        <f t="shared" ref="H191:H196" si="36">IF(F191=0,"",IF(F191=1,0.1,0.4))</f>
        <v>0.1</v>
      </c>
      <c r="I191" s="841"/>
      <c r="J191" s="842" t="s">
        <v>245</v>
      </c>
      <c r="K191" s="842"/>
      <c r="L191" s="404"/>
      <c r="M191" s="666">
        <f>verzamelblad!$S$7*D191/H191/1000</f>
        <v>0.45299999999999996</v>
      </c>
      <c r="N191" s="735"/>
      <c r="O191" s="843">
        <f>M191</f>
        <v>0.45299999999999996</v>
      </c>
      <c r="P191" s="843"/>
      <c r="Q191" s="403" t="str">
        <f>IF(D191=0,"verbergen","")</f>
        <v/>
      </c>
      <c r="R191" s="404"/>
      <c r="S191" s="404"/>
      <c r="T191" s="392"/>
      <c r="U191" s="392"/>
      <c r="V191" s="392"/>
      <c r="W191" s="547">
        <f>W190+1</f>
        <v>2</v>
      </c>
      <c r="X191" s="392"/>
      <c r="Y191" s="392"/>
      <c r="Z191" s="392"/>
      <c r="AA191" s="404"/>
      <c r="AB191" s="516"/>
      <c r="AC191" s="516"/>
      <c r="AD191" s="516"/>
      <c r="AE191" s="516"/>
      <c r="AF191" s="516"/>
      <c r="AG191" s="516"/>
      <c r="AH191" s="516"/>
    </row>
    <row r="192" spans="1:34" s="541" customFormat="1" ht="12" customHeight="1">
      <c r="A192" s="543"/>
      <c r="B192" s="543"/>
      <c r="C192" s="464" t="str">
        <f>L30</f>
        <v>bijkeuken</v>
      </c>
      <c r="D192" s="831">
        <f>SUMPRODUCT(($AE$1:$AE$28018)*($L$1:$L$28018=C192))</f>
        <v>5.96</v>
      </c>
      <c r="E192" s="831"/>
      <c r="F192" s="811">
        <v>1</v>
      </c>
      <c r="G192" s="811"/>
      <c r="H192" s="841">
        <f t="shared" si="36"/>
        <v>0.1</v>
      </c>
      <c r="I192" s="841"/>
      <c r="J192" s="842" t="s">
        <v>245</v>
      </c>
      <c r="K192" s="842"/>
      <c r="L192" s="404"/>
      <c r="M192" s="666">
        <f>verzamelblad!$S$7*D192/H192/1000</f>
        <v>0.17879999999999999</v>
      </c>
      <c r="N192" s="735"/>
      <c r="O192" s="843">
        <f t="shared" ref="O192:O196" si="37">M192</f>
        <v>0.17879999999999999</v>
      </c>
      <c r="P192" s="843"/>
      <c r="Q192" s="403" t="str">
        <f t="shared" ref="Q192:Q196" si="38">IF(D192=0,"verbergen","")</f>
        <v/>
      </c>
      <c r="R192" s="404"/>
      <c r="S192" s="404"/>
      <c r="T192" s="392"/>
      <c r="U192" s="392"/>
      <c r="V192" s="392"/>
      <c r="W192" s="547">
        <f t="shared" ref="W192:W197" si="39">W191</f>
        <v>2</v>
      </c>
      <c r="X192" s="392"/>
      <c r="Y192" s="392"/>
      <c r="Z192" s="392"/>
      <c r="AA192" s="404"/>
      <c r="AB192" s="516"/>
      <c r="AC192" s="516"/>
      <c r="AD192" s="516"/>
      <c r="AE192" s="516"/>
      <c r="AF192" s="516"/>
      <c r="AG192" s="516"/>
      <c r="AH192" s="516"/>
    </row>
    <row r="193" spans="1:34" s="541" customFormat="1" ht="12" hidden="1" customHeight="1">
      <c r="A193" s="543"/>
      <c r="B193" s="543"/>
      <c r="C193" s="464" t="s">
        <v>140</v>
      </c>
      <c r="D193" s="831">
        <f>SUMPRODUCT(($AE$1:$AE$28018)*($L$1:$L$28018=C193))</f>
        <v>0</v>
      </c>
      <c r="E193" s="831"/>
      <c r="F193" s="811">
        <v>2</v>
      </c>
      <c r="G193" s="811"/>
      <c r="H193" s="841">
        <f t="shared" si="36"/>
        <v>0.4</v>
      </c>
      <c r="I193" s="841"/>
      <c r="J193" s="842" t="s">
        <v>245</v>
      </c>
      <c r="K193" s="842"/>
      <c r="L193" s="404"/>
      <c r="M193" s="666">
        <f>verzamelblad!$S$7*D193/H193/1000</f>
        <v>0</v>
      </c>
      <c r="N193" s="735"/>
      <c r="O193" s="843">
        <f t="shared" si="37"/>
        <v>0</v>
      </c>
      <c r="P193" s="843"/>
      <c r="Q193" s="403" t="str">
        <f t="shared" si="38"/>
        <v>verbergen</v>
      </c>
      <c r="R193" s="404"/>
      <c r="S193" s="404"/>
      <c r="T193" s="392"/>
      <c r="U193" s="392"/>
      <c r="V193" s="392"/>
      <c r="W193" s="547">
        <f t="shared" si="39"/>
        <v>2</v>
      </c>
      <c r="X193" s="392"/>
      <c r="Y193" s="392"/>
      <c r="Z193" s="392"/>
      <c r="AA193" s="404"/>
      <c r="AB193" s="516"/>
      <c r="AC193" s="516"/>
      <c r="AD193" s="516"/>
      <c r="AE193" s="516"/>
      <c r="AF193" s="516"/>
      <c r="AG193" s="516"/>
      <c r="AH193" s="516"/>
    </row>
    <row r="194" spans="1:34" s="541" customFormat="1" ht="12" hidden="1" customHeight="1">
      <c r="A194" s="543"/>
      <c r="B194" s="543"/>
      <c r="C194" s="464" t="s">
        <v>140</v>
      </c>
      <c r="D194" s="831">
        <f>SUMPRODUCT(($AE$1:$AE$28018)*($L$1:$L$28018=C194))</f>
        <v>0</v>
      </c>
      <c r="E194" s="831"/>
      <c r="F194" s="811">
        <v>2</v>
      </c>
      <c r="G194" s="811"/>
      <c r="H194" s="841">
        <f t="shared" si="36"/>
        <v>0.4</v>
      </c>
      <c r="I194" s="841"/>
      <c r="J194" s="842" t="s">
        <v>245</v>
      </c>
      <c r="K194" s="842"/>
      <c r="L194" s="404"/>
      <c r="M194" s="666">
        <f>verzamelblad!$S$7*D194/H194/1000</f>
        <v>0</v>
      </c>
      <c r="N194" s="735"/>
      <c r="O194" s="843">
        <f t="shared" si="37"/>
        <v>0</v>
      </c>
      <c r="P194" s="843"/>
      <c r="Q194" s="403" t="str">
        <f t="shared" si="38"/>
        <v>verbergen</v>
      </c>
      <c r="R194" s="404"/>
      <c r="S194" s="404"/>
      <c r="T194" s="392"/>
      <c r="U194" s="392"/>
      <c r="V194" s="392"/>
      <c r="W194" s="547">
        <f t="shared" si="39"/>
        <v>2</v>
      </c>
      <c r="X194" s="392"/>
      <c r="Y194" s="392"/>
      <c r="Z194" s="392"/>
      <c r="AA194" s="404"/>
      <c r="AB194" s="516"/>
      <c r="AC194" s="516"/>
      <c r="AD194" s="516"/>
      <c r="AE194" s="516"/>
      <c r="AF194" s="516"/>
      <c r="AG194" s="516"/>
      <c r="AH194" s="516"/>
    </row>
    <row r="195" spans="1:34" s="541" customFormat="1" ht="12" hidden="1" customHeight="1">
      <c r="A195" s="543"/>
      <c r="B195" s="543"/>
      <c r="C195" s="464" t="s">
        <v>140</v>
      </c>
      <c r="D195" s="847">
        <f>SUMPRODUCT(($AE$1:$AE$28018)*($L$1:$L$28018=C195))</f>
        <v>0</v>
      </c>
      <c r="E195" s="847"/>
      <c r="F195" s="812">
        <v>2</v>
      </c>
      <c r="G195" s="812"/>
      <c r="H195" s="848">
        <f t="shared" si="36"/>
        <v>0.4</v>
      </c>
      <c r="I195" s="848"/>
      <c r="J195" s="849" t="s">
        <v>245</v>
      </c>
      <c r="K195" s="849"/>
      <c r="L195" s="628"/>
      <c r="M195" s="668">
        <f>verzamelblad!$S$7*D195/H195/1000</f>
        <v>0</v>
      </c>
      <c r="N195" s="738"/>
      <c r="O195" s="850">
        <f t="shared" si="37"/>
        <v>0</v>
      </c>
      <c r="P195" s="850"/>
      <c r="Q195" s="403" t="str">
        <f>IF(D195=0,"verbergen","")</f>
        <v>verbergen</v>
      </c>
      <c r="R195" s="404"/>
      <c r="S195" s="404"/>
      <c r="T195" s="392"/>
      <c r="U195" s="392"/>
      <c r="V195" s="392"/>
      <c r="W195" s="547">
        <f t="shared" si="39"/>
        <v>2</v>
      </c>
      <c r="X195" s="392"/>
      <c r="Y195" s="392"/>
      <c r="Z195" s="392"/>
      <c r="AA195" s="404"/>
      <c r="AB195" s="516"/>
      <c r="AC195" s="516"/>
      <c r="AD195" s="516"/>
      <c r="AE195" s="516"/>
      <c r="AF195" s="516"/>
      <c r="AG195" s="516"/>
      <c r="AH195" s="516"/>
    </row>
    <row r="196" spans="1:34" s="541" customFormat="1" ht="12" customHeight="1">
      <c r="A196" s="543"/>
      <c r="B196" s="556">
        <f>B189+1</f>
        <v>2</v>
      </c>
      <c r="C196" s="480">
        <f>B196</f>
        <v>2</v>
      </c>
      <c r="D196" s="851">
        <f>SUMPRODUCT(($AD$1:$AD$50044)*($AC$1:$AC$50044=B196))</f>
        <v>22.4</v>
      </c>
      <c r="E196" s="851"/>
      <c r="F196" s="852">
        <v>2</v>
      </c>
      <c r="G196" s="852"/>
      <c r="H196" s="853">
        <f t="shared" si="36"/>
        <v>0.4</v>
      </c>
      <c r="I196" s="853"/>
      <c r="J196" s="854" t="s">
        <v>245</v>
      </c>
      <c r="K196" s="854"/>
      <c r="L196" s="592"/>
      <c r="M196" s="669">
        <f>verzamelblad!$R$7*D196/H196/1000</f>
        <v>0.33599999999999997</v>
      </c>
      <c r="N196" s="739"/>
      <c r="O196" s="855">
        <f t="shared" si="37"/>
        <v>0.33599999999999997</v>
      </c>
      <c r="P196" s="855"/>
      <c r="Q196" s="403" t="str">
        <f t="shared" si="38"/>
        <v/>
      </c>
      <c r="R196" s="404"/>
      <c r="S196" s="404"/>
      <c r="T196" s="392"/>
      <c r="U196" s="392"/>
      <c r="V196" s="392"/>
      <c r="W196" s="547">
        <f t="shared" si="39"/>
        <v>2</v>
      </c>
      <c r="X196" s="392"/>
      <c r="Y196" s="392"/>
      <c r="Z196" s="392"/>
      <c r="AA196" s="404"/>
      <c r="AB196" s="516"/>
      <c r="AC196" s="516"/>
      <c r="AD196" s="516"/>
      <c r="AE196" s="516"/>
      <c r="AF196" s="516"/>
      <c r="AG196" s="516"/>
      <c r="AH196" s="516"/>
    </row>
    <row r="197" spans="1:34" s="493" customFormat="1" ht="12" customHeight="1">
      <c r="A197" s="560"/>
      <c r="B197" s="560"/>
      <c r="C197" s="463"/>
      <c r="D197" s="463"/>
      <c r="E197" s="463"/>
      <c r="F197" s="463"/>
      <c r="G197" s="463"/>
      <c r="H197" s="456"/>
      <c r="I197" s="456"/>
      <c r="J197" s="456"/>
      <c r="K197" s="456"/>
      <c r="L197" s="456"/>
      <c r="M197" s="456"/>
      <c r="N197" s="456"/>
      <c r="O197" s="456"/>
      <c r="P197" s="456"/>
      <c r="Q197" s="451"/>
      <c r="R197" s="451"/>
      <c r="S197" s="451"/>
      <c r="T197" s="561"/>
      <c r="U197" s="547"/>
      <c r="V197" s="547"/>
      <c r="W197" s="547">
        <f t="shared" si="39"/>
        <v>2</v>
      </c>
      <c r="X197" s="547"/>
      <c r="Y197" s="547"/>
      <c r="Z197" s="547"/>
      <c r="AA197" s="451"/>
      <c r="AB197" s="507"/>
      <c r="AC197" s="507"/>
      <c r="AD197" s="507"/>
      <c r="AE197" s="507"/>
      <c r="AF197" s="507"/>
      <c r="AG197" s="507"/>
      <c r="AH197" s="507"/>
    </row>
    <row r="198" spans="1:34" s="541" customFormat="1" ht="12" customHeight="1">
      <c r="A198" s="543"/>
      <c r="B198" s="543"/>
      <c r="C198" s="640" t="str">
        <f>L31</f>
        <v>slaapkamer 1</v>
      </c>
      <c r="D198" s="831">
        <f>SUMPRODUCT(($AE$1:$AE$28002)*($L$1:$L$28002=C198))</f>
        <v>7.57</v>
      </c>
      <c r="E198" s="831"/>
      <c r="F198" s="811">
        <v>1</v>
      </c>
      <c r="G198" s="811"/>
      <c r="H198" s="841">
        <f t="shared" ref="H198:H203" si="40">IF(F198=0,"",IF(F198=1,0.1,0.4))</f>
        <v>0.1</v>
      </c>
      <c r="I198" s="841"/>
      <c r="J198" s="842" t="s">
        <v>245</v>
      </c>
      <c r="K198" s="842"/>
      <c r="L198" s="404"/>
      <c r="M198" s="666">
        <f>verzamelblad!$S$7*D198/H198/1000</f>
        <v>0.2271</v>
      </c>
      <c r="N198" s="735"/>
      <c r="O198" s="856">
        <f>M198</f>
        <v>0.2271</v>
      </c>
      <c r="P198" s="856"/>
      <c r="Q198" s="403" t="str">
        <f>IF(D198=0,"verbergen","")</f>
        <v/>
      </c>
      <c r="R198" s="404"/>
      <c r="S198" s="404"/>
      <c r="T198" s="392"/>
      <c r="U198" s="392"/>
      <c r="V198" s="392"/>
      <c r="W198" s="547">
        <f>W197+1</f>
        <v>3</v>
      </c>
      <c r="X198" s="392"/>
      <c r="Y198" s="392"/>
      <c r="Z198" s="392"/>
      <c r="AA198" s="404"/>
      <c r="AB198" s="516"/>
      <c r="AC198" s="516"/>
      <c r="AD198" s="516"/>
      <c r="AE198" s="516"/>
      <c r="AF198" s="516"/>
      <c r="AG198" s="516"/>
      <c r="AH198" s="516"/>
    </row>
    <row r="199" spans="1:34" s="541" customFormat="1" ht="12" customHeight="1">
      <c r="A199" s="543"/>
      <c r="B199" s="543"/>
      <c r="C199" s="640" t="str">
        <f t="shared" ref="C199:C200" si="41">L32</f>
        <v>slaapkamer 2</v>
      </c>
      <c r="D199" s="831">
        <f>SUMPRODUCT(($AE$1:$AE$28002)*($L$1:$L$28002=C199))</f>
        <v>7.47</v>
      </c>
      <c r="E199" s="831"/>
      <c r="F199" s="811">
        <v>1</v>
      </c>
      <c r="G199" s="811"/>
      <c r="H199" s="841">
        <f t="shared" si="40"/>
        <v>0.1</v>
      </c>
      <c r="I199" s="841"/>
      <c r="J199" s="842" t="s">
        <v>245</v>
      </c>
      <c r="K199" s="842"/>
      <c r="L199" s="404"/>
      <c r="M199" s="666">
        <f>verzamelblad!$S$7*D199/H199/1000</f>
        <v>0.22409999999999999</v>
      </c>
      <c r="N199" s="735"/>
      <c r="O199" s="856">
        <f t="shared" ref="O199:O203" si="42">M199</f>
        <v>0.22409999999999999</v>
      </c>
      <c r="P199" s="856"/>
      <c r="Q199" s="403" t="str">
        <f t="shared" ref="Q199:Q203" si="43">IF(D199=0,"verbergen","")</f>
        <v/>
      </c>
      <c r="R199" s="404"/>
      <c r="S199" s="404"/>
      <c r="T199" s="392"/>
      <c r="U199" s="392"/>
      <c r="V199" s="392"/>
      <c r="W199" s="547">
        <f t="shared" ref="W199:W204" si="44">W198</f>
        <v>3</v>
      </c>
      <c r="X199" s="392"/>
      <c r="Y199" s="392"/>
      <c r="Z199" s="392"/>
      <c r="AA199" s="404"/>
      <c r="AB199" s="516"/>
      <c r="AC199" s="516"/>
      <c r="AD199" s="516"/>
      <c r="AE199" s="516"/>
      <c r="AF199" s="516"/>
      <c r="AG199" s="516"/>
      <c r="AH199" s="516"/>
    </row>
    <row r="200" spans="1:34" s="541" customFormat="1" ht="12" customHeight="1">
      <c r="A200" s="543"/>
      <c r="B200" s="543"/>
      <c r="C200" s="640" t="str">
        <f t="shared" si="41"/>
        <v>studeerkamer</v>
      </c>
      <c r="D200" s="831">
        <f>SUMPRODUCT(($AE$1:$AE$28002)*($L$1:$L$28002=C200))</f>
        <v>3.33</v>
      </c>
      <c r="E200" s="831"/>
      <c r="F200" s="811">
        <v>1</v>
      </c>
      <c r="G200" s="811"/>
      <c r="H200" s="841">
        <f t="shared" si="40"/>
        <v>0.1</v>
      </c>
      <c r="I200" s="841"/>
      <c r="J200" s="842" t="s">
        <v>245</v>
      </c>
      <c r="K200" s="842"/>
      <c r="L200" s="404"/>
      <c r="M200" s="666">
        <f>verzamelblad!$S$7*D200/H200/1000</f>
        <v>9.9899999999999989E-2</v>
      </c>
      <c r="N200" s="735"/>
      <c r="O200" s="856">
        <f t="shared" si="42"/>
        <v>9.9899999999999989E-2</v>
      </c>
      <c r="P200" s="856"/>
      <c r="Q200" s="403" t="str">
        <f t="shared" si="43"/>
        <v/>
      </c>
      <c r="R200" s="404"/>
      <c r="S200" s="404"/>
      <c r="T200" s="392"/>
      <c r="U200" s="392"/>
      <c r="V200" s="392"/>
      <c r="W200" s="547">
        <f t="shared" si="44"/>
        <v>3</v>
      </c>
      <c r="X200" s="392"/>
      <c r="Y200" s="392"/>
      <c r="Z200" s="392"/>
      <c r="AA200" s="404"/>
      <c r="AB200" s="516"/>
      <c r="AC200" s="516"/>
      <c r="AD200" s="516"/>
      <c r="AE200" s="516"/>
      <c r="AF200" s="516"/>
      <c r="AG200" s="516"/>
      <c r="AH200" s="516"/>
    </row>
    <row r="201" spans="1:34" s="541" customFormat="1" ht="12" hidden="1" customHeight="1">
      <c r="A201" s="543"/>
      <c r="B201" s="543"/>
      <c r="C201" s="640" t="s">
        <v>140</v>
      </c>
      <c r="D201" s="831">
        <f>SUMPRODUCT(($AE$1:$AE$28002)*($L$1:$L$28002=C201))</f>
        <v>0</v>
      </c>
      <c r="E201" s="831"/>
      <c r="F201" s="811">
        <v>2</v>
      </c>
      <c r="G201" s="811"/>
      <c r="H201" s="841">
        <f t="shared" si="40"/>
        <v>0.4</v>
      </c>
      <c r="I201" s="841"/>
      <c r="J201" s="842" t="s">
        <v>245</v>
      </c>
      <c r="K201" s="842"/>
      <c r="L201" s="404"/>
      <c r="M201" s="666">
        <f>verzamelblad!$S$7*D201/H201/1000</f>
        <v>0</v>
      </c>
      <c r="N201" s="735"/>
      <c r="O201" s="856">
        <f t="shared" si="42"/>
        <v>0</v>
      </c>
      <c r="P201" s="856"/>
      <c r="Q201" s="403" t="str">
        <f t="shared" si="43"/>
        <v>verbergen</v>
      </c>
      <c r="R201" s="404"/>
      <c r="S201" s="404"/>
      <c r="T201" s="392"/>
      <c r="U201" s="392"/>
      <c r="V201" s="392"/>
      <c r="W201" s="547">
        <f t="shared" si="44"/>
        <v>3</v>
      </c>
      <c r="X201" s="392"/>
      <c r="Y201" s="392"/>
      <c r="Z201" s="392"/>
      <c r="AA201" s="404"/>
      <c r="AB201" s="516"/>
      <c r="AC201" s="516"/>
      <c r="AD201" s="516"/>
      <c r="AE201" s="516"/>
      <c r="AF201" s="516"/>
      <c r="AG201" s="516"/>
      <c r="AH201" s="516"/>
    </row>
    <row r="202" spans="1:34" s="541" customFormat="1" ht="12" hidden="1" customHeight="1">
      <c r="A202" s="543"/>
      <c r="B202" s="543"/>
      <c r="C202" s="667" t="s">
        <v>140</v>
      </c>
      <c r="D202" s="847">
        <f>SUMPRODUCT(($AE$1:$AE$28002)*($L$1:$L$28002=C202))</f>
        <v>0</v>
      </c>
      <c r="E202" s="847"/>
      <c r="F202" s="812">
        <v>2</v>
      </c>
      <c r="G202" s="812"/>
      <c r="H202" s="848">
        <f t="shared" si="40"/>
        <v>0.4</v>
      </c>
      <c r="I202" s="848"/>
      <c r="J202" s="849" t="s">
        <v>245</v>
      </c>
      <c r="K202" s="849"/>
      <c r="L202" s="628"/>
      <c r="M202" s="668">
        <f>verzamelblad!$S$7*D202/H202/1000</f>
        <v>0</v>
      </c>
      <c r="N202" s="738"/>
      <c r="O202" s="857">
        <f t="shared" si="42"/>
        <v>0</v>
      </c>
      <c r="P202" s="857"/>
      <c r="Q202" s="403" t="str">
        <f>IF(D202=0,"verbergen","")</f>
        <v>verbergen</v>
      </c>
      <c r="R202" s="404"/>
      <c r="S202" s="404"/>
      <c r="T202" s="392"/>
      <c r="U202" s="392"/>
      <c r="V202" s="392"/>
      <c r="W202" s="547">
        <f t="shared" si="44"/>
        <v>3</v>
      </c>
      <c r="X202" s="392"/>
      <c r="Y202" s="392"/>
      <c r="Z202" s="392"/>
      <c r="AA202" s="404"/>
      <c r="AB202" s="516"/>
      <c r="AC202" s="516"/>
      <c r="AD202" s="516"/>
      <c r="AE202" s="516"/>
      <c r="AF202" s="516"/>
      <c r="AG202" s="516"/>
      <c r="AH202" s="516"/>
    </row>
    <row r="203" spans="1:34" s="541" customFormat="1" ht="12" customHeight="1">
      <c r="A203" s="543"/>
      <c r="B203" s="556">
        <f>B196+1</f>
        <v>3</v>
      </c>
      <c r="C203" s="480">
        <f>B203</f>
        <v>3</v>
      </c>
      <c r="D203" s="851">
        <f>SUMPRODUCT(($AD$1:$AD$50028)*($AC$1:$AC$50028=B203))</f>
        <v>18.899999999999999</v>
      </c>
      <c r="E203" s="851"/>
      <c r="F203" s="852">
        <v>2</v>
      </c>
      <c r="G203" s="852"/>
      <c r="H203" s="853">
        <f t="shared" si="40"/>
        <v>0.4</v>
      </c>
      <c r="I203" s="853"/>
      <c r="J203" s="854" t="s">
        <v>245</v>
      </c>
      <c r="K203" s="854"/>
      <c r="L203" s="592"/>
      <c r="M203" s="669">
        <f>verzamelblad!$R$7*D203/H203/1000</f>
        <v>0.28349999999999992</v>
      </c>
      <c r="N203" s="739"/>
      <c r="O203" s="858">
        <f t="shared" si="42"/>
        <v>0.28349999999999992</v>
      </c>
      <c r="P203" s="858"/>
      <c r="Q203" s="403" t="str">
        <f t="shared" si="43"/>
        <v/>
      </c>
      <c r="R203" s="404"/>
      <c r="S203" s="404"/>
      <c r="T203" s="392"/>
      <c r="U203" s="392"/>
      <c r="V203" s="392"/>
      <c r="W203" s="547">
        <f t="shared" si="44"/>
        <v>3</v>
      </c>
      <c r="X203" s="392"/>
      <c r="Y203" s="392"/>
      <c r="Z203" s="392"/>
      <c r="AA203" s="404"/>
      <c r="AB203" s="516"/>
      <c r="AC203" s="516"/>
      <c r="AD203" s="516"/>
      <c r="AE203" s="516"/>
      <c r="AF203" s="516"/>
      <c r="AG203" s="516"/>
      <c r="AH203" s="516"/>
    </row>
    <row r="204" spans="1:34" s="493" customFormat="1" ht="12" customHeight="1">
      <c r="A204" s="560"/>
      <c r="B204" s="560"/>
      <c r="C204" s="463"/>
      <c r="D204" s="463"/>
      <c r="E204" s="463"/>
      <c r="F204" s="463"/>
      <c r="G204" s="463"/>
      <c r="H204" s="456"/>
      <c r="I204" s="456"/>
      <c r="J204" s="456"/>
      <c r="K204" s="456"/>
      <c r="L204" s="456"/>
      <c r="M204" s="456"/>
      <c r="N204" s="456"/>
      <c r="O204" s="456"/>
      <c r="P204" s="456"/>
      <c r="Q204" s="451"/>
      <c r="R204" s="451"/>
      <c r="S204" s="451"/>
      <c r="T204" s="561"/>
      <c r="U204" s="547"/>
      <c r="V204" s="547"/>
      <c r="W204" s="547">
        <f t="shared" si="44"/>
        <v>3</v>
      </c>
      <c r="X204" s="547"/>
      <c r="Y204" s="547"/>
      <c r="Z204" s="547"/>
      <c r="AA204" s="451"/>
      <c r="AB204" s="507"/>
      <c r="AC204" s="507"/>
      <c r="AD204" s="507"/>
      <c r="AE204" s="507"/>
      <c r="AF204" s="507"/>
      <c r="AG204" s="507"/>
      <c r="AH204" s="507"/>
    </row>
    <row r="205" spans="1:34" s="541" customFormat="1" ht="12" customHeight="1">
      <c r="A205" s="543"/>
      <c r="B205" s="543"/>
      <c r="C205" s="640" t="str">
        <f>L34</f>
        <v>slaapkamer 3</v>
      </c>
      <c r="D205" s="831">
        <f>SUMPRODUCT(($AE$1:$AE$27974)*($L$1:$L$27974=C205))</f>
        <v>6</v>
      </c>
      <c r="E205" s="831"/>
      <c r="F205" s="811">
        <v>1</v>
      </c>
      <c r="G205" s="811"/>
      <c r="H205" s="841">
        <f t="shared" ref="H205:H210" si="45">IF(F205=0,"",IF(F205=1,0.1,0.4))</f>
        <v>0.1</v>
      </c>
      <c r="I205" s="841"/>
      <c r="J205" s="842" t="s">
        <v>245</v>
      </c>
      <c r="K205" s="842"/>
      <c r="L205" s="404"/>
      <c r="M205" s="666">
        <f>verzamelblad!$S$7*D205/H205/1000</f>
        <v>0.18</v>
      </c>
      <c r="N205" s="735"/>
      <c r="O205" s="856">
        <f>M205</f>
        <v>0.18</v>
      </c>
      <c r="P205" s="856"/>
      <c r="Q205" s="403" t="str">
        <f>IF(D205=0,"verbergen","")</f>
        <v/>
      </c>
      <c r="R205" s="404"/>
      <c r="S205" s="404"/>
      <c r="T205" s="392"/>
      <c r="U205" s="392"/>
      <c r="V205" s="392"/>
      <c r="W205" s="547">
        <f>W204+1</f>
        <v>4</v>
      </c>
      <c r="X205" s="392"/>
      <c r="Y205" s="392"/>
      <c r="Z205" s="392"/>
      <c r="AA205" s="404"/>
      <c r="AB205" s="516"/>
      <c r="AC205" s="516"/>
      <c r="AD205" s="516"/>
      <c r="AE205" s="516"/>
      <c r="AF205" s="516"/>
      <c r="AG205" s="516"/>
      <c r="AH205" s="516"/>
    </row>
    <row r="206" spans="1:34" s="541" customFormat="1" ht="12" hidden="1" customHeight="1">
      <c r="A206" s="543"/>
      <c r="B206" s="543"/>
      <c r="C206" s="640" t="s">
        <v>140</v>
      </c>
      <c r="D206" s="831">
        <f>SUMPRODUCT(($AE$1:$AE$27974)*($L$1:$L$27974=C206))</f>
        <v>0</v>
      </c>
      <c r="E206" s="831"/>
      <c r="F206" s="811">
        <v>2</v>
      </c>
      <c r="G206" s="811"/>
      <c r="H206" s="841">
        <f t="shared" si="45"/>
        <v>0.4</v>
      </c>
      <c r="I206" s="841"/>
      <c r="J206" s="842" t="s">
        <v>245</v>
      </c>
      <c r="K206" s="842"/>
      <c r="L206" s="404"/>
      <c r="M206" s="666">
        <f>verzamelblad!$S$7*D206/H206/1000</f>
        <v>0</v>
      </c>
      <c r="N206" s="735"/>
      <c r="O206" s="856">
        <f t="shared" ref="O206:O210" si="46">M206</f>
        <v>0</v>
      </c>
      <c r="P206" s="856"/>
      <c r="Q206" s="403" t="str">
        <f t="shared" ref="Q206:Q210" si="47">IF(D206=0,"verbergen","")</f>
        <v>verbergen</v>
      </c>
      <c r="R206" s="404"/>
      <c r="S206" s="404"/>
      <c r="T206" s="392"/>
      <c r="U206" s="392"/>
      <c r="V206" s="392"/>
      <c r="W206" s="547">
        <f t="shared" ref="W206:W211" si="48">W205</f>
        <v>4</v>
      </c>
      <c r="X206" s="392"/>
      <c r="Y206" s="392"/>
      <c r="Z206" s="392"/>
      <c r="AA206" s="404"/>
      <c r="AB206" s="516"/>
      <c r="AC206" s="516"/>
      <c r="AD206" s="516"/>
      <c r="AE206" s="516"/>
      <c r="AF206" s="516"/>
      <c r="AG206" s="516"/>
      <c r="AH206" s="516"/>
    </row>
    <row r="207" spans="1:34" s="541" customFormat="1" ht="12" hidden="1" customHeight="1">
      <c r="A207" s="543"/>
      <c r="B207" s="543"/>
      <c r="C207" s="640" t="s">
        <v>140</v>
      </c>
      <c r="D207" s="831">
        <f>SUMPRODUCT(($AE$1:$AE$27974)*($L$1:$L$27974=C207))</f>
        <v>0</v>
      </c>
      <c r="E207" s="831"/>
      <c r="F207" s="811">
        <v>2</v>
      </c>
      <c r="G207" s="811"/>
      <c r="H207" s="841">
        <f t="shared" si="45"/>
        <v>0.4</v>
      </c>
      <c r="I207" s="841"/>
      <c r="J207" s="842" t="s">
        <v>245</v>
      </c>
      <c r="K207" s="842"/>
      <c r="L207" s="404"/>
      <c r="M207" s="666">
        <f>verzamelblad!$S$7*D207/H207/1000</f>
        <v>0</v>
      </c>
      <c r="N207" s="735"/>
      <c r="O207" s="856">
        <f t="shared" si="46"/>
        <v>0</v>
      </c>
      <c r="P207" s="856"/>
      <c r="Q207" s="403" t="str">
        <f t="shared" si="47"/>
        <v>verbergen</v>
      </c>
      <c r="R207" s="404"/>
      <c r="S207" s="404"/>
      <c r="T207" s="392"/>
      <c r="U207" s="392"/>
      <c r="V207" s="392"/>
      <c r="W207" s="547">
        <f t="shared" si="48"/>
        <v>4</v>
      </c>
      <c r="X207" s="392"/>
      <c r="Y207" s="392"/>
      <c r="Z207" s="392"/>
      <c r="AA207" s="404"/>
      <c r="AB207" s="516"/>
      <c r="AC207" s="516"/>
      <c r="AD207" s="516"/>
      <c r="AE207" s="516"/>
      <c r="AF207" s="516"/>
      <c r="AG207" s="516"/>
      <c r="AH207" s="516"/>
    </row>
    <row r="208" spans="1:34" s="541" customFormat="1" ht="12" hidden="1" customHeight="1">
      <c r="A208" s="543"/>
      <c r="B208" s="543"/>
      <c r="C208" s="640" t="s">
        <v>140</v>
      </c>
      <c r="D208" s="831">
        <f>SUMPRODUCT(($AE$1:$AE$27974)*($L$1:$L$27974=C208))</f>
        <v>0</v>
      </c>
      <c r="E208" s="831"/>
      <c r="F208" s="811">
        <v>2</v>
      </c>
      <c r="G208" s="811"/>
      <c r="H208" s="841">
        <f t="shared" si="45"/>
        <v>0.4</v>
      </c>
      <c r="I208" s="841"/>
      <c r="J208" s="842" t="s">
        <v>245</v>
      </c>
      <c r="K208" s="842"/>
      <c r="L208" s="404"/>
      <c r="M208" s="666">
        <f>verzamelblad!$S$7*D208/H208/1000</f>
        <v>0</v>
      </c>
      <c r="N208" s="735"/>
      <c r="O208" s="856">
        <f t="shared" si="46"/>
        <v>0</v>
      </c>
      <c r="P208" s="856"/>
      <c r="Q208" s="403" t="str">
        <f t="shared" si="47"/>
        <v>verbergen</v>
      </c>
      <c r="R208" s="404"/>
      <c r="S208" s="404"/>
      <c r="T208" s="392"/>
      <c r="U208" s="392"/>
      <c r="V208" s="392"/>
      <c r="W208" s="547">
        <f t="shared" si="48"/>
        <v>4</v>
      </c>
      <c r="X208" s="392"/>
      <c r="Y208" s="392"/>
      <c r="Z208" s="392"/>
      <c r="AA208" s="404"/>
      <c r="AB208" s="516"/>
      <c r="AC208" s="516"/>
      <c r="AD208" s="516"/>
      <c r="AE208" s="516"/>
      <c r="AF208" s="516"/>
      <c r="AG208" s="516"/>
      <c r="AH208" s="516"/>
    </row>
    <row r="209" spans="1:34" s="541" customFormat="1" ht="12" hidden="1" customHeight="1">
      <c r="A209" s="543"/>
      <c r="B209" s="543"/>
      <c r="C209" s="667" t="s">
        <v>140</v>
      </c>
      <c r="D209" s="847">
        <f>SUMPRODUCT(($AE$1:$AE$27974)*($L$1:$L$27974=C209))</f>
        <v>0</v>
      </c>
      <c r="E209" s="847"/>
      <c r="F209" s="812">
        <v>2</v>
      </c>
      <c r="G209" s="812"/>
      <c r="H209" s="848">
        <f t="shared" si="45"/>
        <v>0.4</v>
      </c>
      <c r="I209" s="848"/>
      <c r="J209" s="849" t="s">
        <v>245</v>
      </c>
      <c r="K209" s="849"/>
      <c r="L209" s="628"/>
      <c r="M209" s="668">
        <f>verzamelblad!$S$7*D209/H209/1000</f>
        <v>0</v>
      </c>
      <c r="N209" s="738"/>
      <c r="O209" s="857">
        <f t="shared" si="46"/>
        <v>0</v>
      </c>
      <c r="P209" s="857"/>
      <c r="Q209" s="403" t="str">
        <f>IF(D209=0,"verbergen","")</f>
        <v>verbergen</v>
      </c>
      <c r="R209" s="404"/>
      <c r="S209" s="404"/>
      <c r="T209" s="392"/>
      <c r="U209" s="392"/>
      <c r="V209" s="392"/>
      <c r="W209" s="547">
        <f t="shared" si="48"/>
        <v>4</v>
      </c>
      <c r="X209" s="392"/>
      <c r="Y209" s="392"/>
      <c r="Z209" s="392"/>
      <c r="AA209" s="404"/>
      <c r="AB209" s="516"/>
      <c r="AC209" s="516"/>
      <c r="AD209" s="516"/>
      <c r="AE209" s="516"/>
      <c r="AF209" s="516"/>
      <c r="AG209" s="516"/>
      <c r="AH209" s="516"/>
    </row>
    <row r="210" spans="1:34" s="541" customFormat="1" ht="12" customHeight="1">
      <c r="A210" s="543"/>
      <c r="B210" s="556">
        <f>B203+1</f>
        <v>4</v>
      </c>
      <c r="C210" s="480">
        <f>B210</f>
        <v>4</v>
      </c>
      <c r="D210" s="851">
        <f>SUMPRODUCT(($AD$1:$AD$50000)*($AC$1:$AC$50000=B210))</f>
        <v>6</v>
      </c>
      <c r="E210" s="851"/>
      <c r="F210" s="852">
        <v>2</v>
      </c>
      <c r="G210" s="852"/>
      <c r="H210" s="853">
        <f t="shared" si="45"/>
        <v>0.4</v>
      </c>
      <c r="I210" s="853"/>
      <c r="J210" s="854" t="s">
        <v>245</v>
      </c>
      <c r="K210" s="854"/>
      <c r="L210" s="592"/>
      <c r="M210" s="669">
        <f>verzamelblad!$R$7*D210/H210/1000</f>
        <v>0.09</v>
      </c>
      <c r="N210" s="739"/>
      <c r="O210" s="858">
        <f t="shared" si="46"/>
        <v>0.09</v>
      </c>
      <c r="P210" s="858"/>
      <c r="Q210" s="403" t="str">
        <f t="shared" si="47"/>
        <v/>
      </c>
      <c r="R210" s="404"/>
      <c r="S210" s="404"/>
      <c r="T210" s="392"/>
      <c r="U210" s="392"/>
      <c r="V210" s="392"/>
      <c r="W210" s="547">
        <f t="shared" si="48"/>
        <v>4</v>
      </c>
      <c r="X210" s="392"/>
      <c r="Y210" s="392"/>
      <c r="Z210" s="392"/>
      <c r="AA210" s="404"/>
      <c r="AB210" s="516"/>
      <c r="AC210" s="516"/>
      <c r="AD210" s="516"/>
      <c r="AE210" s="516"/>
      <c r="AF210" s="516"/>
      <c r="AG210" s="516"/>
      <c r="AH210" s="516"/>
    </row>
    <row r="211" spans="1:34" s="493" customFormat="1" ht="12" customHeight="1">
      <c r="A211" s="560"/>
      <c r="B211" s="560"/>
      <c r="C211" s="463"/>
      <c r="D211" s="463"/>
      <c r="E211" s="463"/>
      <c r="F211" s="463"/>
      <c r="G211" s="463"/>
      <c r="H211" s="456"/>
      <c r="I211" s="456"/>
      <c r="J211" s="456"/>
      <c r="K211" s="456"/>
      <c r="L211" s="456"/>
      <c r="M211" s="456"/>
      <c r="N211" s="456"/>
      <c r="O211" s="456"/>
      <c r="P211" s="456"/>
      <c r="Q211" s="451"/>
      <c r="R211" s="451"/>
      <c r="S211" s="451"/>
      <c r="T211" s="561"/>
      <c r="U211" s="547"/>
      <c r="V211" s="547"/>
      <c r="W211" s="547">
        <f t="shared" si="48"/>
        <v>4</v>
      </c>
      <c r="X211" s="547"/>
      <c r="Y211" s="547"/>
      <c r="Z211" s="547"/>
      <c r="AA211" s="451"/>
      <c r="AB211" s="507"/>
      <c r="AC211" s="507"/>
      <c r="AD211" s="507"/>
      <c r="AE211" s="507"/>
      <c r="AF211" s="507"/>
      <c r="AG211" s="507"/>
      <c r="AH211" s="507"/>
    </row>
    <row r="212" spans="1:34" ht="12" customHeight="1"/>
  </sheetData>
  <sheetProtection algorithmName="SHA-512" hashValue="9OmmeSY9UVzYpRQ+xPLcj3DNDJI4XuEOGAeuHIcMyvmkR+//goLgwVy/Mg3mWcJryDpqZCj1DRDZFxDgp36LyQ==" saltValue="iWRiGGv6HdEMZtRica4J+Q==" spinCount="100000"/>
  <dataConsolidate/>
  <mergeCells count="360">
    <mergeCell ref="D210:E210"/>
    <mergeCell ref="F210:G210"/>
    <mergeCell ref="H210:I210"/>
    <mergeCell ref="J210:K210"/>
    <mergeCell ref="O210:P210"/>
    <mergeCell ref="D208:E208"/>
    <mergeCell ref="F208:G208"/>
    <mergeCell ref="H208:I208"/>
    <mergeCell ref="J208:K208"/>
    <mergeCell ref="O208:P208"/>
    <mergeCell ref="D209:E209"/>
    <mergeCell ref="F209:G209"/>
    <mergeCell ref="H209:I209"/>
    <mergeCell ref="J209:K209"/>
    <mergeCell ref="O209:P209"/>
    <mergeCell ref="D206:E206"/>
    <mergeCell ref="F206:G206"/>
    <mergeCell ref="H206:I206"/>
    <mergeCell ref="J206:K206"/>
    <mergeCell ref="O206:P206"/>
    <mergeCell ref="D207:E207"/>
    <mergeCell ref="F207:G207"/>
    <mergeCell ref="H207:I207"/>
    <mergeCell ref="J207:K207"/>
    <mergeCell ref="O207:P207"/>
    <mergeCell ref="D203:E203"/>
    <mergeCell ref="F203:G203"/>
    <mergeCell ref="H203:I203"/>
    <mergeCell ref="J203:K203"/>
    <mergeCell ref="O203:P203"/>
    <mergeCell ref="D205:E205"/>
    <mergeCell ref="F205:G205"/>
    <mergeCell ref="H205:I205"/>
    <mergeCell ref="J205:K205"/>
    <mergeCell ref="O205:P205"/>
    <mergeCell ref="D201:E201"/>
    <mergeCell ref="F201:G201"/>
    <mergeCell ref="H201:I201"/>
    <mergeCell ref="J201:K201"/>
    <mergeCell ref="O201:P201"/>
    <mergeCell ref="D202:E202"/>
    <mergeCell ref="F202:G202"/>
    <mergeCell ref="H202:I202"/>
    <mergeCell ref="J202:K202"/>
    <mergeCell ref="O202:P202"/>
    <mergeCell ref="D199:E199"/>
    <mergeCell ref="F199:G199"/>
    <mergeCell ref="H199:I199"/>
    <mergeCell ref="J199:K199"/>
    <mergeCell ref="O199:P199"/>
    <mergeCell ref="D200:E200"/>
    <mergeCell ref="F200:G200"/>
    <mergeCell ref="H200:I200"/>
    <mergeCell ref="J200:K200"/>
    <mergeCell ref="O200:P200"/>
    <mergeCell ref="D196:E196"/>
    <mergeCell ref="F196:G196"/>
    <mergeCell ref="H196:I196"/>
    <mergeCell ref="J196:K196"/>
    <mergeCell ref="O196:P196"/>
    <mergeCell ref="D198:E198"/>
    <mergeCell ref="F198:G198"/>
    <mergeCell ref="H198:I198"/>
    <mergeCell ref="J198:K198"/>
    <mergeCell ref="O198:P198"/>
    <mergeCell ref="D194:E194"/>
    <mergeCell ref="F194:G194"/>
    <mergeCell ref="H194:I194"/>
    <mergeCell ref="J194:K194"/>
    <mergeCell ref="O194:P194"/>
    <mergeCell ref="D195:E195"/>
    <mergeCell ref="F195:G195"/>
    <mergeCell ref="H195:I195"/>
    <mergeCell ref="J195:K195"/>
    <mergeCell ref="O195:P195"/>
    <mergeCell ref="D192:E192"/>
    <mergeCell ref="F192:G192"/>
    <mergeCell ref="H192:I192"/>
    <mergeCell ref="J192:K192"/>
    <mergeCell ref="O192:P192"/>
    <mergeCell ref="D193:E193"/>
    <mergeCell ref="F193:G193"/>
    <mergeCell ref="H193:I193"/>
    <mergeCell ref="J193:K193"/>
    <mergeCell ref="O193:P193"/>
    <mergeCell ref="D189:E189"/>
    <mergeCell ref="F189:G189"/>
    <mergeCell ref="H189:I189"/>
    <mergeCell ref="J189:K189"/>
    <mergeCell ref="O189:P189"/>
    <mergeCell ref="D191:E191"/>
    <mergeCell ref="F191:G191"/>
    <mergeCell ref="H191:I191"/>
    <mergeCell ref="J191:K191"/>
    <mergeCell ref="O191:P191"/>
    <mergeCell ref="D187:E187"/>
    <mergeCell ref="F187:G187"/>
    <mergeCell ref="H187:I187"/>
    <mergeCell ref="J187:K187"/>
    <mergeCell ref="O187:P187"/>
    <mergeCell ref="D188:E188"/>
    <mergeCell ref="F188:G188"/>
    <mergeCell ref="H188:I188"/>
    <mergeCell ref="J188:K188"/>
    <mergeCell ref="O188:P188"/>
    <mergeCell ref="D185:E185"/>
    <mergeCell ref="F185:G185"/>
    <mergeCell ref="H185:I185"/>
    <mergeCell ref="J185:K185"/>
    <mergeCell ref="O185:P185"/>
    <mergeCell ref="D186:E186"/>
    <mergeCell ref="F186:G186"/>
    <mergeCell ref="H186:I186"/>
    <mergeCell ref="J186:K186"/>
    <mergeCell ref="O186:P186"/>
    <mergeCell ref="O182:P182"/>
    <mergeCell ref="D184:E184"/>
    <mergeCell ref="F184:G184"/>
    <mergeCell ref="H184:I184"/>
    <mergeCell ref="J184:K184"/>
    <mergeCell ref="O184:P184"/>
    <mergeCell ref="I175:J175"/>
    <mergeCell ref="K175:P175"/>
    <mergeCell ref="I176:J176"/>
    <mergeCell ref="K176:P176"/>
    <mergeCell ref="K177:P177"/>
    <mergeCell ref="D182:E182"/>
    <mergeCell ref="F182:G182"/>
    <mergeCell ref="H182:I182"/>
    <mergeCell ref="J182:K182"/>
    <mergeCell ref="M182:N182"/>
    <mergeCell ref="I172:J172"/>
    <mergeCell ref="K172:P172"/>
    <mergeCell ref="I173:J173"/>
    <mergeCell ref="K173:P173"/>
    <mergeCell ref="I174:J174"/>
    <mergeCell ref="K174:P174"/>
    <mergeCell ref="I168:J168"/>
    <mergeCell ref="K168:P168"/>
    <mergeCell ref="I169:J169"/>
    <mergeCell ref="K169:P169"/>
    <mergeCell ref="K170:P170"/>
    <mergeCell ref="K171:L171"/>
    <mergeCell ref="M171:N171"/>
    <mergeCell ref="O171:P171"/>
    <mergeCell ref="I165:J165"/>
    <mergeCell ref="K165:P165"/>
    <mergeCell ref="I166:J166"/>
    <mergeCell ref="K166:P166"/>
    <mergeCell ref="I167:J167"/>
    <mergeCell ref="K167:P167"/>
    <mergeCell ref="I161:J161"/>
    <mergeCell ref="K161:P161"/>
    <mergeCell ref="I162:J162"/>
    <mergeCell ref="K162:P162"/>
    <mergeCell ref="K163:P163"/>
    <mergeCell ref="K164:L164"/>
    <mergeCell ref="M164:N164"/>
    <mergeCell ref="O164:P164"/>
    <mergeCell ref="I158:J158"/>
    <mergeCell ref="K158:P158"/>
    <mergeCell ref="I159:J159"/>
    <mergeCell ref="K159:P159"/>
    <mergeCell ref="I160:J160"/>
    <mergeCell ref="K160:P160"/>
    <mergeCell ref="I154:J154"/>
    <mergeCell ref="K154:P154"/>
    <mergeCell ref="I155:J155"/>
    <mergeCell ref="K155:P155"/>
    <mergeCell ref="K156:P156"/>
    <mergeCell ref="K157:L157"/>
    <mergeCell ref="M157:N157"/>
    <mergeCell ref="O157:P157"/>
    <mergeCell ref="I151:J151"/>
    <mergeCell ref="K151:P151"/>
    <mergeCell ref="I152:J152"/>
    <mergeCell ref="K152:P152"/>
    <mergeCell ref="I153:J153"/>
    <mergeCell ref="K153:P153"/>
    <mergeCell ref="I147:J147"/>
    <mergeCell ref="K147:P147"/>
    <mergeCell ref="I148:J148"/>
    <mergeCell ref="K148:P148"/>
    <mergeCell ref="K149:P149"/>
    <mergeCell ref="K150:L150"/>
    <mergeCell ref="M150:N150"/>
    <mergeCell ref="O150:P150"/>
    <mergeCell ref="I144:J144"/>
    <mergeCell ref="K144:P144"/>
    <mergeCell ref="I145:J145"/>
    <mergeCell ref="K145:P145"/>
    <mergeCell ref="I146:J146"/>
    <mergeCell ref="K146:P146"/>
    <mergeCell ref="K137:P137"/>
    <mergeCell ref="K138:P138"/>
    <mergeCell ref="M139:P139"/>
    <mergeCell ref="D140:E140"/>
    <mergeCell ref="M140:N140"/>
    <mergeCell ref="I143:J143"/>
    <mergeCell ref="D128:E128"/>
    <mergeCell ref="M128:N128"/>
    <mergeCell ref="K133:P133"/>
    <mergeCell ref="K134:P134"/>
    <mergeCell ref="K135:P135"/>
    <mergeCell ref="K136:P136"/>
    <mergeCell ref="K122:P122"/>
    <mergeCell ref="K123:P123"/>
    <mergeCell ref="K124:P124"/>
    <mergeCell ref="K125:P125"/>
    <mergeCell ref="K126:P126"/>
    <mergeCell ref="M127:P127"/>
    <mergeCell ref="I116:J116"/>
    <mergeCell ref="L116:M116"/>
    <mergeCell ref="N116:O116"/>
    <mergeCell ref="F117:H117"/>
    <mergeCell ref="M117:N117"/>
    <mergeCell ref="K121:P121"/>
    <mergeCell ref="I114:J114"/>
    <mergeCell ref="L114:M114"/>
    <mergeCell ref="N114:O114"/>
    <mergeCell ref="I115:J115"/>
    <mergeCell ref="L115:M115"/>
    <mergeCell ref="N115:O115"/>
    <mergeCell ref="I109:J109"/>
    <mergeCell ref="L109:M109"/>
    <mergeCell ref="N109:O109"/>
    <mergeCell ref="F110:H110"/>
    <mergeCell ref="M110:N110"/>
    <mergeCell ref="I113:J113"/>
    <mergeCell ref="L113:M113"/>
    <mergeCell ref="N113:O113"/>
    <mergeCell ref="I107:J107"/>
    <mergeCell ref="L107:M107"/>
    <mergeCell ref="N107:O107"/>
    <mergeCell ref="I108:J108"/>
    <mergeCell ref="L108:M108"/>
    <mergeCell ref="N108:O108"/>
    <mergeCell ref="F103:H103"/>
    <mergeCell ref="M103:N103"/>
    <mergeCell ref="I105:J105"/>
    <mergeCell ref="L105:M105"/>
    <mergeCell ref="N105:O105"/>
    <mergeCell ref="I106:J106"/>
    <mergeCell ref="L106:M106"/>
    <mergeCell ref="N106:O106"/>
    <mergeCell ref="I101:J101"/>
    <mergeCell ref="L101:M101"/>
    <mergeCell ref="N101:O101"/>
    <mergeCell ref="I102:J102"/>
    <mergeCell ref="L102:M102"/>
    <mergeCell ref="N102:O102"/>
    <mergeCell ref="I99:J99"/>
    <mergeCell ref="L99:M99"/>
    <mergeCell ref="N99:O99"/>
    <mergeCell ref="I100:J100"/>
    <mergeCell ref="L100:M100"/>
    <mergeCell ref="N100:O100"/>
    <mergeCell ref="I95:J95"/>
    <mergeCell ref="L95:M95"/>
    <mergeCell ref="N95:O95"/>
    <mergeCell ref="F96:H96"/>
    <mergeCell ref="M96:N96"/>
    <mergeCell ref="I98:J98"/>
    <mergeCell ref="L98:M98"/>
    <mergeCell ref="N98:O98"/>
    <mergeCell ref="I93:J93"/>
    <mergeCell ref="L93:M93"/>
    <mergeCell ref="N93:O93"/>
    <mergeCell ref="I94:J94"/>
    <mergeCell ref="L94:M94"/>
    <mergeCell ref="N94:O94"/>
    <mergeCell ref="F89:H89"/>
    <mergeCell ref="M89:N89"/>
    <mergeCell ref="I91:J91"/>
    <mergeCell ref="L91:M91"/>
    <mergeCell ref="N91:O91"/>
    <mergeCell ref="I92:J92"/>
    <mergeCell ref="L92:M92"/>
    <mergeCell ref="N92:O92"/>
    <mergeCell ref="AJ85:AL88"/>
    <mergeCell ref="I86:J86"/>
    <mergeCell ref="N86:O86"/>
    <mergeCell ref="I87:J87"/>
    <mergeCell ref="N87:O87"/>
    <mergeCell ref="I88:J88"/>
    <mergeCell ref="N88:O88"/>
    <mergeCell ref="L83:M83"/>
    <mergeCell ref="I84:J84"/>
    <mergeCell ref="L84:M84"/>
    <mergeCell ref="N84:O84"/>
    <mergeCell ref="I85:J85"/>
    <mergeCell ref="N85:O85"/>
    <mergeCell ref="D72:G72"/>
    <mergeCell ref="D74:G74"/>
    <mergeCell ref="D75:G75"/>
    <mergeCell ref="F81:H81"/>
    <mergeCell ref="F83:H83"/>
    <mergeCell ref="I83:J83"/>
    <mergeCell ref="D63:E63"/>
    <mergeCell ref="D64:E64"/>
    <mergeCell ref="D65:E65"/>
    <mergeCell ref="D66:E66"/>
    <mergeCell ref="D67:E67"/>
    <mergeCell ref="E68:G68"/>
    <mergeCell ref="D56:E56"/>
    <mergeCell ref="D57:E57"/>
    <mergeCell ref="D58:E58"/>
    <mergeCell ref="D59:E59"/>
    <mergeCell ref="D60:E60"/>
    <mergeCell ref="E61:G61"/>
    <mergeCell ref="D49:E49"/>
    <mergeCell ref="D50:E50"/>
    <mergeCell ref="D51:E51"/>
    <mergeCell ref="D52:E52"/>
    <mergeCell ref="D53:E53"/>
    <mergeCell ref="E54:G54"/>
    <mergeCell ref="D42:E42"/>
    <mergeCell ref="D43:E43"/>
    <mergeCell ref="D44:E44"/>
    <mergeCell ref="D45:E45"/>
    <mergeCell ref="D46:E46"/>
    <mergeCell ref="E47:G47"/>
    <mergeCell ref="F34:G34"/>
    <mergeCell ref="J34:K34"/>
    <mergeCell ref="N34:O34"/>
    <mergeCell ref="F36:G36"/>
    <mergeCell ref="D40:E40"/>
    <mergeCell ref="D41:F41"/>
    <mergeCell ref="F32:G32"/>
    <mergeCell ref="J32:K32"/>
    <mergeCell ref="N32:O32"/>
    <mergeCell ref="F33:G33"/>
    <mergeCell ref="J33:K33"/>
    <mergeCell ref="N33:O33"/>
    <mergeCell ref="F30:G30"/>
    <mergeCell ref="J30:K30"/>
    <mergeCell ref="N30:O30"/>
    <mergeCell ref="F31:G31"/>
    <mergeCell ref="J31:K31"/>
    <mergeCell ref="N31:O31"/>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s>
  <conditionalFormatting sqref="F20">
    <cfRule type="expression" dxfId="525" priority="179" stopIfTrue="1">
      <formula>F19&lt;18</formula>
    </cfRule>
    <cfRule type="expression" dxfId="524" priority="180" stopIfTrue="1">
      <formula>F19&lt;F18</formula>
    </cfRule>
  </conditionalFormatting>
  <conditionalFormatting sqref="H22:I23">
    <cfRule type="expression" dxfId="523" priority="178" stopIfTrue="1">
      <formula>H22&lt;F22</formula>
    </cfRule>
  </conditionalFormatting>
  <conditionalFormatting sqref="I15 K15:P15 H8:P11">
    <cfRule type="cellIs" dxfId="522" priority="181" stopIfTrue="1" operator="equal">
      <formula>"&lt;PROJECTNUMMER&gt;"</formula>
    </cfRule>
  </conditionalFormatting>
  <conditionalFormatting sqref="L16:L20">
    <cfRule type="expression" dxfId="521" priority="177">
      <formula>L16=0</formula>
    </cfRule>
  </conditionalFormatting>
  <conditionalFormatting sqref="F28:F29">
    <cfRule type="expression" dxfId="520" priority="176" stopIfTrue="1">
      <formula>D28-E28&lt;5</formula>
    </cfRule>
  </conditionalFormatting>
  <conditionalFormatting sqref="D28:D29">
    <cfRule type="expression" dxfId="519" priority="182" stopIfTrue="1">
      <formula>C28=""</formula>
    </cfRule>
  </conditionalFormatting>
  <conditionalFormatting sqref="I86:P88 I85:K85 AJ85 M85:P85 I84:P84">
    <cfRule type="expression" dxfId="518" priority="175">
      <formula>$S$16&lt;&gt;1</formula>
    </cfRule>
  </conditionalFormatting>
  <conditionalFormatting sqref="N84:P88">
    <cfRule type="expression" dxfId="517" priority="174">
      <formula>$S$12="nader te bepalen"</formula>
    </cfRule>
  </conditionalFormatting>
  <conditionalFormatting sqref="H16">
    <cfRule type="expression" dxfId="516" priority="171">
      <formula>AND(SUM(L16:L20)&gt;=10,SUM(L16:L20)&lt;100)</formula>
    </cfRule>
    <cfRule type="expression" dxfId="515" priority="172">
      <formula>SUM(L16:L20)&gt;=100</formula>
    </cfRule>
    <cfRule type="expression" dxfId="514" priority="173">
      <formula>SUM(L16:L20)&lt;10</formula>
    </cfRule>
  </conditionalFormatting>
  <conditionalFormatting sqref="F17">
    <cfRule type="expression" dxfId="513" priority="168">
      <formula>F17&lt;10</formula>
    </cfRule>
    <cfRule type="expression" dxfId="512" priority="169">
      <formula>AND(F17&gt;=10,F17&lt;100)</formula>
    </cfRule>
    <cfRule type="expression" dxfId="511" priority="170">
      <formula>F17&gt;=100</formula>
    </cfRule>
  </conditionalFormatting>
  <conditionalFormatting sqref="F18">
    <cfRule type="expression" dxfId="510" priority="165">
      <formula>F18&lt;10</formula>
    </cfRule>
    <cfRule type="expression" dxfId="509" priority="166">
      <formula>AND(F18&gt;=10,F18&lt;100)</formula>
    </cfRule>
    <cfRule type="expression" dxfId="508" priority="167">
      <formula>F18&gt;=100</formula>
    </cfRule>
  </conditionalFormatting>
  <conditionalFormatting sqref="F19">
    <cfRule type="expression" dxfId="507" priority="162">
      <formula>F19&lt;10</formula>
    </cfRule>
    <cfRule type="expression" dxfId="506" priority="163">
      <formula>AND(F19&gt;=10,F19&lt;100)</formula>
    </cfRule>
    <cfRule type="expression" dxfId="505" priority="164">
      <formula>F19&gt;=100</formula>
    </cfRule>
  </conditionalFormatting>
  <conditionalFormatting sqref="K47">
    <cfRule type="expression" dxfId="504" priority="161" stopIfTrue="1">
      <formula>A47="nee"</formula>
    </cfRule>
  </conditionalFormatting>
  <conditionalFormatting sqref="K47">
    <cfRule type="expression" dxfId="503" priority="160" stopIfTrue="1">
      <formula>A47="nee"</formula>
    </cfRule>
  </conditionalFormatting>
  <conditionalFormatting sqref="E47">
    <cfRule type="cellIs" dxfId="502" priority="159" stopIfTrue="1" operator="equal">
      <formula>"voldoet niet"</formula>
    </cfRule>
  </conditionalFormatting>
  <conditionalFormatting sqref="K47">
    <cfRule type="expression" dxfId="501" priority="158" stopIfTrue="1">
      <formula>A47="nee"</formula>
    </cfRule>
  </conditionalFormatting>
  <conditionalFormatting sqref="K47">
    <cfRule type="expression" dxfId="500" priority="157" stopIfTrue="1">
      <formula>A47="nee"</formula>
    </cfRule>
  </conditionalFormatting>
  <conditionalFormatting sqref="F84:H89">
    <cfRule type="expression" dxfId="499" priority="156">
      <formula>$S$16=3</formula>
    </cfRule>
  </conditionalFormatting>
  <conditionalFormatting sqref="H121:P128">
    <cfRule type="expression" dxfId="498" priority="155">
      <formula>$S$16=3</formula>
    </cfRule>
  </conditionalFormatting>
  <conditionalFormatting sqref="H133:P140">
    <cfRule type="expression" dxfId="497" priority="154">
      <formula>$S$16=3</formula>
    </cfRule>
  </conditionalFormatting>
  <conditionalFormatting sqref="F116:H117">
    <cfRule type="expression" dxfId="496" priority="124">
      <formula>$S$16=3</formula>
    </cfRule>
  </conditionalFormatting>
  <conditionalFormatting sqref="I113:P115">
    <cfRule type="expression" dxfId="495" priority="151">
      <formula>$S$16&lt;&gt;1</formula>
    </cfRule>
  </conditionalFormatting>
  <conditionalFormatting sqref="N113:P115">
    <cfRule type="expression" dxfId="494" priority="150">
      <formula>$S$12="nader te bepalen"</formula>
    </cfRule>
  </conditionalFormatting>
  <conditionalFormatting sqref="I113:P115">
    <cfRule type="expression" dxfId="493" priority="145">
      <formula>$S$16&lt;&gt;1</formula>
    </cfRule>
  </conditionalFormatting>
  <conditionalFormatting sqref="N113:P115">
    <cfRule type="expression" dxfId="492" priority="144">
      <formula>$S$12="nader te bepalen"</formula>
    </cfRule>
  </conditionalFormatting>
  <conditionalFormatting sqref="I113:P115">
    <cfRule type="expression" dxfId="491" priority="153">
      <formula>$S$16&lt;&gt;1</formula>
    </cfRule>
  </conditionalFormatting>
  <conditionalFormatting sqref="I113:P115">
    <cfRule type="expression" dxfId="490" priority="152">
      <formula>$S$16&lt;&gt;1</formula>
    </cfRule>
  </conditionalFormatting>
  <conditionalFormatting sqref="I113:P115">
    <cfRule type="expression" dxfId="489" priority="149">
      <formula>$S$16&lt;&gt;1</formula>
    </cfRule>
  </conditionalFormatting>
  <conditionalFormatting sqref="N113:P115">
    <cfRule type="expression" dxfId="488" priority="148">
      <formula>$S$12="nader te bepalen"</formula>
    </cfRule>
  </conditionalFormatting>
  <conditionalFormatting sqref="I113:P115">
    <cfRule type="expression" dxfId="487" priority="147">
      <formula>$S$16&lt;&gt;1</formula>
    </cfRule>
  </conditionalFormatting>
  <conditionalFormatting sqref="I113:P115">
    <cfRule type="expression" dxfId="486" priority="146">
      <formula>$S$16&lt;&gt;1</formula>
    </cfRule>
  </conditionalFormatting>
  <conditionalFormatting sqref="I113:P115">
    <cfRule type="expression" dxfId="485" priority="143">
      <formula>$S$16&lt;&gt;1</formula>
    </cfRule>
  </conditionalFormatting>
  <conditionalFormatting sqref="N113:P115">
    <cfRule type="expression" dxfId="484" priority="142">
      <formula>$S$12="nader te bepalen"</formula>
    </cfRule>
  </conditionalFormatting>
  <conditionalFormatting sqref="I113:P115">
    <cfRule type="expression" dxfId="483" priority="141">
      <formula>$S$16&lt;&gt;1</formula>
    </cfRule>
  </conditionalFormatting>
  <conditionalFormatting sqref="N113:P115">
    <cfRule type="expression" dxfId="482" priority="140">
      <formula>$S$12="nader te bepalen"</formula>
    </cfRule>
  </conditionalFormatting>
  <conditionalFormatting sqref="F113:H115">
    <cfRule type="expression" dxfId="481" priority="139">
      <formula>$S$16=3</formula>
    </cfRule>
  </conditionalFormatting>
  <conditionalFormatting sqref="I116:P116">
    <cfRule type="expression" dxfId="480" priority="136">
      <formula>$S$16&lt;&gt;1</formula>
    </cfRule>
  </conditionalFormatting>
  <conditionalFormatting sqref="N116:P116">
    <cfRule type="expression" dxfId="479" priority="135">
      <formula>$S$12="nader te bepalen"</formula>
    </cfRule>
  </conditionalFormatting>
  <conditionalFormatting sqref="I116:P116">
    <cfRule type="expression" dxfId="478" priority="130">
      <formula>$S$16&lt;&gt;1</formula>
    </cfRule>
  </conditionalFormatting>
  <conditionalFormatting sqref="N116:P116">
    <cfRule type="expression" dxfId="477" priority="129">
      <formula>$S$12="nader te bepalen"</formula>
    </cfRule>
  </conditionalFormatting>
  <conditionalFormatting sqref="I116:P116">
    <cfRule type="expression" dxfId="476" priority="138">
      <formula>$S$16&lt;&gt;1</formula>
    </cfRule>
  </conditionalFormatting>
  <conditionalFormatting sqref="I116:P116">
    <cfRule type="expression" dxfId="475" priority="137">
      <formula>$S$16&lt;&gt;1</formula>
    </cfRule>
  </conditionalFormatting>
  <conditionalFormatting sqref="I116:P116">
    <cfRule type="expression" dxfId="474" priority="134">
      <formula>$S$16&lt;&gt;1</formula>
    </cfRule>
  </conditionalFormatting>
  <conditionalFormatting sqref="N116:P116">
    <cfRule type="expression" dxfId="473" priority="133">
      <formula>$S$12="nader te bepalen"</formula>
    </cfRule>
  </conditionalFormatting>
  <conditionalFormatting sqref="I116:P116">
    <cfRule type="expression" dxfId="472" priority="132">
      <formula>$S$16&lt;&gt;1</formula>
    </cfRule>
  </conditionalFormatting>
  <conditionalFormatting sqref="I116:P116">
    <cfRule type="expression" dxfId="471" priority="131">
      <formula>$S$16&lt;&gt;1</formula>
    </cfRule>
  </conditionalFormatting>
  <conditionalFormatting sqref="I116:P116">
    <cfRule type="expression" dxfId="470" priority="128">
      <formula>$S$16&lt;&gt;1</formula>
    </cfRule>
  </conditionalFormatting>
  <conditionalFormatting sqref="N116:P116">
    <cfRule type="expression" dxfId="469" priority="127">
      <formula>$S$12="nader te bepalen"</formula>
    </cfRule>
  </conditionalFormatting>
  <conditionalFormatting sqref="I116:P116">
    <cfRule type="expression" dxfId="468" priority="126">
      <formula>$S$16&lt;&gt;1</formula>
    </cfRule>
  </conditionalFormatting>
  <conditionalFormatting sqref="N116:P116">
    <cfRule type="expression" dxfId="467" priority="125">
      <formula>$S$12="nader te bepalen"</formula>
    </cfRule>
  </conditionalFormatting>
  <conditionalFormatting sqref="P85">
    <cfRule type="expression" dxfId="466" priority="115" stopIfTrue="1">
      <formula>P85="-"</formula>
    </cfRule>
    <cfRule type="expression" dxfId="465" priority="120" stopIfTrue="1">
      <formula>P85&lt;H85</formula>
    </cfRule>
  </conditionalFormatting>
  <conditionalFormatting sqref="P86">
    <cfRule type="expression" dxfId="464" priority="116" stopIfTrue="1">
      <formula>P86="-"</formula>
    </cfRule>
    <cfRule type="expression" dxfId="463" priority="121" stopIfTrue="1">
      <formula>P86&lt;H86</formula>
    </cfRule>
  </conditionalFormatting>
  <conditionalFormatting sqref="P87">
    <cfRule type="expression" dxfId="462" priority="117" stopIfTrue="1">
      <formula>P87="-"</formula>
    </cfRule>
    <cfRule type="expression" dxfId="461" priority="122" stopIfTrue="1">
      <formula>P87&lt;H87</formula>
    </cfRule>
  </conditionalFormatting>
  <conditionalFormatting sqref="P88">
    <cfRule type="expression" dxfId="460" priority="118" stopIfTrue="1">
      <formula>P88="-"</formula>
    </cfRule>
    <cfRule type="expression" dxfId="459" priority="123" stopIfTrue="1">
      <formula>P88&lt;H88</formula>
    </cfRule>
  </conditionalFormatting>
  <conditionalFormatting sqref="P84">
    <cfRule type="expression" dxfId="458" priority="114" stopIfTrue="1">
      <formula>P84="-"</formula>
    </cfRule>
    <cfRule type="expression" dxfId="457" priority="119" stopIfTrue="1">
      <formula>P84&lt;H84</formula>
    </cfRule>
  </conditionalFormatting>
  <conditionalFormatting sqref="P113">
    <cfRule type="expression" dxfId="456" priority="106" stopIfTrue="1">
      <formula>P113="-"</formula>
    </cfRule>
    <cfRule type="expression" dxfId="455" priority="110" stopIfTrue="1">
      <formula>P113&lt;H113</formula>
    </cfRule>
  </conditionalFormatting>
  <conditionalFormatting sqref="P114">
    <cfRule type="expression" dxfId="454" priority="107" stopIfTrue="1">
      <formula>P114="-"</formula>
    </cfRule>
    <cfRule type="expression" dxfId="453" priority="111" stopIfTrue="1">
      <formula>P114&lt;H114</formula>
    </cfRule>
  </conditionalFormatting>
  <conditionalFormatting sqref="P115">
    <cfRule type="expression" dxfId="452" priority="108" stopIfTrue="1">
      <formula>P115="-"</formula>
    </cfRule>
    <cfRule type="expression" dxfId="451" priority="112" stopIfTrue="1">
      <formula>P115&lt;H115</formula>
    </cfRule>
  </conditionalFormatting>
  <conditionalFormatting sqref="P116">
    <cfRule type="expression" dxfId="450" priority="109" stopIfTrue="1">
      <formula>P116="-"</formula>
    </cfRule>
    <cfRule type="expression" dxfId="449" priority="113" stopIfTrue="1">
      <formula>P116&lt;H116</formula>
    </cfRule>
  </conditionalFormatting>
  <conditionalFormatting sqref="F89:H89">
    <cfRule type="containsText" dxfId="448" priority="105" operator="containsText" text="voldoet niet op VG-niveau">
      <formula>NOT(ISERROR(SEARCH("voldoet niet op VG-niveau",F89)))</formula>
    </cfRule>
  </conditionalFormatting>
  <conditionalFormatting sqref="K54">
    <cfRule type="expression" dxfId="447" priority="104" stopIfTrue="1">
      <formula>A54="nee"</formula>
    </cfRule>
  </conditionalFormatting>
  <conditionalFormatting sqref="K54">
    <cfRule type="expression" dxfId="446" priority="103" stopIfTrue="1">
      <formula>A54="nee"</formula>
    </cfRule>
  </conditionalFormatting>
  <conditionalFormatting sqref="E54">
    <cfRule type="cellIs" dxfId="445" priority="102" stopIfTrue="1" operator="equal">
      <formula>"voldoet niet"</formula>
    </cfRule>
  </conditionalFormatting>
  <conditionalFormatting sqref="K54">
    <cfRule type="expression" dxfId="444" priority="101" stopIfTrue="1">
      <formula>A54="nee"</formula>
    </cfRule>
  </conditionalFormatting>
  <conditionalFormatting sqref="K54">
    <cfRule type="expression" dxfId="443" priority="100" stopIfTrue="1">
      <formula>A54="nee"</formula>
    </cfRule>
  </conditionalFormatting>
  <conditionalFormatting sqref="I91:P95">
    <cfRule type="expression" dxfId="442" priority="99">
      <formula>$S$16&lt;&gt;1</formula>
    </cfRule>
  </conditionalFormatting>
  <conditionalFormatting sqref="N91:P95">
    <cfRule type="expression" dxfId="441" priority="98">
      <formula>$S$12="nader te bepalen"</formula>
    </cfRule>
  </conditionalFormatting>
  <conditionalFormatting sqref="F91:H96">
    <cfRule type="expression" dxfId="440" priority="97">
      <formula>$S$16=3</formula>
    </cfRule>
  </conditionalFormatting>
  <conditionalFormatting sqref="Q91:Q95">
    <cfRule type="expression" dxfId="439" priority="96">
      <formula>SUM(Q87:Q91)&lt;E92</formula>
    </cfRule>
  </conditionalFormatting>
  <conditionalFormatting sqref="P91">
    <cfRule type="expression" dxfId="438" priority="86" stopIfTrue="1">
      <formula>P91="-"</formula>
    </cfRule>
    <cfRule type="expression" dxfId="437" priority="91" stopIfTrue="1">
      <formula>P91&lt;H91</formula>
    </cfRule>
  </conditionalFormatting>
  <conditionalFormatting sqref="P92">
    <cfRule type="expression" dxfId="436" priority="87" stopIfTrue="1">
      <formula>P92="-"</formula>
    </cfRule>
    <cfRule type="expression" dxfId="435" priority="92" stopIfTrue="1">
      <formula>P92&lt;H92</formula>
    </cfRule>
  </conditionalFormatting>
  <conditionalFormatting sqref="P93">
    <cfRule type="expression" dxfId="434" priority="88" stopIfTrue="1">
      <formula>P93="-"</formula>
    </cfRule>
    <cfRule type="expression" dxfId="433" priority="93" stopIfTrue="1">
      <formula>P93&lt;H93</formula>
    </cfRule>
  </conditionalFormatting>
  <conditionalFormatting sqref="P94">
    <cfRule type="expression" dxfId="432" priority="89" stopIfTrue="1">
      <formula>P94="-"</formula>
    </cfRule>
    <cfRule type="expression" dxfId="431" priority="94" stopIfTrue="1">
      <formula>P94&lt;H94</formula>
    </cfRule>
  </conditionalFormatting>
  <conditionalFormatting sqref="P95">
    <cfRule type="expression" dxfId="430" priority="90" stopIfTrue="1">
      <formula>P95="-"</formula>
    </cfRule>
    <cfRule type="expression" dxfId="429" priority="95" stopIfTrue="1">
      <formula>P95&lt;H95</formula>
    </cfRule>
  </conditionalFormatting>
  <conditionalFormatting sqref="F96:H96">
    <cfRule type="containsText" dxfId="428" priority="85" operator="containsText" text="voldoet niet op VG-niveau">
      <formula>NOT(ISERROR(SEARCH("voldoet niet op VG-niveau",F96)))</formula>
    </cfRule>
  </conditionalFormatting>
  <conditionalFormatting sqref="G8:G10">
    <cfRule type="cellIs" dxfId="427" priority="84" stopIfTrue="1" operator="equal">
      <formula>"&lt;PROJECTNUMMER&gt;"</formula>
    </cfRule>
  </conditionalFormatting>
  <conditionalFormatting sqref="D8">
    <cfRule type="cellIs" dxfId="426" priority="83" stopIfTrue="1" operator="equal">
      <formula>"&lt;PROJECTNUMMER&gt;"</formula>
    </cfRule>
  </conditionalFormatting>
  <conditionalFormatting sqref="D9">
    <cfRule type="cellIs" dxfId="425" priority="82" stopIfTrue="1" operator="equal">
      <formula>"&lt;PROJECTNUMMER&gt;"</formula>
    </cfRule>
  </conditionalFormatting>
  <conditionalFormatting sqref="D10">
    <cfRule type="cellIs" dxfId="424" priority="81" stopIfTrue="1" operator="equal">
      <formula>"&lt;PROJECTNUMMER&gt;"</formula>
    </cfRule>
  </conditionalFormatting>
  <conditionalFormatting sqref="F30">
    <cfRule type="expression" dxfId="423" priority="78" stopIfTrue="1">
      <formula>D30-E30&lt;5</formula>
    </cfRule>
  </conditionalFormatting>
  <conditionalFormatting sqref="F30">
    <cfRule type="expression" dxfId="422" priority="77" stopIfTrue="1">
      <formula>D30-E30&lt;5</formula>
    </cfRule>
  </conditionalFormatting>
  <conditionalFormatting sqref="F30">
    <cfRule type="expression" dxfId="421" priority="74" stopIfTrue="1">
      <formula>D30-E30&lt;5</formula>
    </cfRule>
  </conditionalFormatting>
  <conditionalFormatting sqref="D30">
    <cfRule type="expression" dxfId="420" priority="73" stopIfTrue="1">
      <formula>C30=""</formula>
    </cfRule>
  </conditionalFormatting>
  <conditionalFormatting sqref="F30">
    <cfRule type="expression" dxfId="419" priority="80" stopIfTrue="1">
      <formula>D30=""</formula>
    </cfRule>
  </conditionalFormatting>
  <conditionalFormatting sqref="F30">
    <cfRule type="expression" dxfId="418" priority="79" stopIfTrue="1">
      <formula>D30=""</formula>
    </cfRule>
  </conditionalFormatting>
  <conditionalFormatting sqref="D30">
    <cfRule type="expression" dxfId="417" priority="76" stopIfTrue="1">
      <formula>C30=""</formula>
    </cfRule>
  </conditionalFormatting>
  <conditionalFormatting sqref="F30">
    <cfRule type="expression" dxfId="416" priority="75" stopIfTrue="1">
      <formula>D30-E30&lt;5</formula>
    </cfRule>
  </conditionalFormatting>
  <conditionalFormatting sqref="F31">
    <cfRule type="expression" dxfId="415" priority="70" stopIfTrue="1">
      <formula>D31-E31&lt;5</formula>
    </cfRule>
  </conditionalFormatting>
  <conditionalFormatting sqref="F31">
    <cfRule type="expression" dxfId="414" priority="69" stopIfTrue="1">
      <formula>D31-E31&lt;5</formula>
    </cfRule>
  </conditionalFormatting>
  <conditionalFormatting sqref="F31">
    <cfRule type="expression" dxfId="413" priority="66" stopIfTrue="1">
      <formula>D31-E31&lt;5</formula>
    </cfRule>
  </conditionalFormatting>
  <conditionalFormatting sqref="D31">
    <cfRule type="expression" dxfId="412" priority="65" stopIfTrue="1">
      <formula>C31=""</formula>
    </cfRule>
  </conditionalFormatting>
  <conditionalFormatting sqref="F31">
    <cfRule type="expression" dxfId="411" priority="72" stopIfTrue="1">
      <formula>D31=""</formula>
    </cfRule>
  </conditionalFormatting>
  <conditionalFormatting sqref="F31">
    <cfRule type="expression" dxfId="410" priority="71" stopIfTrue="1">
      <formula>D31=""</formula>
    </cfRule>
  </conditionalFormatting>
  <conditionalFormatting sqref="D31">
    <cfRule type="expression" dxfId="409" priority="68" stopIfTrue="1">
      <formula>C31=""</formula>
    </cfRule>
  </conditionalFormatting>
  <conditionalFormatting sqref="F31">
    <cfRule type="expression" dxfId="408" priority="67" stopIfTrue="1">
      <formula>D31-E31&lt;5</formula>
    </cfRule>
  </conditionalFormatting>
  <conditionalFormatting sqref="F32">
    <cfRule type="expression" dxfId="407" priority="62" stopIfTrue="1">
      <formula>D32-E32&lt;5</formula>
    </cfRule>
  </conditionalFormatting>
  <conditionalFormatting sqref="F32">
    <cfRule type="expression" dxfId="406" priority="61" stopIfTrue="1">
      <formula>D32-E32&lt;5</formula>
    </cfRule>
  </conditionalFormatting>
  <conditionalFormatting sqref="F32">
    <cfRule type="expression" dxfId="405" priority="58" stopIfTrue="1">
      <formula>D32-E32&lt;5</formula>
    </cfRule>
  </conditionalFormatting>
  <conditionalFormatting sqref="D32">
    <cfRule type="expression" dxfId="404" priority="57" stopIfTrue="1">
      <formula>C32=""</formula>
    </cfRule>
  </conditionalFormatting>
  <conditionalFormatting sqref="F32">
    <cfRule type="expression" dxfId="403" priority="64" stopIfTrue="1">
      <formula>D32=""</formula>
    </cfRule>
  </conditionalFormatting>
  <conditionalFormatting sqref="F32">
    <cfRule type="expression" dxfId="402" priority="63" stopIfTrue="1">
      <formula>D32=""</formula>
    </cfRule>
  </conditionalFormatting>
  <conditionalFormatting sqref="D32">
    <cfRule type="expression" dxfId="401" priority="60" stopIfTrue="1">
      <formula>C32=""</formula>
    </cfRule>
  </conditionalFormatting>
  <conditionalFormatting sqref="F32">
    <cfRule type="expression" dxfId="400" priority="59" stopIfTrue="1">
      <formula>D32-E32&lt;5</formula>
    </cfRule>
  </conditionalFormatting>
  <conditionalFormatting sqref="F33">
    <cfRule type="expression" dxfId="399" priority="54" stopIfTrue="1">
      <formula>D33-E33&lt;5</formula>
    </cfRule>
  </conditionalFormatting>
  <conditionalFormatting sqref="F33">
    <cfRule type="expression" dxfId="398" priority="53" stopIfTrue="1">
      <formula>D33-E33&lt;5</formula>
    </cfRule>
  </conditionalFormatting>
  <conditionalFormatting sqref="F33">
    <cfRule type="expression" dxfId="397" priority="50" stopIfTrue="1">
      <formula>D33-E33&lt;5</formula>
    </cfRule>
  </conditionalFormatting>
  <conditionalFormatting sqref="D33">
    <cfRule type="expression" dxfId="396" priority="49" stopIfTrue="1">
      <formula>C33=""</formula>
    </cfRule>
  </conditionalFormatting>
  <conditionalFormatting sqref="F33">
    <cfRule type="expression" dxfId="395" priority="56" stopIfTrue="1">
      <formula>D33=""</formula>
    </cfRule>
  </conditionalFormatting>
  <conditionalFormatting sqref="F33">
    <cfRule type="expression" dxfId="394" priority="55" stopIfTrue="1">
      <formula>D33=""</formula>
    </cfRule>
  </conditionalFormatting>
  <conditionalFormatting sqref="D33">
    <cfRule type="expression" dxfId="393" priority="52" stopIfTrue="1">
      <formula>C33=""</formula>
    </cfRule>
  </conditionalFormatting>
  <conditionalFormatting sqref="F33">
    <cfRule type="expression" dxfId="392" priority="51" stopIfTrue="1">
      <formula>D33-E33&lt;5</formula>
    </cfRule>
  </conditionalFormatting>
  <conditionalFormatting sqref="F34">
    <cfRule type="expression" dxfId="391" priority="46" stopIfTrue="1">
      <formula>D34-E34&lt;5</formula>
    </cfRule>
  </conditionalFormatting>
  <conditionalFormatting sqref="F34">
    <cfRule type="expression" dxfId="390" priority="45" stopIfTrue="1">
      <formula>D34-E34&lt;5</formula>
    </cfRule>
  </conditionalFormatting>
  <conditionalFormatting sqref="F34">
    <cfRule type="expression" dxfId="389" priority="42" stopIfTrue="1">
      <formula>D34-E34&lt;5</formula>
    </cfRule>
  </conditionalFormatting>
  <conditionalFormatting sqref="D34">
    <cfRule type="expression" dxfId="388" priority="41" stopIfTrue="1">
      <formula>C34=""</formula>
    </cfRule>
  </conditionalFormatting>
  <conditionalFormatting sqref="F34">
    <cfRule type="expression" dxfId="387" priority="48" stopIfTrue="1">
      <formula>D34=""</formula>
    </cfRule>
  </conditionalFormatting>
  <conditionalFormatting sqref="F34">
    <cfRule type="expression" dxfId="386" priority="47" stopIfTrue="1">
      <formula>D34=""</formula>
    </cfRule>
  </conditionalFormatting>
  <conditionalFormatting sqref="D34">
    <cfRule type="expression" dxfId="385" priority="44" stopIfTrue="1">
      <formula>C34=""</formula>
    </cfRule>
  </conditionalFormatting>
  <conditionalFormatting sqref="F34">
    <cfRule type="expression" dxfId="384" priority="43" stopIfTrue="1">
      <formula>D34-E34&lt;5</formula>
    </cfRule>
  </conditionalFormatting>
  <conditionalFormatting sqref="K61">
    <cfRule type="expression" dxfId="383" priority="40" stopIfTrue="1">
      <formula>A61="nee"</formula>
    </cfRule>
  </conditionalFormatting>
  <conditionalFormatting sqref="K61">
    <cfRule type="expression" dxfId="382" priority="39" stopIfTrue="1">
      <formula>A61="nee"</formula>
    </cfRule>
  </conditionalFormatting>
  <conditionalFormatting sqref="E61">
    <cfRule type="cellIs" dxfId="381" priority="38" stopIfTrue="1" operator="equal">
      <formula>"voldoet niet"</formula>
    </cfRule>
  </conditionalFormatting>
  <conditionalFormatting sqref="K61">
    <cfRule type="expression" dxfId="380" priority="37" stopIfTrue="1">
      <formula>A61="nee"</formula>
    </cfRule>
  </conditionalFormatting>
  <conditionalFormatting sqref="K61">
    <cfRule type="expression" dxfId="379" priority="36" stopIfTrue="1">
      <formula>A61="nee"</formula>
    </cfRule>
  </conditionalFormatting>
  <conditionalFormatting sqref="I98:P102">
    <cfRule type="expression" dxfId="378" priority="35">
      <formula>$S$16&lt;&gt;1</formula>
    </cfRule>
  </conditionalFormatting>
  <conditionalFormatting sqref="N98:P102">
    <cfRule type="expression" dxfId="377" priority="34">
      <formula>$S$12="nader te bepalen"</formula>
    </cfRule>
  </conditionalFormatting>
  <conditionalFormatting sqref="F98:H103">
    <cfRule type="expression" dxfId="376" priority="33">
      <formula>$S$16=3</formula>
    </cfRule>
  </conditionalFormatting>
  <conditionalFormatting sqref="Q98:Q102">
    <cfRule type="expression" dxfId="375" priority="32">
      <formula>SUM(Q94:Q98)&lt;E99</formula>
    </cfRule>
  </conditionalFormatting>
  <conditionalFormatting sqref="P98">
    <cfRule type="expression" dxfId="374" priority="22" stopIfTrue="1">
      <formula>P98="-"</formula>
    </cfRule>
    <cfRule type="expression" dxfId="373" priority="27" stopIfTrue="1">
      <formula>P98&lt;H98</formula>
    </cfRule>
  </conditionalFormatting>
  <conditionalFormatting sqref="P99">
    <cfRule type="expression" dxfId="372" priority="23" stopIfTrue="1">
      <formula>P99="-"</formula>
    </cfRule>
    <cfRule type="expression" dxfId="371" priority="28" stopIfTrue="1">
      <formula>P99&lt;H99</formula>
    </cfRule>
  </conditionalFormatting>
  <conditionalFormatting sqref="P100">
    <cfRule type="expression" dxfId="370" priority="24" stopIfTrue="1">
      <formula>P100="-"</formula>
    </cfRule>
    <cfRule type="expression" dxfId="369" priority="29" stopIfTrue="1">
      <formula>P100&lt;H100</formula>
    </cfRule>
  </conditionalFormatting>
  <conditionalFormatting sqref="P101">
    <cfRule type="expression" dxfId="368" priority="25" stopIfTrue="1">
      <formula>P101="-"</formula>
    </cfRule>
    <cfRule type="expression" dxfId="367" priority="30" stopIfTrue="1">
      <formula>P101&lt;H101</formula>
    </cfRule>
  </conditionalFormatting>
  <conditionalFormatting sqref="P102">
    <cfRule type="expression" dxfId="366" priority="26" stopIfTrue="1">
      <formula>P102="-"</formula>
    </cfRule>
    <cfRule type="expression" dxfId="365" priority="31" stopIfTrue="1">
      <formula>P102&lt;H102</formula>
    </cfRule>
  </conditionalFormatting>
  <conditionalFormatting sqref="F103:H103">
    <cfRule type="containsText" dxfId="364" priority="21" operator="containsText" text="voldoet niet op VG-niveau">
      <formula>NOT(ISERROR(SEARCH("voldoet niet op VG-niveau",F103)))</formula>
    </cfRule>
  </conditionalFormatting>
  <conditionalFormatting sqref="K68">
    <cfRule type="expression" dxfId="363" priority="20" stopIfTrue="1">
      <formula>A68="nee"</formula>
    </cfRule>
  </conditionalFormatting>
  <conditionalFormatting sqref="K68">
    <cfRule type="expression" dxfId="362" priority="19" stopIfTrue="1">
      <formula>A68="nee"</formula>
    </cfRule>
  </conditionalFormatting>
  <conditionalFormatting sqref="E68">
    <cfRule type="cellIs" dxfId="361" priority="18" stopIfTrue="1" operator="equal">
      <formula>"voldoet niet"</formula>
    </cfRule>
  </conditionalFormatting>
  <conditionalFormatting sqref="K68">
    <cfRule type="expression" dxfId="360" priority="17" stopIfTrue="1">
      <formula>A68="nee"</formula>
    </cfRule>
  </conditionalFormatting>
  <conditionalFormatting sqref="K68">
    <cfRule type="expression" dxfId="359" priority="16" stopIfTrue="1">
      <formula>A68="nee"</formula>
    </cfRule>
  </conditionalFormatting>
  <conditionalFormatting sqref="I105:P109">
    <cfRule type="expression" dxfId="358" priority="15">
      <formula>$S$16&lt;&gt;1</formula>
    </cfRule>
  </conditionalFormatting>
  <conditionalFormatting sqref="N105:P109">
    <cfRule type="expression" dxfId="357" priority="14">
      <formula>$S$12="nader te bepalen"</formula>
    </cfRule>
  </conditionalFormatting>
  <conditionalFormatting sqref="F105:H110">
    <cfRule type="expression" dxfId="356" priority="13">
      <formula>$S$16=3</formula>
    </cfRule>
  </conditionalFormatting>
  <conditionalFormatting sqref="Q105:Q109">
    <cfRule type="expression" dxfId="355" priority="12">
      <formula>SUM(Q101:Q105)&lt;E106</formula>
    </cfRule>
  </conditionalFormatting>
  <conditionalFormatting sqref="P105">
    <cfRule type="expression" dxfId="354" priority="2" stopIfTrue="1">
      <formula>P105="-"</formula>
    </cfRule>
    <cfRule type="expression" dxfId="353" priority="7" stopIfTrue="1">
      <formula>P105&lt;H105</formula>
    </cfRule>
  </conditionalFormatting>
  <conditionalFormatting sqref="P106">
    <cfRule type="expression" dxfId="352" priority="3" stopIfTrue="1">
      <formula>P106="-"</formula>
    </cfRule>
    <cfRule type="expression" dxfId="351" priority="8" stopIfTrue="1">
      <formula>P106&lt;H106</formula>
    </cfRule>
  </conditionalFormatting>
  <conditionalFormatting sqref="P107">
    <cfRule type="expression" dxfId="350" priority="4" stopIfTrue="1">
      <formula>P107="-"</formula>
    </cfRule>
    <cfRule type="expression" dxfId="349" priority="9" stopIfTrue="1">
      <formula>P107&lt;H107</formula>
    </cfRule>
  </conditionalFormatting>
  <conditionalFormatting sqref="P108">
    <cfRule type="expression" dxfId="348" priority="5" stopIfTrue="1">
      <formula>P108="-"</formula>
    </cfRule>
    <cfRule type="expression" dxfId="347" priority="10" stopIfTrue="1">
      <formula>P108&lt;H108</formula>
    </cfRule>
  </conditionalFormatting>
  <conditionalFormatting sqref="P109">
    <cfRule type="expression" dxfId="346" priority="6" stopIfTrue="1">
      <formula>P109="-"</formula>
    </cfRule>
    <cfRule type="expression" dxfId="345" priority="11" stopIfTrue="1">
      <formula>P109&lt;H109</formula>
    </cfRule>
  </conditionalFormatting>
  <conditionalFormatting sqref="F110:H110">
    <cfRule type="containsText" dxfId="344" priority="1" operator="containsText" text="voldoet niet op VG-niveau">
      <formula>NOT(ISERROR(SEARCH("voldoet niet op VG-niveau",F110)))</formula>
    </cfRule>
  </conditionalFormatting>
  <dataValidations disablePrompts="1" count="7">
    <dataValidation type="whole" operator="greaterThan" allowBlank="1" showInputMessage="1" showErrorMessage="1" errorTitle="Getal invoeren" error="Voer een getal in om het verblijfsgebied aan te geven." sqref="C29:C34" xr:uid="{F7457449-4BED-4A63-A06E-4668FEA3873E}">
      <formula1>0</formula1>
    </dataValidation>
    <dataValidation type="list" allowBlank="1" showInputMessage="1" showErrorMessage="1" sqref="H72:M72" xr:uid="{E162E3CA-B6E1-4D21-95DA-9ADE4F0EE890}">
      <formula1>PD_70procent</formula1>
    </dataValidation>
    <dataValidation type="list" allowBlank="1" showInputMessage="1" showErrorMessage="1" sqref="D72:G72" xr:uid="{004C4604-F681-401E-973F-506AEC7675CB}">
      <formula1>PD_Uitgangspunten</formula1>
    </dataValidation>
    <dataValidation type="list" allowBlank="1" showInputMessage="1" showErrorMessage="1" sqref="D75:G75" xr:uid="{EF959B23-A075-406F-8327-1A08DDAC1FAB}">
      <formula1>PD_RoosterFabrikant</formula1>
    </dataValidation>
    <dataValidation type="list" allowBlank="1" showInputMessage="1" showErrorMessage="1" sqref="D74:G74" xr:uid="{89424246-94BE-4DD3-A74C-DC48BB42B259}">
      <formula1>PD_TypeVentilatie</formula1>
    </dataValidation>
    <dataValidation type="list" allowBlank="1" showInputMessage="1" showErrorMessage="1" sqref="F113:F116 F84:F88 F91:F95 F98:F102 F105:F109" xr:uid="{9F1FD582-FB1E-4C93-BD99-F6B1FFD1EA6A}">
      <formula1>$T$16:$T$18</formula1>
    </dataValidation>
    <dataValidation type="list" allowBlank="1" showInputMessage="1" showErrorMessage="1" sqref="N113:O116 N84:O88 N91:O95 N98:O102 N105:O109" xr:uid="{17D5EF89-D6DC-4468-A6AC-8DCA50923569}">
      <formula1>INDIRECT($S$12)</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70"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585"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95586"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95587" r:id="rId7" name="Button 9">
              <controlPr defaultSize="0" print="0" autoFill="0" autoPict="0" macro="[0]!daglichtad1">
                <anchor moveWithCells="1" sizeWithCells="1">
                  <from>
                    <xdr:col>14</xdr:col>
                    <xdr:colOff>182880</xdr:colOff>
                    <xdr:row>37</xdr:row>
                    <xdr:rowOff>7620</xdr:rowOff>
                  </from>
                  <to>
                    <xdr:col>15</xdr:col>
                    <xdr:colOff>792480</xdr:colOff>
                    <xdr:row>38</xdr:row>
                    <xdr:rowOff>0</xdr:rowOff>
                  </to>
                </anchor>
              </controlPr>
            </control>
          </mc:Choice>
        </mc:AlternateContent>
        <mc:AlternateContent xmlns:mc="http://schemas.openxmlformats.org/markup-compatibility/2006">
          <mc:Choice Requires="x14">
            <control shapeId="195588" r:id="rId8" name="Button 11">
              <controlPr defaultSize="0" print="0" autoFill="0" autoPict="0" macro="[0]!spuiad1">
                <anchor moveWithCells="1" sizeWithCells="1">
                  <from>
                    <xdr:col>14</xdr:col>
                    <xdr:colOff>137160</xdr:colOff>
                    <xdr:row>179</xdr:row>
                    <xdr:rowOff>7620</xdr:rowOff>
                  </from>
                  <to>
                    <xdr:col>15</xdr:col>
                    <xdr:colOff>746760</xdr:colOff>
                    <xdr:row>180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610A2-7C74-4F2C-9A3B-2BC718C7DB3C}">
  <sheetPr codeName="Blad27">
    <tabColor indexed="11"/>
    <pageSetUpPr fitToPage="1"/>
  </sheetPr>
  <dimension ref="A1:AQ212"/>
  <sheetViews>
    <sheetView view="pageBreakPreview" topLeftCell="C4" zoomScale="85" zoomScaleNormal="100" zoomScaleSheetLayoutView="85" workbookViewId="0">
      <selection activeCell="L16" sqref="L16"/>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1162</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Klein voor, groot achter (2)</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7</v>
      </c>
      <c r="T7" s="519"/>
      <c r="U7" s="516"/>
      <c r="V7" s="517"/>
      <c r="W7" s="517"/>
      <c r="X7" s="517"/>
      <c r="AC7" s="500"/>
      <c r="AF7" s="498"/>
    </row>
    <row r="8" spans="1:34" s="518" customFormat="1" ht="12" customHeight="1">
      <c r="A8" s="515"/>
      <c r="B8" s="515"/>
      <c r="C8" s="387" t="s">
        <v>691</v>
      </c>
      <c r="D8" s="796" t="s">
        <v>1143</v>
      </c>
      <c r="E8" s="796"/>
      <c r="F8" s="796"/>
      <c r="G8" s="389"/>
      <c r="H8" s="390"/>
      <c r="I8" s="390"/>
      <c r="J8" s="390"/>
      <c r="K8" s="391"/>
      <c r="L8" s="391"/>
      <c r="M8" s="391"/>
      <c r="N8" s="391"/>
      <c r="O8" s="391"/>
      <c r="P8" s="391"/>
      <c r="Q8" s="516"/>
      <c r="R8" s="516" t="s">
        <v>254</v>
      </c>
      <c r="S8" s="512">
        <f>COUNTA(X:X)</f>
        <v>7</v>
      </c>
      <c r="T8" s="519"/>
      <c r="U8" s="516"/>
      <c r="V8" s="517"/>
      <c r="W8" s="517"/>
      <c r="X8" s="517"/>
      <c r="AC8" s="500"/>
      <c r="AF8" s="498"/>
    </row>
    <row r="9" spans="1:34" s="518" customFormat="1" ht="12" customHeight="1">
      <c r="A9" s="515"/>
      <c r="B9" s="515"/>
      <c r="C9" s="387" t="s">
        <v>692</v>
      </c>
      <c r="D9" s="396" t="s">
        <v>1129</v>
      </c>
      <c r="E9" s="388"/>
      <c r="F9" s="388"/>
      <c r="G9" s="392" t="s">
        <v>1041</v>
      </c>
      <c r="H9" s="393"/>
      <c r="I9" s="784">
        <v>45028</v>
      </c>
      <c r="J9" s="390"/>
      <c r="K9" s="391"/>
      <c r="L9" s="391"/>
      <c r="M9" s="391"/>
      <c r="N9" s="391"/>
      <c r="O9" s="391"/>
      <c r="P9" s="391"/>
      <c r="Q9" s="516"/>
      <c r="R9" s="516" t="s">
        <v>253</v>
      </c>
      <c r="S9" s="520">
        <f>COUNTA(C28:C37)-1</f>
        <v>4</v>
      </c>
      <c r="T9" s="519"/>
      <c r="U9" s="516"/>
      <c r="V9" s="517"/>
      <c r="W9" s="517"/>
      <c r="X9" s="517"/>
      <c r="AC9" s="500"/>
      <c r="AF9" s="498"/>
    </row>
    <row r="10" spans="1:34" s="518" customFormat="1" ht="12" customHeight="1">
      <c r="A10" s="515"/>
      <c r="B10" s="515"/>
      <c r="C10" s="387" t="s">
        <v>693</v>
      </c>
      <c r="D10" s="396" t="s">
        <v>1145</v>
      </c>
      <c r="E10" s="388"/>
      <c r="F10" s="388"/>
      <c r="G10" s="395"/>
      <c r="H10" s="393"/>
      <c r="I10" s="396" t="s">
        <v>1144</v>
      </c>
      <c r="J10" s="390"/>
      <c r="K10" s="391"/>
      <c r="L10" s="391"/>
      <c r="M10" s="391"/>
      <c r="N10" s="391"/>
      <c r="O10" s="391"/>
      <c r="P10" s="391"/>
      <c r="Q10" s="516"/>
      <c r="R10" s="516" t="s">
        <v>253</v>
      </c>
      <c r="S10" s="512">
        <f>MAX(U:W)</f>
        <v>4</v>
      </c>
      <c r="T10" s="519"/>
      <c r="U10" s="516"/>
      <c r="V10" s="517"/>
      <c r="W10" s="517"/>
      <c r="X10" s="517"/>
      <c r="AC10" s="500"/>
      <c r="AF10" s="498"/>
    </row>
    <row r="11" spans="1:34" s="518" customFormat="1" ht="12" customHeight="1">
      <c r="A11" s="515"/>
      <c r="B11" s="515"/>
      <c r="C11" s="387" t="s">
        <v>694</v>
      </c>
      <c r="D11" s="797">
        <v>45028</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D75</f>
        <v>nader te bepalen</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1146</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10.81</v>
      </c>
      <c r="M16" s="411"/>
      <c r="N16" s="409"/>
      <c r="O16" s="412"/>
      <c r="P16" s="412"/>
      <c r="Q16" s="525"/>
      <c r="R16" s="526"/>
      <c r="S16" s="527">
        <f>IF(D72="berekening op basis van minimale capaciteit",3,IF(D74="systeem A - natuurlijke toevoer &amp;  afvoer",1,IF(D74="systeem C - natuurlijke toevoer &amp; mechanische afvoer",1,2)))</f>
        <v>2</v>
      </c>
      <c r="T16" s="516" t="str">
        <f>IF(S16=1,"NT","MT")</f>
        <v>MT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155.94999999999999</v>
      </c>
      <c r="G17" s="403"/>
      <c r="H17" s="414"/>
      <c r="I17" s="404"/>
      <c r="J17" s="408" t="s">
        <v>687</v>
      </c>
      <c r="K17" s="409"/>
      <c r="L17" s="410">
        <v>68.98</v>
      </c>
      <c r="M17" s="415"/>
      <c r="N17" s="409"/>
      <c r="O17" s="404"/>
      <c r="P17" s="416"/>
      <c r="Q17" s="525"/>
      <c r="R17" s="526"/>
      <c r="S17" s="527">
        <f>IF(D75="nader te bepalen",1,2)</f>
        <v>1</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85.772499999999994</v>
      </c>
      <c r="G18" s="417"/>
      <c r="H18" s="418"/>
      <c r="I18" s="419"/>
      <c r="J18" s="408" t="s">
        <v>688</v>
      </c>
      <c r="K18" s="409"/>
      <c r="L18" s="410">
        <v>76.16</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F36</f>
        <v>82.37</v>
      </c>
      <c r="G19" s="420" t="s">
        <v>661</v>
      </c>
      <c r="H19" s="421">
        <f>IF(OR(F17=0,F19=0),0,F19/F17)</f>
        <v>0.52818210965052903</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nee, &lt; 55%</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2</v>
      </c>
      <c r="I22" s="805"/>
      <c r="J22" s="427" t="str">
        <f>IF(H22&lt;F22,"voldoet niet","")</f>
        <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1</v>
      </c>
      <c r="I23" s="805"/>
      <c r="J23" s="427" t="str">
        <f>IF(H23&lt;F23,"voldoet niet","")</f>
        <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28.45</v>
      </c>
      <c r="E28" s="433">
        <f>IF(C28="","",SUMPRODUCT(($Y$1:$Y$28075)*($U$1:$U$28075=C28)))</f>
        <v>0</v>
      </c>
      <c r="F28" s="799">
        <f>IF(E28="","",IF(SUMPRODUCT(($AD$1:$AD$28130)*($AC$1:$AC$28130=C28))-E28&lt;verzamelblad!$AG$7,"&lt; " &amp; verzamelblad!$AG$7 &amp; " m², geen VG",SUMPRODUCT(($AD$1:$AD$28130)*($AC$1:$AC$28130=C28))-E28))</f>
        <v>28.45</v>
      </c>
      <c r="G28" s="799"/>
      <c r="H28" s="434">
        <f>IF(C28="","",0)</f>
        <v>0</v>
      </c>
      <c r="I28" s="435"/>
      <c r="J28" s="800">
        <f t="shared" ref="J28:J34" si="0">A28</f>
        <v>1</v>
      </c>
      <c r="K28" s="800"/>
      <c r="L28" s="436" t="s">
        <v>1147</v>
      </c>
      <c r="M28" s="436"/>
      <c r="N28" s="801">
        <v>28.45</v>
      </c>
      <c r="O28" s="801"/>
      <c r="P28" s="437"/>
      <c r="Q28" s="392"/>
      <c r="R28" s="516"/>
      <c r="S28" s="516"/>
      <c r="T28" s="521"/>
      <c r="U28" s="516"/>
      <c r="V28" s="517"/>
      <c r="W28" s="517"/>
      <c r="X28" s="536">
        <f t="shared" ref="X28:X34" si="1">A28</f>
        <v>1</v>
      </c>
      <c r="Y28" s="517"/>
      <c r="Z28" s="517"/>
      <c r="AA28" s="517"/>
      <c r="AB28" s="517"/>
      <c r="AC28" s="537">
        <f t="shared" ref="AC28" si="2">IF(C28&lt;&gt;"",C28,AC27)</f>
        <v>1</v>
      </c>
      <c r="AD28" s="538">
        <f>IF(C28&lt;&gt;"",D28+H28,0)</f>
        <v>28.45</v>
      </c>
      <c r="AE28" s="539">
        <f t="shared" ref="AE28:AE34" si="3">N28</f>
        <v>28.45</v>
      </c>
      <c r="AF28" s="540"/>
      <c r="AG28" s="517"/>
      <c r="AH28" s="535"/>
    </row>
    <row r="29" spans="1:34" s="518" customFormat="1" ht="12" customHeight="1">
      <c r="A29" s="527">
        <f t="shared" ref="A29:A34" si="4">A28+1</f>
        <v>2</v>
      </c>
      <c r="B29" s="515" t="s">
        <v>258</v>
      </c>
      <c r="C29" s="438">
        <v>2</v>
      </c>
      <c r="D29" s="432">
        <v>22.4</v>
      </c>
      <c r="E29" s="725">
        <f>IF(C29="","",SUMPRODUCT(($Y$1:$Y$28181)*($U$1:$U$28181=C29)))</f>
        <v>0</v>
      </c>
      <c r="F29" s="802">
        <f>IF(E29="","",IF(SUMPRODUCT(($AD$1:$AD$28181)*($AC$1:$AC$28181=C29))-E29&lt;verzamelblad!$AG$7,"&lt; " &amp; verzamelblad!$AG$7 &amp; " m², geen VG",SUMPRODUCT(($AD$1:$AD$28181)*($AC$1:$AC$28181=C29))-E29))</f>
        <v>22.4</v>
      </c>
      <c r="G29" s="802"/>
      <c r="H29" s="434">
        <f t="shared" ref="H29:H34" si="5">IF(C29="","",0)</f>
        <v>0</v>
      </c>
      <c r="I29" s="439"/>
      <c r="J29" s="803">
        <f t="shared" si="0"/>
        <v>2</v>
      </c>
      <c r="K29" s="803"/>
      <c r="L29" s="440" t="s">
        <v>727</v>
      </c>
      <c r="M29" s="440"/>
      <c r="N29" s="804">
        <v>15.1</v>
      </c>
      <c r="O29" s="804"/>
      <c r="P29" s="441"/>
      <c r="Q29" s="404"/>
      <c r="R29" s="541"/>
      <c r="S29" s="541"/>
      <c r="T29" s="521"/>
      <c r="U29" s="516"/>
      <c r="V29" s="517"/>
      <c r="W29" s="517"/>
      <c r="X29" s="536">
        <f t="shared" si="1"/>
        <v>2</v>
      </c>
      <c r="Y29" s="517"/>
      <c r="Z29" s="517"/>
      <c r="AA29" s="517"/>
      <c r="AB29" s="517"/>
      <c r="AC29" s="537">
        <f>IF(C29&lt;&gt;"",C29,AC28)</f>
        <v>2</v>
      </c>
      <c r="AD29" s="538">
        <f t="shared" ref="AD29:AD34" si="6">IF(C29&lt;&gt;"",D29+H29,0)</f>
        <v>22.4</v>
      </c>
      <c r="AE29" s="539">
        <f t="shared" si="3"/>
        <v>15.1</v>
      </c>
      <c r="AF29" s="540"/>
      <c r="AG29" s="517"/>
      <c r="AH29" s="535"/>
    </row>
    <row r="30" spans="1:34" s="518" customFormat="1" ht="12" customHeight="1">
      <c r="A30" s="542">
        <f t="shared" si="4"/>
        <v>3</v>
      </c>
      <c r="B30" s="543" t="s">
        <v>258</v>
      </c>
      <c r="C30" s="438"/>
      <c r="D30" s="740">
        <v>0</v>
      </c>
      <c r="E30" s="725" t="str">
        <f>IF(C30="","",SUMPRODUCT(($Y$1:$Y$28240)*($U$1:$U$28240=C30)))</f>
        <v/>
      </c>
      <c r="F30" s="802" t="str">
        <f>IF(E30="","",IF(SUMPRODUCT(($AD$1:$AD$28240)*($AC$1:$AC$28240=C30))-E30&lt;verzamelblad!$AG$7,"&lt; " &amp; verzamelblad!$AG$7 &amp; " m², geen VG",SUMPRODUCT(($AD$1:$AD$28240)*($AC$1:$AC$28240=C30))-E30))</f>
        <v/>
      </c>
      <c r="G30" s="802"/>
      <c r="H30" s="756" t="str">
        <f t="shared" si="5"/>
        <v/>
      </c>
      <c r="I30" s="439"/>
      <c r="J30" s="803">
        <f t="shared" si="0"/>
        <v>3</v>
      </c>
      <c r="K30" s="803"/>
      <c r="L30" s="440" t="s">
        <v>1149</v>
      </c>
      <c r="M30" s="440"/>
      <c r="N30" s="804">
        <v>5.96</v>
      </c>
      <c r="O30" s="804"/>
      <c r="P30" s="441"/>
      <c r="Q30" s="404"/>
      <c r="R30" s="404"/>
      <c r="S30" s="404"/>
      <c r="T30" s="544"/>
      <c r="U30" s="392"/>
      <c r="V30" s="545"/>
      <c r="W30" s="545"/>
      <c r="X30" s="757">
        <f t="shared" si="1"/>
        <v>3</v>
      </c>
      <c r="Y30" s="545"/>
      <c r="Z30" s="545"/>
      <c r="AA30" s="546"/>
      <c r="AB30" s="517"/>
      <c r="AC30" s="537">
        <f t="shared" ref="AC30:AC34" si="7">IF(C30&lt;&gt;"",C30,AC29)</f>
        <v>2</v>
      </c>
      <c r="AD30" s="538">
        <f t="shared" si="6"/>
        <v>0</v>
      </c>
      <c r="AE30" s="539">
        <f t="shared" si="3"/>
        <v>5.96</v>
      </c>
      <c r="AF30" s="517"/>
      <c r="AG30" s="517">
        <f>IF(P30="ja",1,0)</f>
        <v>0</v>
      </c>
      <c r="AH30" s="535"/>
    </row>
    <row r="31" spans="1:34" s="518" customFormat="1" ht="12" customHeight="1">
      <c r="A31" s="542">
        <f t="shared" si="4"/>
        <v>4</v>
      </c>
      <c r="B31" s="543" t="s">
        <v>258</v>
      </c>
      <c r="C31" s="438">
        <v>3</v>
      </c>
      <c r="D31" s="740">
        <v>22.21</v>
      </c>
      <c r="E31" s="725">
        <f>IF(C31="","",SUMPRODUCT(($Y$1:$Y$28239)*($U$1:$U$28239=C31)))</f>
        <v>0</v>
      </c>
      <c r="F31" s="802">
        <f>IF(E31="","",IF(SUMPRODUCT(($AD$1:$AD$28239)*($AC$1:$AC$28239=C31))-E31&lt;verzamelblad!$AG$7,"&lt; " &amp; verzamelblad!$AG$7 &amp; " m², geen VG",SUMPRODUCT(($AD$1:$AD$28239)*($AC$1:$AC$28239=C31))-E31))</f>
        <v>22.21</v>
      </c>
      <c r="G31" s="802"/>
      <c r="H31" s="756">
        <f t="shared" si="5"/>
        <v>0</v>
      </c>
      <c r="I31" s="439"/>
      <c r="J31" s="803">
        <f t="shared" si="0"/>
        <v>4</v>
      </c>
      <c r="K31" s="803"/>
      <c r="L31" s="440" t="s">
        <v>742</v>
      </c>
      <c r="M31" s="440"/>
      <c r="N31" s="804">
        <v>7.57</v>
      </c>
      <c r="O31" s="804"/>
      <c r="P31" s="441"/>
      <c r="Q31" s="404"/>
      <c r="R31" s="404"/>
      <c r="S31" s="404"/>
      <c r="T31" s="544"/>
      <c r="U31" s="392"/>
      <c r="V31" s="545"/>
      <c r="W31" s="545"/>
      <c r="X31" s="757">
        <f t="shared" si="1"/>
        <v>4</v>
      </c>
      <c r="Y31" s="545"/>
      <c r="Z31" s="545"/>
      <c r="AA31" s="546"/>
      <c r="AB31" s="517"/>
      <c r="AC31" s="537">
        <f t="shared" si="7"/>
        <v>3</v>
      </c>
      <c r="AD31" s="538">
        <f t="shared" si="6"/>
        <v>22.21</v>
      </c>
      <c r="AE31" s="539">
        <f t="shared" si="3"/>
        <v>7.57</v>
      </c>
      <c r="AF31" s="517"/>
      <c r="AG31" s="517">
        <f>IF(P31="ja",1,0)</f>
        <v>0</v>
      </c>
      <c r="AH31" s="535"/>
    </row>
    <row r="32" spans="1:34" s="518" customFormat="1" ht="12" customHeight="1">
      <c r="A32" s="542">
        <f t="shared" si="4"/>
        <v>5</v>
      </c>
      <c r="B32" s="543" t="s">
        <v>258</v>
      </c>
      <c r="C32" s="438"/>
      <c r="D32" s="740">
        <v>0</v>
      </c>
      <c r="E32" s="725" t="str">
        <f>IF(C32="","",SUMPRODUCT(($Y$1:$Y$28252)*($U$1:$U$28252=C32)))</f>
        <v/>
      </c>
      <c r="F32" s="802" t="str">
        <f>IF(E32="","",IF(SUMPRODUCT(($AD$1:$AD$28252)*($AC$1:$AC$28252=C32))-E32&lt;verzamelblad!$AG$7,"&lt; " &amp; verzamelblad!$AG$7 &amp; " m², geen VG",SUMPRODUCT(($AD$1:$AD$28252)*($AC$1:$AC$28252=C32))-E32))</f>
        <v/>
      </c>
      <c r="G32" s="802"/>
      <c r="H32" s="756" t="str">
        <f t="shared" si="5"/>
        <v/>
      </c>
      <c r="I32" s="439"/>
      <c r="J32" s="803">
        <f t="shared" si="0"/>
        <v>5</v>
      </c>
      <c r="K32" s="803"/>
      <c r="L32" s="440" t="s">
        <v>1131</v>
      </c>
      <c r="M32" s="440"/>
      <c r="N32" s="804">
        <v>7.47</v>
      </c>
      <c r="O32" s="804"/>
      <c r="P32" s="441"/>
      <c r="Q32" s="404"/>
      <c r="R32" s="404"/>
      <c r="S32" s="404"/>
      <c r="T32" s="544"/>
      <c r="U32" s="392"/>
      <c r="V32" s="545"/>
      <c r="W32" s="545"/>
      <c r="X32" s="757">
        <f t="shared" si="1"/>
        <v>5</v>
      </c>
      <c r="Y32" s="545"/>
      <c r="Z32" s="545"/>
      <c r="AA32" s="546"/>
      <c r="AB32" s="517"/>
      <c r="AC32" s="537">
        <f t="shared" si="7"/>
        <v>3</v>
      </c>
      <c r="AD32" s="538">
        <f t="shared" si="6"/>
        <v>0</v>
      </c>
      <c r="AE32" s="539">
        <f t="shared" si="3"/>
        <v>7.47</v>
      </c>
      <c r="AF32" s="517"/>
      <c r="AG32" s="517">
        <f>IF(P32="ja",1,0)</f>
        <v>0</v>
      </c>
      <c r="AH32" s="535"/>
    </row>
    <row r="33" spans="1:34" s="518" customFormat="1" ht="12" customHeight="1">
      <c r="A33" s="542">
        <f t="shared" si="4"/>
        <v>6</v>
      </c>
      <c r="B33" s="543" t="s">
        <v>258</v>
      </c>
      <c r="C33" s="438"/>
      <c r="D33" s="740">
        <v>0</v>
      </c>
      <c r="E33" s="725" t="str">
        <f>IF(C33="","",SUMPRODUCT(($Y$1:$Y$28251)*($U$1:$U$28251=C33)))</f>
        <v/>
      </c>
      <c r="F33" s="802" t="str">
        <f>IF(E33="","",IF(SUMPRODUCT(($AD$1:$AD$28251)*($AC$1:$AC$28251=C33))-E33&lt;verzamelblad!$AG$7,"&lt; " &amp; verzamelblad!$AG$7 &amp; " m², geen VG",SUMPRODUCT(($AD$1:$AD$28251)*($AC$1:$AC$28251=C33))-E33))</f>
        <v/>
      </c>
      <c r="G33" s="802"/>
      <c r="H33" s="756" t="str">
        <f t="shared" si="5"/>
        <v/>
      </c>
      <c r="I33" s="439"/>
      <c r="J33" s="803">
        <f t="shared" si="0"/>
        <v>6</v>
      </c>
      <c r="K33" s="803"/>
      <c r="L33" s="440" t="s">
        <v>1148</v>
      </c>
      <c r="M33" s="440"/>
      <c r="N33" s="804">
        <v>3.33</v>
      </c>
      <c r="O33" s="804"/>
      <c r="P33" s="441"/>
      <c r="Q33" s="404"/>
      <c r="R33" s="404"/>
      <c r="S33" s="404"/>
      <c r="T33" s="544"/>
      <c r="U33" s="392"/>
      <c r="V33" s="545"/>
      <c r="W33" s="545"/>
      <c r="X33" s="757">
        <f t="shared" si="1"/>
        <v>6</v>
      </c>
      <c r="Y33" s="545"/>
      <c r="Z33" s="545"/>
      <c r="AA33" s="546"/>
      <c r="AB33" s="517"/>
      <c r="AC33" s="537">
        <f t="shared" si="7"/>
        <v>3</v>
      </c>
      <c r="AD33" s="538">
        <f t="shared" si="6"/>
        <v>0</v>
      </c>
      <c r="AE33" s="539">
        <f t="shared" si="3"/>
        <v>3.33</v>
      </c>
      <c r="AF33" s="517"/>
      <c r="AG33" s="517">
        <f>IF(P33="ja",1,0)</f>
        <v>0</v>
      </c>
      <c r="AH33" s="535"/>
    </row>
    <row r="34" spans="1:34" s="518" customFormat="1" ht="12" customHeight="1">
      <c r="A34" s="542">
        <f t="shared" si="4"/>
        <v>7</v>
      </c>
      <c r="B34" s="543" t="s">
        <v>258</v>
      </c>
      <c r="C34" s="438">
        <v>4</v>
      </c>
      <c r="D34" s="740">
        <v>9.31</v>
      </c>
      <c r="E34" s="725">
        <f>IF(C34="","",SUMPRODUCT(($Y$1:$Y$28250)*($U$1:$U$28250=C34)))</f>
        <v>0</v>
      </c>
      <c r="F34" s="802">
        <f>IF(E34="","",IF(SUMPRODUCT(($AD$1:$AD$28250)*($AC$1:$AC$28250=C34))-E34&lt;verzamelblad!$AG$7,"&lt; " &amp; verzamelblad!$AG$7 &amp; " m², geen VG",SUMPRODUCT(($AD$1:$AD$28250)*($AC$1:$AC$28250=C34))-E34))</f>
        <v>9.31</v>
      </c>
      <c r="G34" s="802"/>
      <c r="H34" s="756">
        <f t="shared" si="5"/>
        <v>0</v>
      </c>
      <c r="I34" s="439"/>
      <c r="J34" s="803">
        <f t="shared" si="0"/>
        <v>7</v>
      </c>
      <c r="K34" s="803"/>
      <c r="L34" s="440" t="s">
        <v>1132</v>
      </c>
      <c r="M34" s="440"/>
      <c r="N34" s="804">
        <v>6</v>
      </c>
      <c r="O34" s="804"/>
      <c r="P34" s="441"/>
      <c r="Q34" s="404"/>
      <c r="R34" s="404"/>
      <c r="S34" s="404"/>
      <c r="T34" s="544"/>
      <c r="U34" s="392"/>
      <c r="V34" s="545"/>
      <c r="W34" s="545"/>
      <c r="X34" s="757">
        <f t="shared" si="1"/>
        <v>7</v>
      </c>
      <c r="Y34" s="545"/>
      <c r="Z34" s="545"/>
      <c r="AA34" s="546"/>
      <c r="AB34" s="517"/>
      <c r="AC34" s="537">
        <f t="shared" si="7"/>
        <v>4</v>
      </c>
      <c r="AD34" s="538">
        <f t="shared" si="6"/>
        <v>9.31</v>
      </c>
      <c r="AE34" s="539">
        <f t="shared" si="3"/>
        <v>6</v>
      </c>
      <c r="AF34" s="517"/>
      <c r="AG34" s="517">
        <f>IF(P34="ja",1,0)</f>
        <v>0</v>
      </c>
      <c r="AH34" s="535"/>
    </row>
    <row r="35" spans="1:34" ht="12" customHeight="1">
      <c r="A35" s="492"/>
      <c r="B35" s="492"/>
      <c r="C35" s="442"/>
      <c r="D35" s="443"/>
      <c r="E35" s="443"/>
      <c r="F35" s="443"/>
      <c r="G35" s="444"/>
      <c r="H35" s="444"/>
      <c r="I35" s="444"/>
      <c r="J35" s="444"/>
      <c r="K35" s="445"/>
      <c r="L35" s="445"/>
      <c r="M35" s="445"/>
      <c r="N35" s="445"/>
      <c r="O35" s="445"/>
      <c r="P35" s="445"/>
      <c r="Q35" s="547"/>
      <c r="R35" s="516"/>
      <c r="S35" s="515"/>
      <c r="T35" s="532"/>
      <c r="U35" s="507"/>
      <c r="V35" s="508"/>
      <c r="W35" s="508"/>
      <c r="X35" s="508"/>
      <c r="Y35" s="508"/>
      <c r="Z35" s="508"/>
      <c r="AA35" s="508"/>
      <c r="AB35" s="508"/>
      <c r="AC35" s="524"/>
      <c r="AD35" s="508"/>
      <c r="AE35" s="517"/>
      <c r="AF35" s="508"/>
      <c r="AG35" s="508"/>
    </row>
    <row r="36" spans="1:34" ht="12" customHeight="1">
      <c r="A36" s="492"/>
      <c r="B36" s="492"/>
      <c r="C36" s="446" t="s">
        <v>16</v>
      </c>
      <c r="D36" s="728">
        <f>SUM(D24:D35)</f>
        <v>82.37</v>
      </c>
      <c r="E36" s="447"/>
      <c r="F36" s="808">
        <f>SUM(F24:F35)</f>
        <v>82.37</v>
      </c>
      <c r="G36" s="808"/>
      <c r="H36" s="448"/>
      <c r="I36" s="448"/>
      <c r="J36" s="728"/>
      <c r="K36" s="449"/>
      <c r="L36" s="450"/>
      <c r="M36" s="404"/>
      <c r="N36" s="728">
        <f>SUM(N24:N35)</f>
        <v>73.88</v>
      </c>
      <c r="O36" s="451"/>
      <c r="P36" s="452"/>
      <c r="Q36" s="452"/>
      <c r="R36" s="516"/>
      <c r="S36" s="515"/>
      <c r="T36" s="532"/>
      <c r="U36" s="507"/>
      <c r="V36" s="508"/>
      <c r="W36" s="508"/>
      <c r="X36" s="508"/>
      <c r="Y36" s="508"/>
      <c r="Z36" s="508"/>
      <c r="AA36" s="508"/>
      <c r="AB36" s="508"/>
      <c r="AC36" s="524"/>
      <c r="AD36" s="508"/>
      <c r="AE36" s="517"/>
      <c r="AF36" s="508"/>
      <c r="AG36" s="508"/>
      <c r="AH36" s="508"/>
    </row>
    <row r="37" spans="1:34" ht="12" customHeight="1">
      <c r="A37" s="492"/>
      <c r="B37" s="492"/>
      <c r="C37" s="453"/>
      <c r="D37" s="454"/>
      <c r="E37" s="454"/>
      <c r="F37" s="454"/>
      <c r="G37" s="455"/>
      <c r="H37" s="455"/>
      <c r="I37" s="455"/>
      <c r="J37" s="455"/>
      <c r="K37" s="456"/>
      <c r="L37" s="456"/>
      <c r="M37" s="456"/>
      <c r="N37" s="456"/>
      <c r="O37" s="456"/>
      <c r="P37" s="456"/>
      <c r="Q37" s="547"/>
      <c r="R37" s="516"/>
      <c r="S37" s="515"/>
      <c r="T37" s="532"/>
      <c r="U37" s="507"/>
      <c r="V37" s="508"/>
      <c r="W37" s="508"/>
      <c r="X37" s="508"/>
      <c r="Y37" s="508"/>
      <c r="Z37" s="508"/>
      <c r="AA37" s="508"/>
      <c r="AB37" s="508"/>
      <c r="AC37" s="524"/>
      <c r="AD37" s="508"/>
      <c r="AE37" s="517"/>
      <c r="AF37" s="508"/>
      <c r="AG37" s="508"/>
    </row>
    <row r="38" spans="1:34" s="518" customFormat="1" ht="15" customHeight="1">
      <c r="A38" s="515"/>
      <c r="B38" s="515"/>
      <c r="C38" s="457" t="s">
        <v>1083</v>
      </c>
      <c r="D38" s="457"/>
      <c r="E38" s="457"/>
      <c r="F38" s="457"/>
      <c r="G38" s="457"/>
      <c r="H38" s="457"/>
      <c r="I38" s="457"/>
      <c r="J38" s="457"/>
      <c r="K38" s="457"/>
      <c r="L38" s="457"/>
      <c r="M38" s="457"/>
      <c r="N38" s="457"/>
      <c r="O38" s="457"/>
      <c r="P38" s="457"/>
      <c r="Q38" s="522"/>
      <c r="R38" s="516"/>
      <c r="S38" s="516"/>
      <c r="T38" s="516"/>
      <c r="U38" s="516"/>
      <c r="V38" s="517"/>
      <c r="W38" s="548"/>
      <c r="X38" s="548"/>
      <c r="Y38" s="548"/>
      <c r="Z38" s="517"/>
      <c r="AA38" s="517"/>
      <c r="AB38" s="517"/>
      <c r="AC38" s="524"/>
      <c r="AD38" s="517"/>
      <c r="AE38" s="517"/>
      <c r="AF38" s="517"/>
      <c r="AG38" s="517"/>
    </row>
    <row r="39" spans="1:34" s="518" customFormat="1" ht="12.75" hidden="1" customHeight="1">
      <c r="A39" s="515"/>
      <c r="B39" s="515"/>
      <c r="C39" s="458"/>
      <c r="D39" s="458"/>
      <c r="E39" s="458"/>
      <c r="F39" s="458"/>
      <c r="G39" s="458"/>
      <c r="H39" s="459"/>
      <c r="I39" s="459"/>
      <c r="J39" s="459"/>
      <c r="K39" s="459"/>
      <c r="L39" s="459"/>
      <c r="M39" s="459"/>
      <c r="N39" s="459"/>
      <c r="O39" s="459"/>
      <c r="P39" s="459"/>
      <c r="Q39" s="522"/>
      <c r="R39" s="516"/>
      <c r="S39" s="516"/>
      <c r="T39" s="516"/>
      <c r="U39" s="516"/>
      <c r="V39" s="548"/>
      <c r="W39" s="548"/>
      <c r="X39" s="548"/>
      <c r="Y39" s="548"/>
      <c r="Z39" s="517"/>
      <c r="AA39" s="517"/>
      <c r="AB39" s="517"/>
      <c r="AC39" s="524"/>
      <c r="AD39" s="517"/>
      <c r="AE39" s="517"/>
      <c r="AF39" s="517"/>
      <c r="AG39" s="517"/>
      <c r="AH39" s="517"/>
    </row>
    <row r="40" spans="1:34" ht="15" customHeight="1">
      <c r="A40" s="492"/>
      <c r="B40" s="492"/>
      <c r="C40" s="736" t="s">
        <v>133</v>
      </c>
      <c r="D40" s="809" t="s">
        <v>134</v>
      </c>
      <c r="E40" s="809"/>
      <c r="F40" s="460" t="s">
        <v>135</v>
      </c>
      <c r="G40" s="460" t="s">
        <v>1101</v>
      </c>
      <c r="H40" s="460" t="s">
        <v>655</v>
      </c>
      <c r="I40" s="460" t="s">
        <v>1094</v>
      </c>
      <c r="J40" s="460" t="s">
        <v>1095</v>
      </c>
      <c r="K40" s="461" t="s">
        <v>1102</v>
      </c>
      <c r="L40" s="460" t="s">
        <v>1103</v>
      </c>
      <c r="M40" s="460" t="s">
        <v>1104</v>
      </c>
      <c r="N40" s="460" t="s">
        <v>1105</v>
      </c>
      <c r="O40" s="460" t="s">
        <v>16</v>
      </c>
      <c r="P40" s="460" t="s">
        <v>662</v>
      </c>
      <c r="Q40" s="507"/>
      <c r="R40" s="507"/>
      <c r="S40" s="507"/>
      <c r="T40" s="507"/>
      <c r="U40" s="507"/>
      <c r="V40" s="508"/>
      <c r="W40" s="508"/>
      <c r="X40" s="508"/>
      <c r="Y40" s="508"/>
      <c r="Z40" s="508"/>
      <c r="AA40" s="508"/>
      <c r="AB40" s="508"/>
      <c r="AC40" s="534"/>
      <c r="AD40" s="508"/>
      <c r="AE40" s="508"/>
      <c r="AF40" s="508"/>
      <c r="AG40" s="508"/>
      <c r="AH40" s="508"/>
    </row>
    <row r="41" spans="1:34" ht="12.75" customHeight="1">
      <c r="A41" s="492"/>
      <c r="B41" s="492"/>
      <c r="C41" s="462"/>
      <c r="D41" s="810"/>
      <c r="E41" s="810"/>
      <c r="F41" s="810"/>
      <c r="G41" s="456"/>
      <c r="H41" s="463"/>
      <c r="I41" s="463"/>
      <c r="J41" s="456"/>
      <c r="K41" s="456"/>
      <c r="L41" s="456"/>
      <c r="M41" s="456"/>
      <c r="N41" s="456"/>
      <c r="O41" s="456"/>
      <c r="P41" s="456"/>
      <c r="Q41" s="507"/>
      <c r="R41" s="507"/>
      <c r="S41" s="507"/>
      <c r="T41" s="507" t="str">
        <f>IF($B41&gt;0,$B41,"")</f>
        <v/>
      </c>
      <c r="U41" s="507"/>
      <c r="V41" s="508"/>
      <c r="W41" s="508"/>
      <c r="X41" s="508"/>
      <c r="Y41" s="508"/>
      <c r="Z41" s="508"/>
      <c r="AA41" s="508"/>
      <c r="AB41" s="508"/>
      <c r="AC41" s="524"/>
      <c r="AD41" s="508"/>
      <c r="AE41" s="517"/>
      <c r="AF41" s="508"/>
      <c r="AG41" s="508"/>
      <c r="AH41" s="508"/>
    </row>
    <row r="42" spans="1:34" s="518" customFormat="1" ht="12" customHeight="1">
      <c r="A42" s="515"/>
      <c r="B42" s="515"/>
      <c r="C42" s="464" t="str">
        <f>L28</f>
        <v>woonkamer / eetkamer</v>
      </c>
      <c r="D42" s="811" t="s">
        <v>1150</v>
      </c>
      <c r="E42" s="811"/>
      <c r="F42" s="657">
        <v>1</v>
      </c>
      <c r="G42" s="465">
        <v>2.4900000000000002</v>
      </c>
      <c r="H42" s="466">
        <v>90</v>
      </c>
      <c r="I42" s="466">
        <v>20</v>
      </c>
      <c r="J42" s="466">
        <v>25</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9">
        <f>ROUND(F42*G42*L42*M42,2)</f>
        <v>1.92</v>
      </c>
      <c r="O42" s="470"/>
      <c r="P42" s="404"/>
      <c r="Q42" s="525" t="str">
        <f t="shared" ref="Q42:Q46" si="8">IF(G42=0,"verbergen","")</f>
        <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49"/>
      <c r="B43" s="515"/>
      <c r="C43" s="464" t="str">
        <f>L28</f>
        <v>woonkamer / eetkamer</v>
      </c>
      <c r="D43" s="811" t="s">
        <v>1151</v>
      </c>
      <c r="E43" s="811"/>
      <c r="F43" s="657">
        <v>2</v>
      </c>
      <c r="G43" s="465">
        <v>0.89</v>
      </c>
      <c r="H43" s="466">
        <v>90</v>
      </c>
      <c r="I43" s="466">
        <v>31</v>
      </c>
      <c r="J43" s="466">
        <v>30</v>
      </c>
      <c r="K43" s="467" t="s">
        <v>737</v>
      </c>
      <c r="L43" s="467">
        <v>1</v>
      </c>
      <c r="M43" s="468">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0.67</v>
      </c>
      <c r="N43" s="469">
        <f>ROUND(F43*G43*L43*M43,2)</f>
        <v>1.19</v>
      </c>
      <c r="O43" s="470"/>
      <c r="P43" s="471"/>
      <c r="Q43" s="525" t="str">
        <f t="shared" si="8"/>
        <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20"/>
      <c r="B44" s="515"/>
      <c r="C44" s="464" t="str">
        <f>L28</f>
        <v>woonkamer / eetkamer</v>
      </c>
      <c r="D44" s="811" t="s">
        <v>1152</v>
      </c>
      <c r="E44" s="811"/>
      <c r="F44" s="657">
        <v>2</v>
      </c>
      <c r="G44" s="465">
        <v>0.89</v>
      </c>
      <c r="H44" s="466">
        <v>90</v>
      </c>
      <c r="I44" s="466">
        <v>31</v>
      </c>
      <c r="J44" s="466">
        <v>30</v>
      </c>
      <c r="K44" s="467" t="s">
        <v>737</v>
      </c>
      <c r="L44" s="467">
        <v>1</v>
      </c>
      <c r="M44" s="468">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0.67</v>
      </c>
      <c r="N44" s="469">
        <f>ROUND(F44*G44*L44*M44,2)</f>
        <v>1.19</v>
      </c>
      <c r="O44" s="470"/>
      <c r="P44" s="471"/>
      <c r="Q44" s="525" t="str">
        <f t="shared" si="8"/>
        <v/>
      </c>
      <c r="R44" s="516"/>
      <c r="S44" s="516"/>
      <c r="T44" s="507"/>
      <c r="U44" s="507">
        <v>1</v>
      </c>
      <c r="V44" s="508"/>
      <c r="W44" s="508"/>
      <c r="X44" s="508"/>
      <c r="Y44" s="508"/>
      <c r="Z44" s="508"/>
      <c r="AA44" s="508"/>
      <c r="AB44" s="508"/>
      <c r="AC44" s="524"/>
      <c r="AD44" s="517"/>
      <c r="AE44" s="517"/>
      <c r="AF44" s="517"/>
      <c r="AG44" s="517"/>
      <c r="AH44" s="517"/>
    </row>
    <row r="45" spans="1:34" s="518" customFormat="1" ht="12" hidden="1" customHeight="1">
      <c r="A45" s="520"/>
      <c r="B45" s="515"/>
      <c r="C45" s="464" t="s">
        <v>252</v>
      </c>
      <c r="D45" s="811" t="s">
        <v>251</v>
      </c>
      <c r="E45" s="811"/>
      <c r="F45" s="657">
        <v>1</v>
      </c>
      <c r="G45" s="465">
        <v>0</v>
      </c>
      <c r="H45" s="466">
        <v>90</v>
      </c>
      <c r="I45" s="466">
        <v>20</v>
      </c>
      <c r="J45" s="466">
        <v>0</v>
      </c>
      <c r="K45" s="467" t="s">
        <v>737</v>
      </c>
      <c r="L45" s="467">
        <v>1</v>
      </c>
      <c r="M45" s="468">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69">
        <f>ROUND(F45*G45*L45*M45,2)</f>
        <v>0</v>
      </c>
      <c r="O45" s="470"/>
      <c r="P45" s="471"/>
      <c r="Q45" s="525" t="str">
        <f t="shared" si="8"/>
        <v>verbergen</v>
      </c>
      <c r="R45" s="516"/>
      <c r="S45" s="516"/>
      <c r="T45" s="507"/>
      <c r="U45" s="507">
        <v>1</v>
      </c>
      <c r="V45" s="508"/>
      <c r="W45" s="508"/>
      <c r="X45" s="508"/>
      <c r="Y45" s="508"/>
      <c r="Z45" s="508"/>
      <c r="AA45" s="508"/>
      <c r="AB45" s="508"/>
      <c r="AC45" s="524"/>
      <c r="AD45" s="517"/>
      <c r="AE45" s="517"/>
      <c r="AF45" s="517"/>
      <c r="AG45" s="517"/>
      <c r="AH45" s="517"/>
    </row>
    <row r="46" spans="1:34" s="518" customFormat="1" ht="12" hidden="1" customHeight="1">
      <c r="A46" s="550"/>
      <c r="B46" s="551"/>
      <c r="C46" s="472" t="s">
        <v>252</v>
      </c>
      <c r="D46" s="812" t="s">
        <v>251</v>
      </c>
      <c r="E46" s="812"/>
      <c r="F46" s="727">
        <v>1</v>
      </c>
      <c r="G46" s="473">
        <v>0</v>
      </c>
      <c r="H46" s="474">
        <v>90</v>
      </c>
      <c r="I46" s="474">
        <v>20</v>
      </c>
      <c r="J46" s="474">
        <v>0</v>
      </c>
      <c r="K46" s="475" t="s">
        <v>737</v>
      </c>
      <c r="L46" s="475">
        <v>1</v>
      </c>
      <c r="M46" s="476">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77">
        <f>ROUND(F46*G46*L46*M46,2)</f>
        <v>0</v>
      </c>
      <c r="O46" s="478"/>
      <c r="P46" s="479"/>
      <c r="Q46" s="525" t="str">
        <f t="shared" si="8"/>
        <v>verbergen</v>
      </c>
      <c r="R46" s="516"/>
      <c r="S46" s="516"/>
      <c r="T46" s="507"/>
      <c r="U46" s="507">
        <v>1</v>
      </c>
      <c r="V46" s="508"/>
      <c r="W46" s="508"/>
      <c r="X46" s="508"/>
      <c r="Y46" s="508"/>
      <c r="Z46" s="508"/>
      <c r="AA46" s="508"/>
      <c r="AB46" s="508"/>
      <c r="AC46" s="524"/>
      <c r="AD46" s="517"/>
      <c r="AE46" s="517"/>
      <c r="AF46" s="517"/>
      <c r="AG46" s="517"/>
      <c r="AH46" s="517"/>
    </row>
    <row r="47" spans="1:34" s="518" customFormat="1" ht="12" customHeight="1">
      <c r="A47" s="552"/>
      <c r="B47" s="553">
        <v>1</v>
      </c>
      <c r="C47" s="480">
        <f>B47</f>
        <v>1</v>
      </c>
      <c r="D47" s="481">
        <f>IF(O47&gt;P47,P47*10,O47*10)</f>
        <v>28.450000000000003</v>
      </c>
      <c r="E47" s="813" t="str">
        <f>IF(O47&lt;P47,(P47*10)-(O47*10),"(voldoet)")</f>
        <v>(voldoet)</v>
      </c>
      <c r="F47" s="813"/>
      <c r="G47" s="813"/>
      <c r="H47" s="482"/>
      <c r="I47" s="482"/>
      <c r="J47" s="483"/>
      <c r="K47" s="484"/>
      <c r="L47" s="485"/>
      <c r="M47" s="485"/>
      <c r="N47" s="485"/>
      <c r="O47" s="486">
        <f>SUM(N42:N47)</f>
        <v>4.3</v>
      </c>
      <c r="P47" s="486">
        <f>SUMPRODUCT(($AD$1:$AD$28232)*($AC$1:$AC$28232=B47))*verzamelblad!$Y$7/100</f>
        <v>2.8450000000000002</v>
      </c>
      <c r="Q47" s="554"/>
      <c r="R47" s="554"/>
      <c r="S47" s="554"/>
      <c r="T47" s="554"/>
      <c r="U47" s="507">
        <v>1</v>
      </c>
      <c r="V47" s="508"/>
      <c r="W47" s="508"/>
      <c r="X47" s="508"/>
      <c r="Y47" s="555">
        <f>IF(E47="(voldoet)",0,IF(E47="(voldoet niet)",D47,E47))</f>
        <v>0</v>
      </c>
      <c r="Z47" s="508"/>
      <c r="AA47" s="508"/>
      <c r="AB47" s="508"/>
      <c r="AC47" s="517"/>
      <c r="AD47" s="517"/>
      <c r="AE47" s="508"/>
      <c r="AF47" s="517"/>
      <c r="AG47" s="517"/>
      <c r="AH47" s="517"/>
    </row>
    <row r="48" spans="1:34" ht="12" customHeight="1">
      <c r="A48" s="492"/>
      <c r="B48" s="492"/>
      <c r="C48" s="487"/>
      <c r="D48" s="487"/>
      <c r="E48" s="487"/>
      <c r="F48" s="463"/>
      <c r="G48" s="463"/>
      <c r="H48" s="456"/>
      <c r="I48" s="456"/>
      <c r="J48" s="456"/>
      <c r="K48" s="456"/>
      <c r="L48" s="456"/>
      <c r="M48" s="456"/>
      <c r="N48" s="456"/>
      <c r="O48" s="488"/>
      <c r="P48" s="489"/>
      <c r="Q48" s="507"/>
      <c r="R48" s="507"/>
      <c r="S48" s="507"/>
      <c r="T48" s="507"/>
      <c r="U48" s="507">
        <v>1</v>
      </c>
      <c r="V48" s="508"/>
      <c r="W48" s="508"/>
      <c r="X48" s="508"/>
      <c r="Y48" s="508"/>
      <c r="Z48" s="508"/>
      <c r="AA48" s="508"/>
      <c r="AB48" s="508"/>
      <c r="AC48" s="524"/>
      <c r="AD48" s="508"/>
      <c r="AE48" s="508"/>
      <c r="AF48" s="508"/>
      <c r="AG48" s="508"/>
      <c r="AH48" s="508"/>
    </row>
    <row r="49" spans="1:34" s="541" customFormat="1" ht="12" customHeight="1">
      <c r="A49" s="543"/>
      <c r="B49" s="543"/>
      <c r="C49" s="464" t="str">
        <f>L29</f>
        <v>keuken</v>
      </c>
      <c r="D49" s="811" t="s">
        <v>1153</v>
      </c>
      <c r="E49" s="811"/>
      <c r="F49" s="657">
        <v>1</v>
      </c>
      <c r="G49" s="465">
        <v>4.95</v>
      </c>
      <c r="H49" s="466">
        <v>90</v>
      </c>
      <c r="I49" s="466">
        <v>20</v>
      </c>
      <c r="J49" s="466">
        <v>66</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0.39</v>
      </c>
      <c r="N49" s="469">
        <f>ROUND(F49*G49*L49*M49,2)</f>
        <v>1.93</v>
      </c>
      <c r="O49" s="470"/>
      <c r="P49" s="404"/>
      <c r="Q49" s="729" t="str">
        <f>IF(G49=0,"verbergen","")</f>
        <v/>
      </c>
      <c r="R49" s="404"/>
      <c r="S49" s="404"/>
      <c r="T49" s="392"/>
      <c r="U49" s="547">
        <f>U48+1</f>
        <v>2</v>
      </c>
      <c r="V49" s="547"/>
      <c r="W49" s="547"/>
      <c r="X49" s="547"/>
      <c r="Y49" s="547"/>
      <c r="Z49" s="547"/>
      <c r="AA49" s="404"/>
      <c r="AB49" s="507"/>
      <c r="AC49" s="516"/>
      <c r="AD49" s="516"/>
      <c r="AE49" s="516"/>
      <c r="AF49" s="507"/>
      <c r="AG49" s="516"/>
      <c r="AH49" s="516"/>
    </row>
    <row r="50" spans="1:34" s="541" customFormat="1" ht="12" customHeight="1">
      <c r="A50" s="543"/>
      <c r="B50" s="543"/>
      <c r="C50" s="464" t="str">
        <f>L29</f>
        <v>keuken</v>
      </c>
      <c r="D50" s="811" t="s">
        <v>1154</v>
      </c>
      <c r="E50" s="811"/>
      <c r="F50" s="657">
        <v>1</v>
      </c>
      <c r="G50" s="465">
        <v>1.01</v>
      </c>
      <c r="H50" s="466">
        <v>90</v>
      </c>
      <c r="I50" s="466">
        <v>20</v>
      </c>
      <c r="J50" s="466">
        <v>39</v>
      </c>
      <c r="K50" s="467" t="s">
        <v>737</v>
      </c>
      <c r="L50" s="467">
        <v>1</v>
      </c>
      <c r="M50" s="468">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0.71</v>
      </c>
      <c r="N50" s="469">
        <f>ROUND(F50*G50*L50*M50,2)</f>
        <v>0.72</v>
      </c>
      <c r="O50" s="470"/>
      <c r="P50" s="471"/>
      <c r="Q50" s="729" t="str">
        <f>IF(G50=0,"verbergen","")</f>
        <v/>
      </c>
      <c r="R50" s="404"/>
      <c r="S50" s="404"/>
      <c r="T50" s="392"/>
      <c r="U50" s="547">
        <f t="shared" ref="U50:U55" si="9">U49</f>
        <v>2</v>
      </c>
      <c r="V50" s="547"/>
      <c r="W50" s="547"/>
      <c r="X50" s="547"/>
      <c r="Y50" s="547"/>
      <c r="Z50" s="547"/>
      <c r="AA50" s="404"/>
      <c r="AB50" s="507"/>
      <c r="AC50" s="516"/>
      <c r="AD50" s="516"/>
      <c r="AE50" s="516"/>
      <c r="AF50" s="507"/>
      <c r="AG50" s="516"/>
      <c r="AH50" s="516"/>
    </row>
    <row r="51" spans="1:34" s="541" customFormat="1" ht="12" customHeight="1">
      <c r="A51" s="543"/>
      <c r="B51" s="543"/>
      <c r="C51" s="464" t="str">
        <f>L30</f>
        <v>bijkeuken</v>
      </c>
      <c r="D51" s="811" t="s">
        <v>1152</v>
      </c>
      <c r="E51" s="811"/>
      <c r="F51" s="657">
        <v>2</v>
      </c>
      <c r="G51" s="465">
        <v>0.89</v>
      </c>
      <c r="H51" s="466">
        <v>90</v>
      </c>
      <c r="I51" s="466">
        <v>31</v>
      </c>
      <c r="J51" s="466">
        <v>30</v>
      </c>
      <c r="K51" s="467" t="s">
        <v>737</v>
      </c>
      <c r="L51" s="467">
        <v>1</v>
      </c>
      <c r="M51" s="468">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0.67</v>
      </c>
      <c r="N51" s="469">
        <f>ROUND(F51*G51*L51*M51,2)</f>
        <v>1.19</v>
      </c>
      <c r="O51" s="470"/>
      <c r="P51" s="471"/>
      <c r="Q51" s="729" t="str">
        <f>IF(G51=0,"verbergen","")</f>
        <v/>
      </c>
      <c r="R51" s="404"/>
      <c r="S51" s="404"/>
      <c r="T51" s="392"/>
      <c r="U51" s="547">
        <f t="shared" si="9"/>
        <v>2</v>
      </c>
      <c r="V51" s="547"/>
      <c r="W51" s="547"/>
      <c r="X51" s="547"/>
      <c r="Y51" s="547"/>
      <c r="Z51" s="547"/>
      <c r="AA51" s="404"/>
      <c r="AB51" s="507"/>
      <c r="AC51" s="516"/>
      <c r="AD51" s="516"/>
      <c r="AE51" s="516"/>
      <c r="AF51" s="507"/>
      <c r="AG51" s="516"/>
      <c r="AH51" s="516"/>
    </row>
    <row r="52" spans="1:34" s="541" customFormat="1" ht="12" hidden="1" customHeight="1">
      <c r="A52" s="543"/>
      <c r="B52" s="543"/>
      <c r="C52" s="464" t="s">
        <v>252</v>
      </c>
      <c r="D52" s="811" t="s">
        <v>251</v>
      </c>
      <c r="E52" s="811"/>
      <c r="F52" s="657">
        <v>1</v>
      </c>
      <c r="G52" s="465">
        <v>0</v>
      </c>
      <c r="H52" s="466">
        <v>90</v>
      </c>
      <c r="I52" s="466">
        <v>20</v>
      </c>
      <c r="J52" s="466">
        <v>0</v>
      </c>
      <c r="K52" s="467" t="s">
        <v>737</v>
      </c>
      <c r="L52" s="467">
        <v>1</v>
      </c>
      <c r="M52" s="468">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69">
        <f>ROUND(F52*G52*L52*M52,2)</f>
        <v>0</v>
      </c>
      <c r="O52" s="470"/>
      <c r="P52" s="471"/>
      <c r="Q52" s="729" t="str">
        <f>IF(G52=0,"verbergen","")</f>
        <v>verbergen</v>
      </c>
      <c r="R52" s="404"/>
      <c r="S52" s="404"/>
      <c r="T52" s="392"/>
      <c r="U52" s="547">
        <f t="shared" si="9"/>
        <v>2</v>
      </c>
      <c r="V52" s="547"/>
      <c r="W52" s="547"/>
      <c r="X52" s="547"/>
      <c r="Y52" s="547"/>
      <c r="Z52" s="547"/>
      <c r="AA52" s="404"/>
      <c r="AB52" s="507"/>
      <c r="AC52" s="516"/>
      <c r="AD52" s="516"/>
      <c r="AE52" s="516"/>
      <c r="AF52" s="507"/>
      <c r="AG52" s="516"/>
      <c r="AH52" s="516"/>
    </row>
    <row r="53" spans="1:34" s="541" customFormat="1" ht="12" hidden="1" customHeight="1">
      <c r="A53" s="543"/>
      <c r="B53" s="543"/>
      <c r="C53" s="464" t="s">
        <v>252</v>
      </c>
      <c r="D53" s="812" t="s">
        <v>251</v>
      </c>
      <c r="E53" s="812"/>
      <c r="F53" s="727">
        <v>1</v>
      </c>
      <c r="G53" s="473">
        <v>0</v>
      </c>
      <c r="H53" s="474">
        <v>90</v>
      </c>
      <c r="I53" s="474">
        <v>20</v>
      </c>
      <c r="J53" s="474">
        <v>0</v>
      </c>
      <c r="K53" s="475" t="s">
        <v>737</v>
      </c>
      <c r="L53" s="475">
        <v>1</v>
      </c>
      <c r="M53" s="476">
        <f>IF(H53&gt;80,(IF(J53&gt;75,0,IF(I53&gt;80,0,INDEX(verzamelblad!$A$81:$BK$158, MATCH((CEILING(IF(J53&gt;=75,75,J53),1)),verzamelblad!$A$81:$A$158,), MATCH((CEILING(IF(I53&lt;=20,20,IF(I53&gt;=80,80,I53)),1)),verzamelblad!$A$81:$BK$81,))))),IF(I53&gt;75,0,INDEX(verzamelblad!$A$164:$BM$245, MATCH((CEILING(IF(H53&gt;=80,80,H53),1)),verzamelblad!$A$164:$A$245,), MATCH((CEILING(IF(I53&lt;=1,1,IF(I53&gt;=75,75,I53)),1)),verzamelblad!$A$164:$BM$164,))))</f>
        <v>0.8</v>
      </c>
      <c r="N53" s="477">
        <f>ROUND(F53*G53*L53*M53,2)</f>
        <v>0</v>
      </c>
      <c r="O53" s="478"/>
      <c r="P53" s="479"/>
      <c r="Q53" s="729" t="str">
        <f>IF(G53=0,"verbergen","")</f>
        <v>verbergen</v>
      </c>
      <c r="R53" s="404"/>
      <c r="S53" s="404"/>
      <c r="T53" s="392"/>
      <c r="U53" s="547">
        <f t="shared" si="9"/>
        <v>2</v>
      </c>
      <c r="V53" s="547"/>
      <c r="W53" s="547"/>
      <c r="X53" s="547"/>
      <c r="Y53" s="547"/>
      <c r="Z53" s="547"/>
      <c r="AA53" s="404"/>
      <c r="AB53" s="507"/>
      <c r="AC53" s="516"/>
      <c r="AD53" s="516"/>
      <c r="AE53" s="516"/>
      <c r="AF53" s="507"/>
      <c r="AG53" s="516"/>
      <c r="AH53" s="516"/>
    </row>
    <row r="54" spans="1:34" s="404" customFormat="1" ht="12" customHeight="1">
      <c r="A54" s="542"/>
      <c r="B54" s="556">
        <f>B47+1</f>
        <v>2</v>
      </c>
      <c r="C54" s="480">
        <f>B54</f>
        <v>2</v>
      </c>
      <c r="D54" s="481">
        <f>IF(O54&gt;P54,P54*10,O54*10)</f>
        <v>22.400000000000002</v>
      </c>
      <c r="E54" s="813" t="str">
        <f>IF(O54&lt;P54,(P54*10)-(O54*10),"(voldoet)")</f>
        <v>(voldoet)</v>
      </c>
      <c r="F54" s="813"/>
      <c r="G54" s="813"/>
      <c r="H54" s="482"/>
      <c r="I54" s="482"/>
      <c r="J54" s="483"/>
      <c r="K54" s="484"/>
      <c r="L54" s="485"/>
      <c r="M54" s="485"/>
      <c r="N54" s="485"/>
      <c r="O54" s="486">
        <f>SUM(N49:N54)</f>
        <v>3.84</v>
      </c>
      <c r="P54" s="486">
        <f>SUMPRODUCT(($AD$1:$AD$28222)*($AC$1:$AC$28222=B54))*verzamelblad!$Y$7/100</f>
        <v>2.2400000000000002</v>
      </c>
      <c r="Q54" s="557"/>
      <c r="R54" s="557"/>
      <c r="S54" s="557"/>
      <c r="T54" s="558"/>
      <c r="U54" s="547">
        <f t="shared" si="9"/>
        <v>2</v>
      </c>
      <c r="V54" s="547"/>
      <c r="W54" s="547"/>
      <c r="X54" s="547"/>
      <c r="Y54" s="559">
        <f>IF(E54="(voldoet)",0,IF(E54="(voldoet niet)",D54,E54))</f>
        <v>0</v>
      </c>
      <c r="Z54" s="547"/>
      <c r="AB54" s="547"/>
      <c r="AC54" s="392"/>
      <c r="AD54" s="392"/>
      <c r="AE54" s="392"/>
      <c r="AF54" s="547"/>
      <c r="AG54" s="392"/>
      <c r="AH54" s="392"/>
    </row>
    <row r="55" spans="1:34" s="493" customFormat="1" ht="12" customHeight="1">
      <c r="A55" s="560"/>
      <c r="B55" s="560"/>
      <c r="C55" s="487"/>
      <c r="D55" s="487"/>
      <c r="E55" s="487"/>
      <c r="F55" s="463"/>
      <c r="G55" s="463"/>
      <c r="H55" s="456"/>
      <c r="I55" s="456"/>
      <c r="J55" s="456"/>
      <c r="K55" s="456"/>
      <c r="L55" s="456"/>
      <c r="M55" s="456"/>
      <c r="N55" s="456"/>
      <c r="O55" s="488"/>
      <c r="P55" s="489"/>
      <c r="Q55" s="451"/>
      <c r="R55" s="451"/>
      <c r="S55" s="451"/>
      <c r="T55" s="561"/>
      <c r="U55" s="547">
        <f t="shared" si="9"/>
        <v>2</v>
      </c>
      <c r="V55" s="547"/>
      <c r="W55" s="547"/>
      <c r="X55" s="547"/>
      <c r="Y55" s="547"/>
      <c r="Z55" s="547"/>
      <c r="AA55" s="451"/>
      <c r="AB55" s="507"/>
      <c r="AC55" s="507"/>
      <c r="AD55" s="507"/>
      <c r="AE55" s="507"/>
      <c r="AF55" s="507"/>
      <c r="AG55" s="507"/>
      <c r="AH55" s="507"/>
    </row>
    <row r="56" spans="1:34" s="541" customFormat="1" ht="12" customHeight="1">
      <c r="A56" s="543"/>
      <c r="B56" s="543"/>
      <c r="C56" s="464" t="str">
        <f>L31</f>
        <v>slaapkamer 1</v>
      </c>
      <c r="D56" s="811" t="s">
        <v>1155</v>
      </c>
      <c r="E56" s="811"/>
      <c r="F56" s="657">
        <v>1</v>
      </c>
      <c r="G56" s="465">
        <v>1.39</v>
      </c>
      <c r="H56" s="466">
        <v>90</v>
      </c>
      <c r="I56" s="466">
        <v>20</v>
      </c>
      <c r="J56" s="466">
        <v>33</v>
      </c>
      <c r="K56" s="467" t="s">
        <v>737</v>
      </c>
      <c r="L56" s="467">
        <v>1</v>
      </c>
      <c r="M56" s="468">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0.74</v>
      </c>
      <c r="N56" s="469">
        <f>ROUND(F56*G56*L56*M56,2)</f>
        <v>1.03</v>
      </c>
      <c r="O56" s="470"/>
      <c r="P56" s="404"/>
      <c r="Q56" s="729" t="str">
        <f>IF(G56=0,"verbergen","")</f>
        <v/>
      </c>
      <c r="R56" s="404"/>
      <c r="S56" s="404"/>
      <c r="T56" s="392"/>
      <c r="U56" s="547">
        <f>U55+1</f>
        <v>3</v>
      </c>
      <c r="V56" s="547"/>
      <c r="W56" s="547"/>
      <c r="X56" s="547"/>
      <c r="Y56" s="547"/>
      <c r="Z56" s="547"/>
      <c r="AA56" s="404"/>
      <c r="AB56" s="507"/>
      <c r="AC56" s="516"/>
      <c r="AD56" s="516"/>
      <c r="AE56" s="516"/>
      <c r="AF56" s="507"/>
      <c r="AG56" s="516"/>
      <c r="AH56" s="516"/>
    </row>
    <row r="57" spans="1:34" s="541" customFormat="1" ht="12" customHeight="1">
      <c r="A57" s="543"/>
      <c r="B57" s="543"/>
      <c r="C57" s="464" t="str">
        <f>L32</f>
        <v>slaapkamer 2</v>
      </c>
      <c r="D57" s="811" t="s">
        <v>1156</v>
      </c>
      <c r="E57" s="811"/>
      <c r="F57" s="657">
        <v>1</v>
      </c>
      <c r="G57" s="465">
        <v>1.36</v>
      </c>
      <c r="H57" s="466">
        <v>90</v>
      </c>
      <c r="I57" s="466">
        <v>20</v>
      </c>
      <c r="J57" s="466">
        <v>33</v>
      </c>
      <c r="K57" s="467" t="s">
        <v>737</v>
      </c>
      <c r="L57" s="467">
        <v>1</v>
      </c>
      <c r="M57" s="468">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0.74</v>
      </c>
      <c r="N57" s="469">
        <f>ROUND(F57*G57*L57*M57,2)</f>
        <v>1.01</v>
      </c>
      <c r="O57" s="470"/>
      <c r="P57" s="471"/>
      <c r="Q57" s="729" t="str">
        <f>IF(G57=0,"verbergen","")</f>
        <v/>
      </c>
      <c r="R57" s="404"/>
      <c r="S57" s="404"/>
      <c r="T57" s="392"/>
      <c r="U57" s="547">
        <f t="shared" ref="U57:U62" si="10">U56</f>
        <v>3</v>
      </c>
      <c r="V57" s="547"/>
      <c r="W57" s="547"/>
      <c r="X57" s="547"/>
      <c r="Y57" s="547"/>
      <c r="Z57" s="547"/>
      <c r="AA57" s="404"/>
      <c r="AB57" s="507"/>
      <c r="AC57" s="516"/>
      <c r="AD57" s="516"/>
      <c r="AE57" s="516"/>
      <c r="AF57" s="507"/>
      <c r="AG57" s="516"/>
      <c r="AH57" s="516"/>
    </row>
    <row r="58" spans="1:34" s="541" customFormat="1" ht="12" customHeight="1">
      <c r="A58" s="543"/>
      <c r="B58" s="543"/>
      <c r="C58" s="464" t="str">
        <f>L33</f>
        <v>studeerkamer</v>
      </c>
      <c r="D58" s="811" t="s">
        <v>1157</v>
      </c>
      <c r="E58" s="811"/>
      <c r="F58" s="657">
        <v>1</v>
      </c>
      <c r="G58" s="465">
        <v>1.59</v>
      </c>
      <c r="H58" s="466">
        <v>90</v>
      </c>
      <c r="I58" s="466">
        <v>20</v>
      </c>
      <c r="J58" s="466">
        <v>39</v>
      </c>
      <c r="K58" s="467" t="s">
        <v>737</v>
      </c>
      <c r="L58" s="467">
        <v>1</v>
      </c>
      <c r="M58" s="468">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0.71</v>
      </c>
      <c r="N58" s="469">
        <f>ROUND(F58*G58*L58*M58,2)</f>
        <v>1.1299999999999999</v>
      </c>
      <c r="O58" s="470"/>
      <c r="P58" s="471"/>
      <c r="Q58" s="729" t="str">
        <f>IF(G58=0,"verbergen","")</f>
        <v/>
      </c>
      <c r="R58" s="404"/>
      <c r="S58" s="404"/>
      <c r="T58" s="392"/>
      <c r="U58" s="547">
        <f t="shared" si="10"/>
        <v>3</v>
      </c>
      <c r="V58" s="547"/>
      <c r="W58" s="547"/>
      <c r="X58" s="547"/>
      <c r="Y58" s="547"/>
      <c r="Z58" s="547"/>
      <c r="AA58" s="404"/>
      <c r="AB58" s="507"/>
      <c r="AC58" s="516"/>
      <c r="AD58" s="516"/>
      <c r="AE58" s="516"/>
      <c r="AF58" s="507"/>
      <c r="AG58" s="516"/>
      <c r="AH58" s="516"/>
    </row>
    <row r="59" spans="1:34" s="541" customFormat="1" ht="12" hidden="1" customHeight="1">
      <c r="A59" s="543"/>
      <c r="B59" s="543"/>
      <c r="C59" s="464" t="s">
        <v>252</v>
      </c>
      <c r="D59" s="811" t="s">
        <v>251</v>
      </c>
      <c r="E59" s="811"/>
      <c r="F59" s="657">
        <v>1</v>
      </c>
      <c r="G59" s="465">
        <v>0</v>
      </c>
      <c r="H59" s="466">
        <v>90</v>
      </c>
      <c r="I59" s="466">
        <v>20</v>
      </c>
      <c r="J59" s="466">
        <v>0</v>
      </c>
      <c r="K59" s="467" t="s">
        <v>737</v>
      </c>
      <c r="L59" s="467">
        <v>1</v>
      </c>
      <c r="M59" s="468">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0.8</v>
      </c>
      <c r="N59" s="469">
        <f>ROUND(F59*G59*L59*M59,2)</f>
        <v>0</v>
      </c>
      <c r="O59" s="470"/>
      <c r="P59" s="471"/>
      <c r="Q59" s="729" t="str">
        <f>IF(G59=0,"verbergen","")</f>
        <v>verbergen</v>
      </c>
      <c r="R59" s="404"/>
      <c r="S59" s="404"/>
      <c r="T59" s="392"/>
      <c r="U59" s="547">
        <f t="shared" si="10"/>
        <v>3</v>
      </c>
      <c r="V59" s="547"/>
      <c r="W59" s="547"/>
      <c r="X59" s="547"/>
      <c r="Y59" s="547"/>
      <c r="Z59" s="547"/>
      <c r="AA59" s="404"/>
      <c r="AB59" s="507"/>
      <c r="AC59" s="516"/>
      <c r="AD59" s="516"/>
      <c r="AE59" s="516"/>
      <c r="AF59" s="507"/>
      <c r="AG59" s="516"/>
      <c r="AH59" s="516"/>
    </row>
    <row r="60" spans="1:34" s="541" customFormat="1" ht="12" hidden="1" customHeight="1">
      <c r="A60" s="543"/>
      <c r="B60" s="543"/>
      <c r="C60" s="472" t="s">
        <v>252</v>
      </c>
      <c r="D60" s="812" t="s">
        <v>251</v>
      </c>
      <c r="E60" s="812"/>
      <c r="F60" s="727">
        <v>1</v>
      </c>
      <c r="G60" s="473">
        <v>0</v>
      </c>
      <c r="H60" s="474">
        <v>90</v>
      </c>
      <c r="I60" s="474">
        <v>20</v>
      </c>
      <c r="J60" s="474">
        <v>0</v>
      </c>
      <c r="K60" s="475" t="s">
        <v>737</v>
      </c>
      <c r="L60" s="475">
        <v>1</v>
      </c>
      <c r="M60" s="476">
        <f>IF(H60&gt;80,(IF(J60&gt;75,0,IF(I60&gt;80,0,INDEX(verzamelblad!$A$81:$BK$158, MATCH((CEILING(IF(J60&gt;=75,75,J60),1)),verzamelblad!$A$81:$A$158,), MATCH((CEILING(IF(I60&lt;=20,20,IF(I60&gt;=80,80,I60)),1)),verzamelblad!$A$81:$BK$81,))))),IF(I60&gt;75,0,INDEX(verzamelblad!$A$164:$BM$245, MATCH((CEILING(IF(H60&gt;=80,80,H60),1)),verzamelblad!$A$164:$A$245,), MATCH((CEILING(IF(I60&lt;=1,1,IF(I60&gt;=75,75,I60)),1)),verzamelblad!$A$164:$BM$164,))))</f>
        <v>0.8</v>
      </c>
      <c r="N60" s="477">
        <f>ROUND(F60*G60*L60*M60,2)</f>
        <v>0</v>
      </c>
      <c r="O60" s="478"/>
      <c r="P60" s="479"/>
      <c r="Q60" s="729" t="str">
        <f>IF(G60=0,"verbergen","")</f>
        <v>verbergen</v>
      </c>
      <c r="R60" s="404"/>
      <c r="S60" s="404"/>
      <c r="T60" s="392"/>
      <c r="U60" s="547">
        <f t="shared" si="10"/>
        <v>3</v>
      </c>
      <c r="V60" s="547"/>
      <c r="W60" s="547"/>
      <c r="X60" s="547"/>
      <c r="Y60" s="547"/>
      <c r="Z60" s="547"/>
      <c r="AA60" s="404"/>
      <c r="AB60" s="507"/>
      <c r="AC60" s="516"/>
      <c r="AD60" s="516"/>
      <c r="AE60" s="516"/>
      <c r="AF60" s="507"/>
      <c r="AG60" s="516"/>
      <c r="AH60" s="516"/>
    </row>
    <row r="61" spans="1:34" s="404" customFormat="1" ht="12" customHeight="1">
      <c r="A61" s="542"/>
      <c r="B61" s="556">
        <f>B54+1</f>
        <v>3</v>
      </c>
      <c r="C61" s="480">
        <f>B61</f>
        <v>3</v>
      </c>
      <c r="D61" s="481">
        <f>IF(O61&gt;P61,P61*10,O61*10)</f>
        <v>22.21</v>
      </c>
      <c r="E61" s="813" t="str">
        <f>IF(O61&lt;P61,(P61*10)-(O61*10),"(voldoet)")</f>
        <v>(voldoet)</v>
      </c>
      <c r="F61" s="813"/>
      <c r="G61" s="813"/>
      <c r="H61" s="482"/>
      <c r="I61" s="482"/>
      <c r="J61" s="483"/>
      <c r="K61" s="484"/>
      <c r="L61" s="485"/>
      <c r="M61" s="485"/>
      <c r="N61" s="485"/>
      <c r="O61" s="486">
        <f>SUM(N56:N61)</f>
        <v>3.17</v>
      </c>
      <c r="P61" s="486">
        <f>SUMPRODUCT(($AD$1:$AD$28206)*($AC$1:$AC$28206=B61))*verzamelblad!$Y$7/100</f>
        <v>2.2210000000000001</v>
      </c>
      <c r="Q61" s="557"/>
      <c r="R61" s="557"/>
      <c r="S61" s="557"/>
      <c r="T61" s="558"/>
      <c r="U61" s="547">
        <f t="shared" si="10"/>
        <v>3</v>
      </c>
      <c r="V61" s="547"/>
      <c r="W61" s="547"/>
      <c r="X61" s="547"/>
      <c r="Y61" s="559">
        <f>IF(E61="(voldoet)",0,IF(E61="(voldoet niet)",D61,E61))</f>
        <v>0</v>
      </c>
      <c r="Z61" s="547"/>
      <c r="AB61" s="547"/>
      <c r="AC61" s="392"/>
      <c r="AD61" s="392"/>
      <c r="AE61" s="392"/>
      <c r="AF61" s="547"/>
      <c r="AG61" s="392"/>
      <c r="AH61" s="392"/>
    </row>
    <row r="62" spans="1:34" s="493" customFormat="1" ht="12" customHeight="1">
      <c r="A62" s="560"/>
      <c r="B62" s="560"/>
      <c r="C62" s="487"/>
      <c r="D62" s="487"/>
      <c r="E62" s="487"/>
      <c r="F62" s="463"/>
      <c r="G62" s="463"/>
      <c r="H62" s="456"/>
      <c r="I62" s="456"/>
      <c r="J62" s="456"/>
      <c r="K62" s="456"/>
      <c r="L62" s="456"/>
      <c r="M62" s="456"/>
      <c r="N62" s="456"/>
      <c r="O62" s="488"/>
      <c r="P62" s="489"/>
      <c r="Q62" s="451"/>
      <c r="R62" s="451"/>
      <c r="S62" s="451"/>
      <c r="T62" s="561"/>
      <c r="U62" s="547">
        <f t="shared" si="10"/>
        <v>3</v>
      </c>
      <c r="V62" s="547"/>
      <c r="W62" s="547"/>
      <c r="X62" s="547"/>
      <c r="Y62" s="547"/>
      <c r="Z62" s="547"/>
      <c r="AA62" s="451"/>
      <c r="AB62" s="507"/>
      <c r="AC62" s="507"/>
      <c r="AD62" s="507"/>
      <c r="AE62" s="507"/>
      <c r="AF62" s="507"/>
      <c r="AG62" s="507"/>
      <c r="AH62" s="507"/>
    </row>
    <row r="63" spans="1:34" s="541" customFormat="1" ht="12" customHeight="1">
      <c r="A63" s="543"/>
      <c r="B63" s="543"/>
      <c r="C63" s="464" t="str">
        <f>L34</f>
        <v>slaapkamer 3</v>
      </c>
      <c r="D63" s="811" t="s">
        <v>1155</v>
      </c>
      <c r="E63" s="811"/>
      <c r="F63" s="657">
        <v>2</v>
      </c>
      <c r="G63" s="465">
        <v>1</v>
      </c>
      <c r="H63" s="466">
        <v>90</v>
      </c>
      <c r="I63" s="466">
        <v>45</v>
      </c>
      <c r="J63" s="466">
        <v>33</v>
      </c>
      <c r="K63" s="467" t="s">
        <v>737</v>
      </c>
      <c r="L63" s="467">
        <v>1</v>
      </c>
      <c r="M63" s="468">
        <f>IF(H63&gt;80,(IF(J63&gt;75,0,IF(I63&gt;80,0,INDEX(verzamelblad!$A$81:$BK$158, MATCH((CEILING(IF(J63&gt;=75,75,J63),1)),verzamelblad!$A$81:$A$158,), MATCH((CEILING(IF(I63&lt;=20,20,IF(I63&gt;=80,80,I63)),1)),verzamelblad!$A$81:$BK$81,))))),IF(I63&gt;75,0,INDEX(verzamelblad!$A$164:$BM$245, MATCH((CEILING(IF(H63&gt;=80,80,H63),1)),verzamelblad!$A$164:$A$245,), MATCH((CEILING(IF(I63&lt;=1,1,IF(I63&gt;=75,75,I63)),1)),verzamelblad!$A$164:$BM$164,))))</f>
        <v>0.53</v>
      </c>
      <c r="N63" s="469">
        <f>ROUND(F63*G63*L63*M63,2)</f>
        <v>1.06</v>
      </c>
      <c r="O63" s="470"/>
      <c r="P63" s="404"/>
      <c r="Q63" s="729" t="str">
        <f>IF(G63=0,"verbergen","")</f>
        <v/>
      </c>
      <c r="R63" s="404"/>
      <c r="S63" s="404"/>
      <c r="T63" s="392"/>
      <c r="U63" s="547">
        <f>U62+1</f>
        <v>4</v>
      </c>
      <c r="V63" s="547"/>
      <c r="W63" s="547"/>
      <c r="X63" s="547"/>
      <c r="Y63" s="547"/>
      <c r="Z63" s="547"/>
      <c r="AA63" s="404"/>
      <c r="AB63" s="507"/>
      <c r="AC63" s="516"/>
      <c r="AD63" s="516"/>
      <c r="AE63" s="516"/>
      <c r="AF63" s="507"/>
      <c r="AG63" s="516"/>
      <c r="AH63" s="516"/>
    </row>
    <row r="64" spans="1:34" s="541" customFormat="1" ht="12" hidden="1" customHeight="1">
      <c r="A64" s="543"/>
      <c r="B64" s="543"/>
      <c r="C64" s="464" t="s">
        <v>252</v>
      </c>
      <c r="D64" s="811" t="s">
        <v>251</v>
      </c>
      <c r="E64" s="811"/>
      <c r="F64" s="657">
        <v>1</v>
      </c>
      <c r="G64" s="465">
        <v>0</v>
      </c>
      <c r="H64" s="466">
        <v>90</v>
      </c>
      <c r="I64" s="466">
        <v>20</v>
      </c>
      <c r="J64" s="466">
        <v>0</v>
      </c>
      <c r="K64" s="467" t="s">
        <v>737</v>
      </c>
      <c r="L64" s="467">
        <v>1</v>
      </c>
      <c r="M64" s="468">
        <f>IF(H64&gt;80,(IF(J64&gt;75,0,IF(I64&gt;80,0,INDEX(verzamelblad!$A$81:$BK$158, MATCH((CEILING(IF(J64&gt;=75,75,J64),1)),verzamelblad!$A$81:$A$158,), MATCH((CEILING(IF(I64&lt;=20,20,IF(I64&gt;=80,80,I64)),1)),verzamelblad!$A$81:$BK$81,))))),IF(I64&gt;75,0,INDEX(verzamelblad!$A$164:$BM$245, MATCH((CEILING(IF(H64&gt;=80,80,H64),1)),verzamelblad!$A$164:$A$245,), MATCH((CEILING(IF(I64&lt;=1,1,IF(I64&gt;=75,75,I64)),1)),verzamelblad!$A$164:$BM$164,))))</f>
        <v>0.8</v>
      </c>
      <c r="N64" s="469">
        <f>ROUND(F64*G64*L64*M64,2)</f>
        <v>0</v>
      </c>
      <c r="O64" s="470"/>
      <c r="P64" s="471"/>
      <c r="Q64" s="729" t="str">
        <f>IF(G64=0,"verbergen","")</f>
        <v>verbergen</v>
      </c>
      <c r="R64" s="404"/>
      <c r="S64" s="404"/>
      <c r="T64" s="392"/>
      <c r="U64" s="547">
        <f t="shared" ref="U64:U69" si="11">U63</f>
        <v>4</v>
      </c>
      <c r="V64" s="547"/>
      <c r="W64" s="547"/>
      <c r="X64" s="547"/>
      <c r="Y64" s="547"/>
      <c r="Z64" s="547"/>
      <c r="AA64" s="404"/>
      <c r="AB64" s="507"/>
      <c r="AC64" s="516"/>
      <c r="AD64" s="516"/>
      <c r="AE64" s="516"/>
      <c r="AF64" s="507"/>
      <c r="AG64" s="516"/>
      <c r="AH64" s="516"/>
    </row>
    <row r="65" spans="1:43" s="541" customFormat="1" ht="12" hidden="1" customHeight="1">
      <c r="A65" s="543"/>
      <c r="B65" s="543"/>
      <c r="C65" s="464" t="s">
        <v>252</v>
      </c>
      <c r="D65" s="811" t="s">
        <v>251</v>
      </c>
      <c r="E65" s="811"/>
      <c r="F65" s="657">
        <v>1</v>
      </c>
      <c r="G65" s="465">
        <v>0</v>
      </c>
      <c r="H65" s="466">
        <v>90</v>
      </c>
      <c r="I65" s="466">
        <v>20</v>
      </c>
      <c r="J65" s="466">
        <v>0</v>
      </c>
      <c r="K65" s="467" t="s">
        <v>737</v>
      </c>
      <c r="L65" s="467">
        <v>1</v>
      </c>
      <c r="M65" s="468">
        <f>IF(H65&gt;80,(IF(J65&gt;75,0,IF(I65&gt;80,0,INDEX(verzamelblad!$A$81:$BK$158, MATCH((CEILING(IF(J65&gt;=75,75,J65),1)),verzamelblad!$A$81:$A$158,), MATCH((CEILING(IF(I65&lt;=20,20,IF(I65&gt;=80,80,I65)),1)),verzamelblad!$A$81:$BK$81,))))),IF(I65&gt;75,0,INDEX(verzamelblad!$A$164:$BM$245, MATCH((CEILING(IF(H65&gt;=80,80,H65),1)),verzamelblad!$A$164:$A$245,), MATCH((CEILING(IF(I65&lt;=1,1,IF(I65&gt;=75,75,I65)),1)),verzamelblad!$A$164:$BM$164,))))</f>
        <v>0.8</v>
      </c>
      <c r="N65" s="469">
        <f>ROUND(F65*G65*L65*M65,2)</f>
        <v>0</v>
      </c>
      <c r="O65" s="470"/>
      <c r="P65" s="471"/>
      <c r="Q65" s="729" t="str">
        <f>IF(G65=0,"verbergen","")</f>
        <v>verbergen</v>
      </c>
      <c r="R65" s="404"/>
      <c r="S65" s="404"/>
      <c r="T65" s="392"/>
      <c r="U65" s="547">
        <f t="shared" si="11"/>
        <v>4</v>
      </c>
      <c r="V65" s="547"/>
      <c r="W65" s="547"/>
      <c r="X65" s="547"/>
      <c r="Y65" s="547"/>
      <c r="Z65" s="547"/>
      <c r="AA65" s="404"/>
      <c r="AB65" s="507"/>
      <c r="AC65" s="516"/>
      <c r="AD65" s="516"/>
      <c r="AE65" s="516"/>
      <c r="AF65" s="507"/>
      <c r="AG65" s="516"/>
      <c r="AH65" s="516"/>
    </row>
    <row r="66" spans="1:43" s="541" customFormat="1" ht="12" hidden="1" customHeight="1">
      <c r="A66" s="543"/>
      <c r="B66" s="543"/>
      <c r="C66" s="464" t="s">
        <v>252</v>
      </c>
      <c r="D66" s="811" t="s">
        <v>251</v>
      </c>
      <c r="E66" s="811"/>
      <c r="F66" s="657">
        <v>1</v>
      </c>
      <c r="G66" s="465">
        <v>0</v>
      </c>
      <c r="H66" s="466">
        <v>90</v>
      </c>
      <c r="I66" s="466">
        <v>20</v>
      </c>
      <c r="J66" s="466">
        <v>0</v>
      </c>
      <c r="K66" s="467" t="s">
        <v>737</v>
      </c>
      <c r="L66" s="467">
        <v>1</v>
      </c>
      <c r="M66" s="468">
        <f>IF(H66&gt;80,(IF(J66&gt;75,0,IF(I66&gt;80,0,INDEX(verzamelblad!$A$81:$BK$158, MATCH((CEILING(IF(J66&gt;=75,75,J66),1)),verzamelblad!$A$81:$A$158,), MATCH((CEILING(IF(I66&lt;=20,20,IF(I66&gt;=80,80,I66)),1)),verzamelblad!$A$81:$BK$81,))))),IF(I66&gt;75,0,INDEX(verzamelblad!$A$164:$BM$245, MATCH((CEILING(IF(H66&gt;=80,80,H66),1)),verzamelblad!$A$164:$A$245,), MATCH((CEILING(IF(I66&lt;=1,1,IF(I66&gt;=75,75,I66)),1)),verzamelblad!$A$164:$BM$164,))))</f>
        <v>0.8</v>
      </c>
      <c r="N66" s="469">
        <f>ROUND(F66*G66*L66*M66,2)</f>
        <v>0</v>
      </c>
      <c r="O66" s="470"/>
      <c r="P66" s="471"/>
      <c r="Q66" s="729" t="str">
        <f>IF(G66=0,"verbergen","")</f>
        <v>verbergen</v>
      </c>
      <c r="R66" s="404"/>
      <c r="S66" s="404"/>
      <c r="T66" s="392"/>
      <c r="U66" s="547">
        <f t="shared" si="11"/>
        <v>4</v>
      </c>
      <c r="V66" s="547"/>
      <c r="W66" s="547"/>
      <c r="X66" s="547"/>
      <c r="Y66" s="547"/>
      <c r="Z66" s="547"/>
      <c r="AA66" s="404"/>
      <c r="AB66" s="507"/>
      <c r="AC66" s="516"/>
      <c r="AD66" s="516"/>
      <c r="AE66" s="516"/>
      <c r="AF66" s="507"/>
      <c r="AG66" s="516"/>
      <c r="AH66" s="516"/>
    </row>
    <row r="67" spans="1:43" s="541" customFormat="1" ht="12" hidden="1" customHeight="1">
      <c r="A67" s="543"/>
      <c r="B67" s="543"/>
      <c r="C67" s="472" t="s">
        <v>252</v>
      </c>
      <c r="D67" s="812" t="s">
        <v>251</v>
      </c>
      <c r="E67" s="812"/>
      <c r="F67" s="727">
        <v>1</v>
      </c>
      <c r="G67" s="473">
        <v>0</v>
      </c>
      <c r="H67" s="474">
        <v>90</v>
      </c>
      <c r="I67" s="474">
        <v>20</v>
      </c>
      <c r="J67" s="474">
        <v>0</v>
      </c>
      <c r="K67" s="475" t="s">
        <v>737</v>
      </c>
      <c r="L67" s="475">
        <v>1</v>
      </c>
      <c r="M67" s="476">
        <f>IF(H67&gt;80,(IF(J67&gt;75,0,IF(I67&gt;80,0,INDEX(verzamelblad!$A$81:$BK$158, MATCH((CEILING(IF(J67&gt;=75,75,J67),1)),verzamelblad!$A$81:$A$158,), MATCH((CEILING(IF(I67&lt;=20,20,IF(I67&gt;=80,80,I67)),1)),verzamelblad!$A$81:$BK$81,))))),IF(I67&gt;75,0,INDEX(verzamelblad!$A$164:$BM$245, MATCH((CEILING(IF(H67&gt;=80,80,H67),1)),verzamelblad!$A$164:$A$245,), MATCH((CEILING(IF(I67&lt;=1,1,IF(I67&gt;=75,75,I67)),1)),verzamelblad!$A$164:$BM$164,))))</f>
        <v>0.8</v>
      </c>
      <c r="N67" s="477">
        <f>ROUND(F67*G67*L67*M67,2)</f>
        <v>0</v>
      </c>
      <c r="O67" s="478"/>
      <c r="P67" s="479"/>
      <c r="Q67" s="729" t="str">
        <f>IF(G67=0,"verbergen","")</f>
        <v>verbergen</v>
      </c>
      <c r="R67" s="404"/>
      <c r="S67" s="404"/>
      <c r="T67" s="392"/>
      <c r="U67" s="547">
        <f t="shared" si="11"/>
        <v>4</v>
      </c>
      <c r="V67" s="547"/>
      <c r="W67" s="547"/>
      <c r="X67" s="547"/>
      <c r="Y67" s="547"/>
      <c r="Z67" s="547"/>
      <c r="AA67" s="404"/>
      <c r="AB67" s="507"/>
      <c r="AC67" s="516"/>
      <c r="AD67" s="516"/>
      <c r="AE67" s="516"/>
      <c r="AF67" s="507"/>
      <c r="AG67" s="516"/>
      <c r="AH67" s="516"/>
    </row>
    <row r="68" spans="1:43" s="404" customFormat="1" ht="12" customHeight="1">
      <c r="A68" s="542"/>
      <c r="B68" s="556">
        <f>B61+1</f>
        <v>4</v>
      </c>
      <c r="C68" s="480">
        <f>B68</f>
        <v>4</v>
      </c>
      <c r="D68" s="481">
        <f>IF(O68&gt;P68,P68*10,O68*10)</f>
        <v>9.31</v>
      </c>
      <c r="E68" s="813" t="str">
        <f>IF(O68&lt;P68,(P68*10)-(O68*10),"(voldoet)")</f>
        <v>(voldoet)</v>
      </c>
      <c r="F68" s="813"/>
      <c r="G68" s="813"/>
      <c r="H68" s="482"/>
      <c r="I68" s="482"/>
      <c r="J68" s="483"/>
      <c r="K68" s="484"/>
      <c r="L68" s="485"/>
      <c r="M68" s="485"/>
      <c r="N68" s="485"/>
      <c r="O68" s="486">
        <f>SUM(N63:N68)</f>
        <v>1.06</v>
      </c>
      <c r="P68" s="486">
        <f>SUMPRODUCT(($AD$1:$AD$28178)*($AC$1:$AC$28178=B68))*verzamelblad!$Y$7/100</f>
        <v>0.93100000000000005</v>
      </c>
      <c r="Q68" s="557"/>
      <c r="R68" s="557"/>
      <c r="S68" s="557"/>
      <c r="T68" s="558"/>
      <c r="U68" s="547">
        <f t="shared" si="11"/>
        <v>4</v>
      </c>
      <c r="V68" s="547"/>
      <c r="W68" s="547"/>
      <c r="X68" s="547"/>
      <c r="Y68" s="559">
        <f>IF(E68="(voldoet)",0,IF(E68="(voldoet niet)",D68,E68))</f>
        <v>0</v>
      </c>
      <c r="Z68" s="547"/>
      <c r="AB68" s="547"/>
      <c r="AC68" s="392"/>
      <c r="AD68" s="392"/>
      <c r="AE68" s="392"/>
      <c r="AF68" s="547"/>
      <c r="AG68" s="392"/>
      <c r="AH68" s="392"/>
    </row>
    <row r="69" spans="1:43" s="493" customFormat="1" ht="12" customHeight="1">
      <c r="A69" s="560"/>
      <c r="B69" s="560"/>
      <c r="C69" s="487"/>
      <c r="D69" s="487"/>
      <c r="E69" s="487"/>
      <c r="F69" s="463"/>
      <c r="G69" s="463"/>
      <c r="H69" s="456"/>
      <c r="I69" s="456"/>
      <c r="J69" s="456"/>
      <c r="K69" s="456"/>
      <c r="L69" s="456"/>
      <c r="M69" s="456"/>
      <c r="N69" s="456"/>
      <c r="O69" s="488"/>
      <c r="P69" s="489"/>
      <c r="Q69" s="451"/>
      <c r="R69" s="451"/>
      <c r="S69" s="451"/>
      <c r="T69" s="561"/>
      <c r="U69" s="547">
        <f t="shared" si="11"/>
        <v>4</v>
      </c>
      <c r="V69" s="547"/>
      <c r="W69" s="547"/>
      <c r="X69" s="547"/>
      <c r="Y69" s="547"/>
      <c r="Z69" s="547"/>
      <c r="AA69" s="451"/>
      <c r="AB69" s="507"/>
      <c r="AC69" s="507"/>
      <c r="AD69" s="507"/>
      <c r="AE69" s="507"/>
      <c r="AF69" s="507"/>
      <c r="AG69" s="507"/>
      <c r="AH69" s="507"/>
    </row>
    <row r="70" spans="1:43" ht="12" customHeight="1">
      <c r="A70" s="492"/>
      <c r="B70" s="492"/>
      <c r="C70" s="463"/>
      <c r="D70" s="463"/>
      <c r="E70" s="451"/>
      <c r="F70" s="463"/>
      <c r="G70" s="463"/>
      <c r="H70" s="456"/>
      <c r="I70" s="456"/>
      <c r="J70" s="456"/>
      <c r="K70" s="490"/>
      <c r="L70" s="491"/>
      <c r="M70" s="456"/>
      <c r="N70" s="456"/>
      <c r="O70" s="488"/>
      <c r="P70" s="489"/>
      <c r="Q70" s="507"/>
      <c r="R70" s="507"/>
      <c r="S70" s="507"/>
      <c r="T70" s="507"/>
      <c r="U70" s="507"/>
      <c r="V70" s="508"/>
      <c r="W70" s="508"/>
      <c r="X70" s="508"/>
      <c r="Y70" s="508"/>
      <c r="Z70" s="508"/>
      <c r="AA70" s="508"/>
      <c r="AB70" s="508"/>
      <c r="AC70" s="524"/>
      <c r="AD70" s="508"/>
      <c r="AE70" s="508"/>
      <c r="AF70" s="508"/>
      <c r="AG70" s="508"/>
      <c r="AH70" s="508"/>
    </row>
    <row r="71" spans="1:43" s="518" customFormat="1" ht="15" customHeight="1">
      <c r="A71" s="515"/>
      <c r="B71" s="515"/>
      <c r="C71" s="457" t="s">
        <v>1084</v>
      </c>
      <c r="D71" s="457"/>
      <c r="E71" s="457"/>
      <c r="F71" s="457"/>
      <c r="G71" s="457"/>
      <c r="H71" s="457"/>
      <c r="I71" s="457"/>
      <c r="J71" s="457"/>
      <c r="K71" s="457"/>
      <c r="L71" s="457"/>
      <c r="M71" s="457"/>
      <c r="N71" s="457"/>
      <c r="O71" s="457"/>
      <c r="P71" s="457"/>
      <c r="Q71" s="522"/>
      <c r="R71" s="562"/>
      <c r="S71" s="516"/>
      <c r="T71" s="521"/>
      <c r="U71" s="516"/>
      <c r="V71" s="548"/>
      <c r="W71" s="548"/>
      <c r="X71" s="548"/>
      <c r="Y71" s="548"/>
      <c r="Z71" s="517"/>
      <c r="AA71" s="517"/>
      <c r="AB71" s="517"/>
      <c r="AC71" s="524"/>
      <c r="AD71" s="517"/>
      <c r="AE71" s="517"/>
      <c r="AF71" s="517"/>
      <c r="AG71" s="517"/>
      <c r="AH71" s="517"/>
    </row>
    <row r="72" spans="1:43" s="518" customFormat="1" ht="12" customHeight="1">
      <c r="A72" s="543"/>
      <c r="B72" s="543"/>
      <c r="C72" s="563" t="s">
        <v>1019</v>
      </c>
      <c r="D72" s="814" t="s">
        <v>743</v>
      </c>
      <c r="E72" s="814"/>
      <c r="F72" s="814"/>
      <c r="G72" s="814"/>
      <c r="H72" s="566"/>
      <c r="I72" s="566"/>
      <c r="J72" s="566"/>
      <c r="K72" s="566"/>
      <c r="L72" s="566"/>
      <c r="M72" s="566"/>
      <c r="N72" s="566"/>
      <c r="O72" s="566"/>
      <c r="P72" s="566"/>
      <c r="Q72" s="459"/>
      <c r="Y72" s="517"/>
      <c r="Z72" s="517"/>
      <c r="AA72" s="517"/>
      <c r="AB72" s="517"/>
      <c r="AC72" s="517"/>
      <c r="AD72" s="517"/>
      <c r="AE72" s="517"/>
      <c r="AF72" s="517"/>
      <c r="AG72" s="517"/>
      <c r="AH72" s="517"/>
    </row>
    <row r="73" spans="1:43" s="518" customFormat="1" ht="12" customHeight="1">
      <c r="A73" s="543"/>
      <c r="B73" s="543"/>
      <c r="C73" s="563"/>
      <c r="D73" s="464"/>
      <c r="E73" s="464"/>
      <c r="F73" s="464"/>
      <c r="G73" s="464"/>
      <c r="H73" s="566"/>
      <c r="I73" s="566"/>
      <c r="J73" s="566"/>
      <c r="K73" s="566"/>
      <c r="L73" s="566"/>
      <c r="M73" s="566"/>
      <c r="N73" s="566"/>
      <c r="O73" s="566"/>
      <c r="P73" s="566"/>
      <c r="Q73" s="459"/>
      <c r="Y73" s="517"/>
      <c r="Z73" s="517"/>
      <c r="AA73" s="517"/>
      <c r="AB73" s="517"/>
      <c r="AC73" s="517"/>
      <c r="AD73" s="517"/>
      <c r="AE73" s="517"/>
      <c r="AF73" s="517"/>
      <c r="AG73" s="517"/>
      <c r="AH73" s="517"/>
    </row>
    <row r="74" spans="1:43" s="518" customFormat="1" ht="12" customHeight="1">
      <c r="A74" s="543"/>
      <c r="B74" s="546"/>
      <c r="C74" s="563" t="s">
        <v>726</v>
      </c>
      <c r="D74" s="814" t="s">
        <v>724</v>
      </c>
      <c r="E74" s="814"/>
      <c r="F74" s="814"/>
      <c r="G74" s="814"/>
      <c r="H74" s="566"/>
      <c r="I74" s="566"/>
      <c r="J74" s="566"/>
      <c r="K74" s="566"/>
      <c r="L74" s="566"/>
      <c r="M74" s="566"/>
      <c r="N74" s="566"/>
      <c r="O74" s="566"/>
      <c r="P74" s="566"/>
      <c r="Q74" s="459"/>
      <c r="Y74" s="517"/>
      <c r="Z74" s="517"/>
      <c r="AA74" s="517"/>
      <c r="AB74" s="517"/>
      <c r="AC74" s="517"/>
      <c r="AD74" s="517"/>
      <c r="AE74" s="517"/>
      <c r="AF74" s="517"/>
      <c r="AG74" s="517"/>
      <c r="AH74" s="517"/>
    </row>
    <row r="75" spans="1:43" s="518" customFormat="1" ht="12" hidden="1" customHeight="1">
      <c r="A75" s="543"/>
      <c r="B75" s="546"/>
      <c r="C75" s="563" t="s">
        <v>718</v>
      </c>
      <c r="D75" s="814" t="s">
        <v>720</v>
      </c>
      <c r="E75" s="814"/>
      <c r="F75" s="814"/>
      <c r="G75" s="814"/>
      <c r="H75" s="566"/>
      <c r="I75" s="566"/>
      <c r="J75" s="566"/>
      <c r="K75" s="566"/>
      <c r="L75" s="566"/>
      <c r="M75" s="566"/>
      <c r="N75" s="566"/>
      <c r="O75" s="566"/>
      <c r="P75" s="566"/>
      <c r="Q75" s="459" t="str">
        <f>IF(D74="systeem D - mechanische toevoer &amp; afvoer","verbergen","")</f>
        <v>verbergen</v>
      </c>
      <c r="Y75" s="517"/>
      <c r="Z75" s="517"/>
      <c r="AA75" s="517"/>
      <c r="AB75" s="517"/>
      <c r="AC75" s="517"/>
      <c r="AD75" s="517"/>
      <c r="AE75" s="517"/>
      <c r="AF75" s="517"/>
      <c r="AG75" s="517"/>
      <c r="AH75" s="517"/>
      <c r="AQ75" s="517"/>
    </row>
    <row r="76" spans="1:43" s="518" customFormat="1" ht="12" customHeight="1">
      <c r="A76" s="543"/>
      <c r="B76" s="546"/>
      <c r="C76" s="563"/>
      <c r="D76" s="730"/>
      <c r="E76" s="730"/>
      <c r="F76" s="730"/>
      <c r="G76" s="730"/>
      <c r="H76" s="566"/>
      <c r="I76" s="566"/>
      <c r="J76" s="566"/>
      <c r="K76" s="566"/>
      <c r="L76" s="566"/>
      <c r="M76" s="566"/>
      <c r="N76" s="566"/>
      <c r="O76" s="567"/>
      <c r="P76" s="564"/>
      <c r="Q76" s="459"/>
      <c r="Y76" s="517"/>
      <c r="Z76" s="517"/>
      <c r="AA76" s="517"/>
      <c r="AB76" s="517"/>
      <c r="AC76" s="517"/>
      <c r="AD76" s="517"/>
      <c r="AE76" s="517"/>
      <c r="AF76" s="517"/>
      <c r="AG76" s="517"/>
      <c r="AH76" s="517"/>
      <c r="AQ76" s="517"/>
    </row>
    <row r="77" spans="1:43" s="518" customFormat="1" ht="12" customHeight="1">
      <c r="A77" s="543"/>
      <c r="B77" s="546"/>
      <c r="C77" s="563" t="s">
        <v>746</v>
      </c>
      <c r="D77" s="730" t="s">
        <v>737</v>
      </c>
      <c r="E77" s="730"/>
      <c r="F77" s="730"/>
      <c r="G77" s="730"/>
      <c r="H77" s="568" t="str">
        <f>IF(D77="n.v.t.","","minimale luchtverversing, privaatrechterlijke eisen in 'hoogstand':")</f>
        <v/>
      </c>
      <c r="I77" s="546"/>
      <c r="J77" s="773"/>
      <c r="K77" s="569"/>
      <c r="L77" s="570"/>
      <c r="M77" s="404"/>
      <c r="N77" s="566" t="str">
        <f>IF(D77="n.v.t.","",N74+G139)</f>
        <v/>
      </c>
      <c r="O77" s="567" t="str">
        <f>IF(D77="n.v.t.","",N77*3.6)</f>
        <v/>
      </c>
      <c r="P77" s="564"/>
      <c r="Q77" s="459"/>
      <c r="Y77" s="517"/>
      <c r="Z77" s="517"/>
      <c r="AA77" s="517"/>
      <c r="AB77" s="517"/>
      <c r="AC77" s="517"/>
      <c r="AD77" s="517"/>
      <c r="AE77" s="517"/>
      <c r="AF77" s="517"/>
      <c r="AG77" s="517"/>
      <c r="AH77" s="517"/>
      <c r="AQ77" s="517"/>
    </row>
    <row r="78" spans="1:43" s="518" customFormat="1" ht="12" customHeight="1">
      <c r="A78" s="543"/>
      <c r="B78" s="546"/>
      <c r="C78" s="563"/>
      <c r="D78" s="730"/>
      <c r="E78" s="730"/>
      <c r="F78" s="730"/>
      <c r="G78" s="730"/>
      <c r="H78" s="766" t="s">
        <v>1133</v>
      </c>
      <c r="I78" s="774"/>
      <c r="J78" s="767"/>
      <c r="K78" s="767"/>
      <c r="L78" s="768"/>
      <c r="M78" s="769"/>
      <c r="N78" s="770"/>
      <c r="O78" s="771"/>
      <c r="P78" s="772"/>
      <c r="Q78" s="459"/>
      <c r="Y78" s="517"/>
      <c r="Z78" s="517"/>
      <c r="AA78" s="517"/>
      <c r="AB78" s="517"/>
      <c r="AC78" s="517"/>
      <c r="AD78" s="517"/>
      <c r="AE78" s="517"/>
      <c r="AF78" s="517"/>
      <c r="AG78" s="517"/>
      <c r="AH78" s="517"/>
      <c r="AQ78" s="517"/>
    </row>
    <row r="79" spans="1:43" s="518" customFormat="1" ht="12" customHeight="1">
      <c r="A79" s="543"/>
      <c r="B79" s="546"/>
      <c r="C79" s="563"/>
      <c r="D79" s="730"/>
      <c r="E79" s="730"/>
      <c r="F79" s="730"/>
      <c r="G79" s="730"/>
      <c r="H79" s="766" t="s">
        <v>1134</v>
      </c>
      <c r="I79" s="774"/>
      <c r="J79" s="775"/>
      <c r="K79" s="775"/>
      <c r="L79" s="768"/>
      <c r="M79" s="769"/>
      <c r="N79" s="770"/>
      <c r="O79" s="771"/>
      <c r="P79" s="772"/>
      <c r="Q79" s="459"/>
      <c r="Y79" s="517"/>
      <c r="Z79" s="517"/>
      <c r="AA79" s="517"/>
      <c r="AB79" s="517"/>
      <c r="AC79" s="517"/>
      <c r="AD79" s="517"/>
      <c r="AE79" s="517"/>
      <c r="AF79" s="517"/>
      <c r="AG79" s="517"/>
      <c r="AH79" s="517"/>
      <c r="AQ79" s="517"/>
    </row>
    <row r="80" spans="1:43" s="518" customFormat="1" ht="12" customHeight="1">
      <c r="A80" s="543"/>
      <c r="B80" s="543"/>
      <c r="C80" s="571" t="str">
        <f>IF(A42:A80=TRUE,"* vanwege het niet direct grenzen van ramen aan grens VG is op basis van gelijkwaardigheid een groter fictief oppervlak aan VG toegekend (zie ook toelichting rapport)","")</f>
        <v/>
      </c>
      <c r="D80" s="572"/>
      <c r="E80" s="572"/>
      <c r="F80" s="572"/>
      <c r="G80" s="572"/>
      <c r="H80" s="572"/>
      <c r="I80" s="572"/>
      <c r="J80" s="468"/>
      <c r="K80" s="490"/>
      <c r="L80" s="422"/>
      <c r="M80" s="471"/>
      <c r="N80" s="470"/>
      <c r="O80" s="573"/>
      <c r="P80" s="574"/>
      <c r="Q80" s="525"/>
      <c r="Y80" s="508"/>
      <c r="Z80" s="508"/>
      <c r="AA80" s="508"/>
      <c r="AB80" s="508"/>
      <c r="AC80" s="517"/>
      <c r="AD80" s="517"/>
      <c r="AE80" s="517"/>
      <c r="AF80" s="517"/>
      <c r="AG80" s="517"/>
      <c r="AH80" s="517"/>
    </row>
    <row r="81" spans="1:38" s="518" customFormat="1" ht="15" customHeight="1">
      <c r="A81" s="515"/>
      <c r="B81" s="515"/>
      <c r="C81" s="457" t="s">
        <v>1085</v>
      </c>
      <c r="D81" s="575"/>
      <c r="E81" s="575"/>
      <c r="F81" s="817"/>
      <c r="G81" s="817"/>
      <c r="H81" s="817"/>
      <c r="I81" s="575"/>
      <c r="J81" s="575"/>
      <c r="K81" s="575"/>
      <c r="L81" s="575"/>
      <c r="M81" s="575"/>
      <c r="N81" s="575"/>
      <c r="O81" s="575"/>
      <c r="P81" s="575"/>
      <c r="Q81" s="522"/>
      <c r="R81" s="516"/>
      <c r="S81" s="516"/>
      <c r="T81" s="521"/>
      <c r="U81" s="516"/>
      <c r="V81" s="548"/>
      <c r="W81" s="548"/>
      <c r="X81" s="548"/>
      <c r="Y81" s="548"/>
      <c r="Z81" s="517"/>
      <c r="AA81" s="517"/>
      <c r="AB81" s="517"/>
      <c r="AC81" s="524"/>
      <c r="AD81" s="517"/>
      <c r="AE81" s="517"/>
      <c r="AF81" s="517"/>
      <c r="AG81" s="517"/>
      <c r="AH81" s="517"/>
    </row>
    <row r="82" spans="1:38" s="518" customFormat="1" ht="12.75" hidden="1" customHeight="1">
      <c r="A82" s="515"/>
      <c r="B82" s="515"/>
      <c r="C82" s="576"/>
      <c r="D82" s="576"/>
      <c r="E82" s="576"/>
      <c r="F82" s="576"/>
      <c r="G82" s="576"/>
      <c r="H82" s="577"/>
      <c r="I82" s="577"/>
      <c r="J82" s="577"/>
      <c r="K82" s="577"/>
      <c r="L82" s="577"/>
      <c r="M82" s="577"/>
      <c r="N82" s="577"/>
      <c r="O82" s="577"/>
      <c r="P82" s="577"/>
      <c r="Q82" s="522"/>
      <c r="R82" s="516"/>
      <c r="S82" s="516"/>
      <c r="T82" s="521"/>
      <c r="U82" s="516"/>
      <c r="V82" s="548"/>
      <c r="W82" s="548"/>
      <c r="X82" s="548"/>
      <c r="Y82" s="548"/>
      <c r="Z82" s="517"/>
      <c r="AA82" s="517"/>
      <c r="AB82" s="517"/>
      <c r="AC82" s="524"/>
      <c r="AD82" s="517"/>
      <c r="AE82" s="517"/>
      <c r="AF82" s="517"/>
    </row>
    <row r="83" spans="1:38" ht="35.25" customHeight="1">
      <c r="A83" s="492"/>
      <c r="B83" s="492"/>
      <c r="C83" s="736" t="s">
        <v>133</v>
      </c>
      <c r="D83" s="460" t="s">
        <v>1106</v>
      </c>
      <c r="E83" s="578" t="s">
        <v>1066</v>
      </c>
      <c r="F83" s="809" t="str">
        <f>IF(S16=3,"","advies toevoercapaciteit")</f>
        <v>advies toevoercapaciteit</v>
      </c>
      <c r="G83" s="809"/>
      <c r="H83" s="809"/>
      <c r="I83" s="809" t="str">
        <f>IF(S16=1,"kozijnmerk","")</f>
        <v/>
      </c>
      <c r="J83" s="809"/>
      <c r="K83" s="579" t="str">
        <f>IF(S16=1,"roostermaat","")</f>
        <v/>
      </c>
      <c r="L83" s="818" t="str">
        <f>IF(AND(S16=1,S17=1),"benodigde capaciteit","")</f>
        <v/>
      </c>
      <c r="M83" s="818"/>
      <c r="N83" s="579" t="str">
        <f>IF(AND(S16=1,S17=2),"type","")</f>
        <v/>
      </c>
      <c r="O83" s="580"/>
      <c r="P83" s="581" t="str">
        <f>IF(AND(S16=1,S17=2),"maximale roostercapaciteit","")</f>
        <v/>
      </c>
      <c r="Q83" s="582"/>
      <c r="R83" s="582"/>
      <c r="S83" s="583"/>
      <c r="T83" s="532"/>
      <c r="U83" s="507"/>
      <c r="V83" s="508"/>
      <c r="W83" s="508"/>
      <c r="X83" s="508"/>
      <c r="Y83" s="508"/>
      <c r="Z83" s="508"/>
      <c r="AA83" s="508"/>
      <c r="AB83" s="508"/>
      <c r="AC83" s="534"/>
      <c r="AD83" s="508"/>
      <c r="AE83" s="508"/>
      <c r="AF83" s="508"/>
    </row>
    <row r="84" spans="1:38" s="541" customFormat="1" ht="12" customHeight="1">
      <c r="B84" s="515"/>
      <c r="C84" s="464" t="str">
        <f>L28</f>
        <v>woonkamer / eetkamer</v>
      </c>
      <c r="D84" s="733">
        <f>IF(F84="intern","",SUMPRODUCT(($AE$1:$AE$28098)*($L$1:$L$28098=C84)))</f>
        <v>28.45</v>
      </c>
      <c r="E84" s="566">
        <f>IF(F84="intern","",IF(D84=0,0,(IF(verzamelblad!$K$7*D84&gt;verzamelblad!$P$7,CEILING(verzamelblad!$K$7*D84,0.1),verzamelblad!$P$7))))</f>
        <v>20</v>
      </c>
      <c r="F84" s="584" t="str">
        <f>IF($S$16=1,"NT","MT")</f>
        <v>MT</v>
      </c>
      <c r="G84" s="731" t="s">
        <v>140</v>
      </c>
      <c r="H84" s="565">
        <v>21</v>
      </c>
      <c r="I84" s="811" t="s">
        <v>251</v>
      </c>
      <c r="J84" s="811"/>
      <c r="K84" s="585">
        <v>0</v>
      </c>
      <c r="L84" s="819" t="str">
        <f>IF(AND(S$16=1,S$17=2),"",IF(S$16=2,"",IF(K84=0,"",H84/(K84/1000))))</f>
        <v/>
      </c>
      <c r="M84" s="819"/>
      <c r="N84" s="816" t="s">
        <v>268</v>
      </c>
      <c r="O84" s="816"/>
      <c r="P84" s="586" t="str">
        <f>IF(K84=0,"-",INDEX('data roosters'!F:J,MATCH(N84,'data roosters'!F:F,0),2)*(K84/1000))</f>
        <v>-</v>
      </c>
      <c r="Q84" s="525" t="str">
        <f>IF(AND($S$16=1,$S$17=2),IF(OR(E84&lt;&gt;0,H84&lt;&gt;0,P84&lt;&gt;"-"),"","verbergen"),IF(OR(E84&lt;&gt;0,H84&lt;&gt;0),"","verbergen"))</f>
        <v/>
      </c>
      <c r="R84" s="587"/>
      <c r="S84" s="529"/>
      <c r="T84" s="516"/>
      <c r="U84" s="516"/>
      <c r="V84" s="507">
        <v>1</v>
      </c>
      <c r="W84" s="516"/>
      <c r="X84" s="516"/>
      <c r="Y84" s="516"/>
      <c r="Z84" s="516"/>
      <c r="AB84" s="516"/>
      <c r="AC84" s="516"/>
      <c r="AD84" s="516"/>
      <c r="AE84" s="516"/>
      <c r="AF84" s="515" t="str">
        <f>IF(E84&gt;0,"x","")</f>
        <v>x</v>
      </c>
      <c r="AG84" s="516"/>
      <c r="AH84" s="516"/>
    </row>
    <row r="85" spans="1:38" s="541" customFormat="1" ht="12" customHeight="1">
      <c r="B85" s="515"/>
      <c r="C85" s="464" t="str">
        <f>L28</f>
        <v>woonkamer / eetkamer</v>
      </c>
      <c r="D85" s="733" t="str">
        <f>IF(F85="intern","",SUMPRODUCT(($AE$1:$AE$28098)*($L$1:$L$28098=C85)))</f>
        <v/>
      </c>
      <c r="E85" s="566" t="str">
        <f>IF(F85="intern","",IF(D85=0,0,(IF(verzamelblad!$K$7*D85&gt;verzamelblad!$P$7,CEILING(verzamelblad!$K$7*D85,0.1),verzamelblad!$P$7))))</f>
        <v/>
      </c>
      <c r="F85" s="584" t="s">
        <v>725</v>
      </c>
      <c r="G85" s="731" t="s">
        <v>1158</v>
      </c>
      <c r="H85" s="565">
        <v>7</v>
      </c>
      <c r="I85" s="811" t="s">
        <v>251</v>
      </c>
      <c r="J85" s="811"/>
      <c r="K85" s="585">
        <v>0</v>
      </c>
      <c r="M85" s="564"/>
      <c r="N85" s="816" t="s">
        <v>268</v>
      </c>
      <c r="O85" s="816"/>
      <c r="P85" s="586" t="str">
        <f>IF(K85=0,"-",INDEX('data roosters'!F:J,MATCH(N85,'data roosters'!F:F,0),2)*(K85/1000))</f>
        <v>-</v>
      </c>
      <c r="Q85" s="525" t="str">
        <f t="shared" ref="Q85:Q88" si="12">IF(AND($S$16=1,$S$17=2),IF(OR(E85&lt;&gt;0,H85&lt;&gt;0,P85&lt;&gt;"-"),"","verbergen"),IF(OR(E85&lt;&gt;0,H85&lt;&gt;0),"","verbergen"))</f>
        <v/>
      </c>
      <c r="R85" s="588"/>
      <c r="S85" s="529"/>
      <c r="T85" s="516"/>
      <c r="U85" s="516"/>
      <c r="V85" s="507">
        <v>1</v>
      </c>
      <c r="W85" s="516"/>
      <c r="X85" s="516"/>
      <c r="Y85" s="516"/>
      <c r="Z85" s="516"/>
      <c r="AB85" s="516"/>
      <c r="AC85" s="516"/>
      <c r="AD85" s="516"/>
      <c r="AE85" s="516"/>
      <c r="AF85" s="515" t="str">
        <f>IF(E85&gt;0,"x","")</f>
        <v>x</v>
      </c>
      <c r="AG85" s="516"/>
      <c r="AH85" s="516"/>
      <c r="AJ85" s="815"/>
      <c r="AK85" s="815"/>
      <c r="AL85" s="815"/>
    </row>
    <row r="86" spans="1:38" s="541" customFormat="1" ht="12" hidden="1" customHeight="1">
      <c r="B86" s="515"/>
      <c r="C86" s="464" t="s">
        <v>252</v>
      </c>
      <c r="D86" s="733">
        <f>IF(F86="intern","",SUMPRODUCT(($AE$1:$AE$28098)*($L$1:$L$28098=C86)))</f>
        <v>0</v>
      </c>
      <c r="E86" s="566">
        <f>IF(F86="intern","",IF(D86=0,0,(IF(verzamelblad!$K$7*D86&gt;verzamelblad!$P$7,CEILING(verzamelblad!$K$7*D86,0.1),verzamelblad!$P$7))))</f>
        <v>0</v>
      </c>
      <c r="F86" s="584" t="str">
        <f>IF($S$16=1,"NT","MT")</f>
        <v>MT</v>
      </c>
      <c r="G86" s="731" t="s">
        <v>140</v>
      </c>
      <c r="H86" s="565">
        <v>0</v>
      </c>
      <c r="I86" s="811" t="s">
        <v>251</v>
      </c>
      <c r="J86" s="811"/>
      <c r="K86" s="585">
        <v>0</v>
      </c>
      <c r="L86" s="564" t="str">
        <f>IF(AND(S$16=1,S$17=2),"",IF(S$16=2,"",IF(K86=0,"",H86/(K86/1000))))</f>
        <v/>
      </c>
      <c r="M86" s="564"/>
      <c r="N86" s="816" t="s">
        <v>268</v>
      </c>
      <c r="O86" s="816"/>
      <c r="P86" s="586" t="str">
        <f>IF(K86=0,"-",INDEX('data roosters'!F:J,MATCH(N86,'data roosters'!F:F,0),2)*(K86/1000))</f>
        <v>-</v>
      </c>
      <c r="Q86" s="525" t="str">
        <f t="shared" si="12"/>
        <v>verbergen</v>
      </c>
      <c r="R86" s="589"/>
      <c r="S86" s="529"/>
      <c r="T86" s="516"/>
      <c r="U86" s="516"/>
      <c r="V86" s="507">
        <v>1</v>
      </c>
      <c r="W86" s="516"/>
      <c r="X86" s="516"/>
      <c r="Y86" s="516"/>
      <c r="Z86" s="516"/>
      <c r="AB86" s="516"/>
      <c r="AC86" s="516"/>
      <c r="AD86" s="516"/>
      <c r="AE86" s="516"/>
      <c r="AF86" s="515" t="str">
        <f>IF(E86&gt;0,"x","")</f>
        <v/>
      </c>
      <c r="AG86" s="516"/>
      <c r="AH86" s="516"/>
      <c r="AJ86" s="815"/>
      <c r="AK86" s="815"/>
      <c r="AL86" s="815"/>
    </row>
    <row r="87" spans="1:38" s="541" customFormat="1" ht="12" hidden="1" customHeight="1">
      <c r="B87" s="515"/>
      <c r="C87" s="464" t="s">
        <v>252</v>
      </c>
      <c r="D87" s="733">
        <f>IF(F87="intern","",SUMPRODUCT(($AE$1:$AE$28098)*($L$1:$L$28098=C87)))</f>
        <v>0</v>
      </c>
      <c r="E87" s="566">
        <f>IF(F87="intern","",IF(D87=0,0,(IF(verzamelblad!$K$7*D87&gt;verzamelblad!$P$7,CEILING(verzamelblad!$K$7*D87,0.1),verzamelblad!$P$7))))</f>
        <v>0</v>
      </c>
      <c r="F87" s="584" t="str">
        <f>IF($S$16=1,"NT","MT")</f>
        <v>MT</v>
      </c>
      <c r="G87" s="731" t="s">
        <v>140</v>
      </c>
      <c r="H87" s="565">
        <v>0</v>
      </c>
      <c r="I87" s="811" t="s">
        <v>251</v>
      </c>
      <c r="J87" s="811"/>
      <c r="K87" s="585">
        <v>0</v>
      </c>
      <c r="L87" s="564" t="str">
        <f>IF(AND(S$16=1,S$17=2),"",IF(S$16=2,"",IF(K87=0,"",H87/(K87/1000))))</f>
        <v/>
      </c>
      <c r="M87" s="564"/>
      <c r="N87" s="816" t="s">
        <v>268</v>
      </c>
      <c r="O87" s="816"/>
      <c r="P87" s="586" t="str">
        <f>IF(K87=0,"-",INDEX('data roosters'!F:J,MATCH(N87,'data roosters'!F:F,0),2)*(K87/1000))</f>
        <v>-</v>
      </c>
      <c r="Q87" s="525" t="str">
        <f t="shared" si="12"/>
        <v>verbergen</v>
      </c>
      <c r="R87" s="589"/>
      <c r="S87" s="529"/>
      <c r="T87" s="516"/>
      <c r="U87" s="516"/>
      <c r="V87" s="507">
        <v>1</v>
      </c>
      <c r="W87" s="516"/>
      <c r="X87" s="516"/>
      <c r="Y87" s="516"/>
      <c r="Z87" s="516"/>
      <c r="AB87" s="516"/>
      <c r="AC87" s="516"/>
      <c r="AD87" s="516"/>
      <c r="AE87" s="516"/>
      <c r="AF87" s="515" t="str">
        <f>IF(E87&gt;0,"x","")</f>
        <v/>
      </c>
      <c r="AG87" s="516"/>
      <c r="AH87" s="516"/>
      <c r="AJ87" s="815"/>
      <c r="AK87" s="815"/>
      <c r="AL87" s="815"/>
    </row>
    <row r="88" spans="1:38" s="541" customFormat="1" ht="12" hidden="1" customHeight="1">
      <c r="B88" s="515"/>
      <c r="C88" s="464" t="s">
        <v>252</v>
      </c>
      <c r="D88" s="733">
        <f>IF(F88="intern","",SUMPRODUCT(($AE$1:$AE$28098)*($L$1:$L$28098=C88)))</f>
        <v>0</v>
      </c>
      <c r="E88" s="566">
        <f>IF(F88="intern","",IF(D88=0,0,(IF(verzamelblad!$K$7*D88&gt;verzamelblad!$P$7,CEILING(verzamelblad!$K$7*D88,0.1),verzamelblad!$P$7))))</f>
        <v>0</v>
      </c>
      <c r="F88" s="584" t="str">
        <f>IF($S$16=1,"NT","MT")</f>
        <v>MT</v>
      </c>
      <c r="G88" s="731" t="s">
        <v>140</v>
      </c>
      <c r="H88" s="565">
        <v>0</v>
      </c>
      <c r="I88" s="811" t="s">
        <v>251</v>
      </c>
      <c r="J88" s="811"/>
      <c r="K88" s="585">
        <v>0</v>
      </c>
      <c r="L88" s="564"/>
      <c r="M88" s="564"/>
      <c r="N88" s="816" t="s">
        <v>268</v>
      </c>
      <c r="O88" s="816"/>
      <c r="P88" s="586" t="str">
        <f>IF(K88=0,"-",INDEX('data roosters'!F:J,MATCH(N88,'data roosters'!F:F,0),2)*(K88/1000))</f>
        <v>-</v>
      </c>
      <c r="Q88" s="525" t="str">
        <f t="shared" si="12"/>
        <v>verbergen</v>
      </c>
      <c r="R88" s="589"/>
      <c r="S88" s="529"/>
      <c r="T88" s="516"/>
      <c r="U88" s="516"/>
      <c r="V88" s="507">
        <v>1</v>
      </c>
      <c r="W88" s="516"/>
      <c r="X88" s="516"/>
      <c r="Y88" s="516"/>
      <c r="Z88" s="516"/>
      <c r="AB88" s="516"/>
      <c r="AC88" s="516"/>
      <c r="AD88" s="516"/>
      <c r="AE88" s="516"/>
      <c r="AF88" s="515" t="str">
        <f>IF(E88&gt;0,"x","")</f>
        <v/>
      </c>
      <c r="AG88" s="516"/>
      <c r="AH88" s="516"/>
      <c r="AJ88" s="815"/>
      <c r="AK88" s="815"/>
      <c r="AL88" s="815"/>
    </row>
    <row r="89" spans="1:38" s="541" customFormat="1" ht="12" customHeight="1">
      <c r="B89" s="590">
        <v>1</v>
      </c>
      <c r="C89" s="480">
        <f>B89</f>
        <v>1</v>
      </c>
      <c r="D89" s="481">
        <f>SUMPRODUCT(($AD$1:$AD$50054)*($AC$1:$AC$50054=B89))</f>
        <v>28.45</v>
      </c>
      <c r="E89" s="591">
        <f>IF(D89=0,0,(IF(verzamelblad!$E$7*D89&gt;verzamelblad!$J$7,CEILING(verzamelblad!$E$7*D89,0.1),verzamelblad!$J$7)))</f>
        <v>25.700000000000003</v>
      </c>
      <c r="F89" s="820" t="str">
        <f>IF(SUM(H84:H88)&lt;E89,"voldoet niet op VG-niveau","totaal: "&amp;SUM(H84:H88) &amp; " dm³/s ")</f>
        <v xml:space="preserve">totaal: 28 dm³/s </v>
      </c>
      <c r="G89" s="820"/>
      <c r="H89" s="820"/>
      <c r="I89" s="592"/>
      <c r="J89" s="593"/>
      <c r="K89" s="594"/>
      <c r="L89" s="595"/>
      <c r="M89" s="821"/>
      <c r="N89" s="821"/>
      <c r="O89" s="596"/>
      <c r="P89" s="597"/>
      <c r="Q89" s="459"/>
      <c r="R89" s="589"/>
      <c r="S89" s="529"/>
      <c r="T89" s="516"/>
      <c r="U89" s="516"/>
      <c r="V89" s="547">
        <v>1</v>
      </c>
      <c r="W89" s="516"/>
      <c r="X89" s="516"/>
      <c r="Y89" s="516"/>
      <c r="Z89" s="516"/>
      <c r="AB89" s="516"/>
      <c r="AC89" s="516"/>
      <c r="AD89" s="516"/>
      <c r="AE89" s="516"/>
      <c r="AF89" s="515" t="str">
        <f>IF(B89&gt;0,"ja")</f>
        <v>ja</v>
      </c>
      <c r="AG89" s="516"/>
      <c r="AH89" s="516"/>
    </row>
    <row r="90" spans="1:38" s="541" customFormat="1" ht="12" customHeight="1">
      <c r="B90" s="515"/>
      <c r="C90" s="598"/>
      <c r="D90" s="422"/>
      <c r="E90" s="422"/>
      <c r="F90" s="422"/>
      <c r="G90" s="422"/>
      <c r="H90" s="599"/>
      <c r="I90" s="599"/>
      <c r="J90" s="530"/>
      <c r="K90" s="600"/>
      <c r="L90" s="600"/>
      <c r="M90" s="600"/>
      <c r="N90" s="600"/>
      <c r="O90" s="600"/>
      <c r="P90" s="600"/>
      <c r="Q90" s="459"/>
      <c r="R90" s="589"/>
      <c r="S90" s="529"/>
      <c r="T90" s="516"/>
      <c r="U90" s="516"/>
      <c r="V90" s="507">
        <v>1</v>
      </c>
      <c r="W90" s="516"/>
      <c r="X90" s="516"/>
      <c r="Y90" s="516"/>
      <c r="Z90" s="516"/>
      <c r="AB90" s="516"/>
      <c r="AC90" s="516"/>
      <c r="AD90" s="516"/>
      <c r="AE90" s="516"/>
      <c r="AF90" s="515"/>
      <c r="AG90" s="516"/>
      <c r="AH90" s="516"/>
    </row>
    <row r="91" spans="1:38" s="541" customFormat="1" ht="12" customHeight="1">
      <c r="A91" s="404"/>
      <c r="B91" s="543"/>
      <c r="C91" s="464" t="str">
        <f>L29</f>
        <v>keuken</v>
      </c>
      <c r="D91" s="733">
        <f>IF(F91="intern","",SUMPRODUCT(($AE$1:$AE$28098)*($L$1:$L$28098=C91)))</f>
        <v>15.1</v>
      </c>
      <c r="E91" s="566">
        <f>IF(F91="intern","",IF(D91=0,0,(IF(verzamelblad!$K$7*D91&gt;verzamelblad!$P$7,CEILING(verzamelblad!$K$7*D91,0.1),verzamelblad!$P$7))))</f>
        <v>10.600000000000001</v>
      </c>
      <c r="F91" s="584" t="str">
        <f>IF($S$16=1,"NT","MT")</f>
        <v>MT</v>
      </c>
      <c r="G91" s="731" t="s">
        <v>140</v>
      </c>
      <c r="H91" s="565">
        <v>7</v>
      </c>
      <c r="I91" s="811" t="s">
        <v>251</v>
      </c>
      <c r="J91" s="811"/>
      <c r="K91" s="585">
        <v>0</v>
      </c>
      <c r="L91" s="819" t="str">
        <f>IF(AND(S$16=1,S$17=2),"",IF(S$16=2,"",IF(K91=0,"",H91/(K91/1000))))</f>
        <v/>
      </c>
      <c r="M91" s="819"/>
      <c r="N91" s="816" t="s">
        <v>268</v>
      </c>
      <c r="O91" s="816"/>
      <c r="P91" s="586" t="str">
        <f>IF(K91=0,"-",INDEX('data roosters'!F:J,MATCH(N91,'data roosters'!F:F,0),2)*(K91/1000))</f>
        <v>-</v>
      </c>
      <c r="Q91" s="729" t="str">
        <f>IF(AND($S$16=1,$S$17=2),IF(OR(E91&lt;&gt;0,H91&lt;&gt;0,P91&lt;&gt;"-"),"","verbergen"),IF(OR(E91&lt;&gt;0,H91&lt;&gt;0),"","verbergen"))</f>
        <v/>
      </c>
      <c r="R91" s="601"/>
      <c r="S91" s="602"/>
      <c r="T91" s="392"/>
      <c r="U91" s="392"/>
      <c r="V91" s="547">
        <f>V90+1</f>
        <v>2</v>
      </c>
      <c r="W91" s="392"/>
      <c r="X91" s="392"/>
      <c r="Y91" s="392"/>
      <c r="Z91" s="392"/>
      <c r="AA91" s="404"/>
      <c r="AB91" s="516"/>
      <c r="AC91" s="516"/>
      <c r="AD91" s="516"/>
      <c r="AE91" s="516"/>
      <c r="AF91" s="515" t="str">
        <f>IF(E91&gt;0,"x","")</f>
        <v>x</v>
      </c>
      <c r="AG91" s="516"/>
      <c r="AH91" s="516"/>
    </row>
    <row r="92" spans="1:38" s="541" customFormat="1" ht="12" customHeight="1">
      <c r="A92" s="404"/>
      <c r="B92" s="543"/>
      <c r="C92" s="464" t="str">
        <f>L29</f>
        <v>keuken</v>
      </c>
      <c r="D92" s="733" t="str">
        <f>IF(F92="intern","",SUMPRODUCT(($AE$1:$AE$28066)*($L$1:$L$28066=C92)))</f>
        <v/>
      </c>
      <c r="E92" s="566" t="str">
        <f>IF(F92="intern","",IF(D92=0,0,(IF(verzamelblad!$K$7*D92&gt;verzamelblad!$P$7,CEILING(verzamelblad!$K$7*D92,0.1),verzamelblad!$P$7))))</f>
        <v/>
      </c>
      <c r="F92" s="584" t="s">
        <v>725</v>
      </c>
      <c r="G92" s="731" t="s">
        <v>1158</v>
      </c>
      <c r="H92" s="565">
        <v>7</v>
      </c>
      <c r="I92" s="811" t="s">
        <v>251</v>
      </c>
      <c r="J92" s="811"/>
      <c r="K92" s="585">
        <v>0</v>
      </c>
      <c r="L92" s="819" t="str">
        <f>IF(AND(S$16=1,S$17=2),"",IF(S$16=2,"",IF(K92=0,"",H92/(K92/1000))))</f>
        <v/>
      </c>
      <c r="M92" s="819"/>
      <c r="N92" s="816" t="s">
        <v>268</v>
      </c>
      <c r="O92" s="816"/>
      <c r="P92" s="586" t="str">
        <f>IF(K92=0,"-",INDEX('data roosters'!F:J,MATCH(N92,'data roosters'!F:F,0),2)*(K92/1000))</f>
        <v>-</v>
      </c>
      <c r="Q92" s="729" t="str">
        <f t="shared" ref="Q92:Q95" si="13">IF(AND($S$16=1,$S$17=2),IF(OR(E92&lt;&gt;0,H92&lt;&gt;0,P92&lt;&gt;"-"),"","verbergen"),IF(OR(E92&lt;&gt;0,H92&lt;&gt;0),"","verbergen"))</f>
        <v/>
      </c>
      <c r="R92" s="418"/>
      <c r="S92" s="602"/>
      <c r="T92" s="392"/>
      <c r="U92" s="392"/>
      <c r="V92" s="547">
        <f t="shared" ref="V92:V97" si="14">V91</f>
        <v>2</v>
      </c>
      <c r="W92" s="392"/>
      <c r="X92" s="392"/>
      <c r="Y92" s="392"/>
      <c r="Z92" s="392"/>
      <c r="AA92" s="404"/>
      <c r="AB92" s="516"/>
      <c r="AC92" s="516"/>
      <c r="AD92" s="516"/>
      <c r="AE92" s="516"/>
      <c r="AF92" s="515" t="str">
        <f>IF(E92&gt;0,"x","")</f>
        <v>x</v>
      </c>
      <c r="AG92" s="516"/>
      <c r="AH92" s="516"/>
    </row>
    <row r="93" spans="1:38" s="541" customFormat="1" ht="12" customHeight="1">
      <c r="A93" s="404"/>
      <c r="B93" s="543"/>
      <c r="C93" s="464" t="str">
        <f>L30</f>
        <v>bijkeuken</v>
      </c>
      <c r="D93" s="733">
        <f>IF(F93="intern","",SUMPRODUCT(($AE$1:$AE$28098)*($L$1:$L$28098=C93)))</f>
        <v>5.96</v>
      </c>
      <c r="E93" s="566">
        <f>IF(F93="intern","",IF(D93=0,0,(IF(verzamelblad!$K$7*D93&gt;verzamelblad!$P$7,CEILING(verzamelblad!$K$7*D93,0.1),verzamelblad!$P$7))))</f>
        <v>7</v>
      </c>
      <c r="F93" s="584" t="str">
        <f>IF($S$16=1,"NT","MT")</f>
        <v>MT</v>
      </c>
      <c r="G93" s="731" t="s">
        <v>140</v>
      </c>
      <c r="H93" s="565">
        <v>7</v>
      </c>
      <c r="I93" s="811" t="s">
        <v>251</v>
      </c>
      <c r="J93" s="811"/>
      <c r="K93" s="585">
        <v>0</v>
      </c>
      <c r="L93" s="819" t="str">
        <f>IF(AND(S$16=1,S$17=2),"",IF(S$16=2,"",IF(K93=0,"",H93/(K93/1000))))</f>
        <v/>
      </c>
      <c r="M93" s="819"/>
      <c r="N93" s="816" t="s">
        <v>268</v>
      </c>
      <c r="O93" s="816"/>
      <c r="P93" s="586" t="str">
        <f>IF(K93=0,"-",INDEX('data roosters'!F:J,MATCH(N93,'data roosters'!F:F,0),2)*(K93/1000))</f>
        <v>-</v>
      </c>
      <c r="Q93" s="729" t="str">
        <f t="shared" si="13"/>
        <v/>
      </c>
      <c r="R93" s="603"/>
      <c r="S93" s="602"/>
      <c r="T93" s="392"/>
      <c r="U93" s="392"/>
      <c r="V93" s="547">
        <f t="shared" si="14"/>
        <v>2</v>
      </c>
      <c r="W93" s="392"/>
      <c r="X93" s="392"/>
      <c r="Y93" s="392"/>
      <c r="Z93" s="392"/>
      <c r="AA93" s="404"/>
      <c r="AB93" s="516"/>
      <c r="AC93" s="516"/>
      <c r="AD93" s="516"/>
      <c r="AE93" s="516"/>
      <c r="AF93" s="515" t="str">
        <f>IF(E93&gt;0,"x","")</f>
        <v>x</v>
      </c>
      <c r="AG93" s="516"/>
      <c r="AH93" s="516"/>
    </row>
    <row r="94" spans="1:38" s="541" customFormat="1" ht="12" hidden="1" customHeight="1">
      <c r="A94" s="404"/>
      <c r="B94" s="543"/>
      <c r="C94" s="464" t="s">
        <v>252</v>
      </c>
      <c r="D94" s="733">
        <f>IF(F94="intern","",SUMPRODUCT(($AE$1:$AE$28066)*($L$1:$L$28066=C94)))</f>
        <v>0</v>
      </c>
      <c r="E94" s="566">
        <f>IF(F94="intern","",IF(D94=0,0,(IF(verzamelblad!$K$7*D94&gt;verzamelblad!$P$7,CEILING(verzamelblad!$K$7*D94,0.1),verzamelblad!$P$7))))</f>
        <v>0</v>
      </c>
      <c r="F94" s="584" t="str">
        <f>IF($S$16=1,"NT","MT")</f>
        <v>MT</v>
      </c>
      <c r="G94" s="731" t="s">
        <v>140</v>
      </c>
      <c r="H94" s="565">
        <v>0</v>
      </c>
      <c r="I94" s="811" t="s">
        <v>251</v>
      </c>
      <c r="J94" s="811"/>
      <c r="K94" s="585">
        <v>0</v>
      </c>
      <c r="L94" s="819" t="str">
        <f>IF(AND(S$16=1,S$17=2),"",IF(S$16=2,"",IF(K94=0,"",H94/(K94/1000))))</f>
        <v/>
      </c>
      <c r="M94" s="819"/>
      <c r="N94" s="816" t="s">
        <v>268</v>
      </c>
      <c r="O94" s="816"/>
      <c r="P94" s="586" t="str">
        <f>IF(K94=0,"-",INDEX('data roosters'!F:J,MATCH(N94,'data roosters'!F:F,0),2)*(K94/1000))</f>
        <v>-</v>
      </c>
      <c r="Q94" s="729" t="str">
        <f t="shared" si="13"/>
        <v>verbergen</v>
      </c>
      <c r="R94" s="603"/>
      <c r="S94" s="602"/>
      <c r="T94" s="392"/>
      <c r="U94" s="392"/>
      <c r="V94" s="547">
        <f t="shared" si="14"/>
        <v>2</v>
      </c>
      <c r="W94" s="392"/>
      <c r="X94" s="392"/>
      <c r="Y94" s="392"/>
      <c r="Z94" s="392"/>
      <c r="AA94" s="404"/>
      <c r="AB94" s="516"/>
      <c r="AC94" s="516"/>
      <c r="AD94" s="516"/>
      <c r="AE94" s="516"/>
      <c r="AF94" s="515" t="str">
        <f>IF(E94&gt;0,"x","")</f>
        <v/>
      </c>
      <c r="AG94" s="516"/>
      <c r="AH94" s="516"/>
    </row>
    <row r="95" spans="1:38" s="541" customFormat="1" ht="12" hidden="1" customHeight="1">
      <c r="A95" s="404"/>
      <c r="B95" s="543"/>
      <c r="C95" s="464" t="s">
        <v>252</v>
      </c>
      <c r="D95" s="737">
        <f>IF(F95="intern","",SUMPRODUCT(($AE$1:$AE$28066)*($L$1:$L$28066=C95)))</f>
        <v>0</v>
      </c>
      <c r="E95" s="604">
        <f>IF(F95="intern","",IF(D95=0,0,(IF(verzamelblad!$K$7*D95&gt;verzamelblad!$P$7,CEILING(verzamelblad!$K$7*D95,0.1),verzamelblad!$P$7))))</f>
        <v>0</v>
      </c>
      <c r="F95" s="605" t="str">
        <f>IF($S$16=1,"NT","MT")</f>
        <v>MT</v>
      </c>
      <c r="G95" s="606" t="s">
        <v>140</v>
      </c>
      <c r="H95" s="607">
        <v>0</v>
      </c>
      <c r="I95" s="812" t="s">
        <v>251</v>
      </c>
      <c r="J95" s="812"/>
      <c r="K95" s="608">
        <v>0</v>
      </c>
      <c r="L95" s="822" t="str">
        <f>IF(AND(S$16=1,S$17=2),"",IF(S$16=2,"",IF(K95=0,"",H95/(K95/1000))))</f>
        <v/>
      </c>
      <c r="M95" s="822"/>
      <c r="N95" s="823" t="s">
        <v>268</v>
      </c>
      <c r="O95" s="823"/>
      <c r="P95" s="609" t="str">
        <f>IF(K95=0,"-",INDEX('data roosters'!F:J,MATCH(N95,'data roosters'!F:F,0),2)*(K95/1000))</f>
        <v>-</v>
      </c>
      <c r="Q95" s="729" t="str">
        <f t="shared" si="13"/>
        <v>verbergen</v>
      </c>
      <c r="R95" s="603"/>
      <c r="S95" s="602"/>
      <c r="T95" s="392"/>
      <c r="U95" s="392"/>
      <c r="V95" s="547">
        <f t="shared" si="14"/>
        <v>2</v>
      </c>
      <c r="W95" s="392"/>
      <c r="X95" s="392"/>
      <c r="Y95" s="392"/>
      <c r="Z95" s="392"/>
      <c r="AA95" s="404"/>
      <c r="AB95" s="516"/>
      <c r="AC95" s="516"/>
      <c r="AD95" s="516"/>
      <c r="AE95" s="516"/>
      <c r="AF95" s="515" t="str">
        <f>IF(E95&gt;0,"x","")</f>
        <v/>
      </c>
      <c r="AG95" s="516"/>
      <c r="AH95" s="516"/>
    </row>
    <row r="96" spans="1:38" s="541" customFormat="1" ht="12" customHeight="1">
      <c r="A96" s="404"/>
      <c r="B96" s="556">
        <f>B89+1</f>
        <v>2</v>
      </c>
      <c r="C96" s="480">
        <f>B96</f>
        <v>2</v>
      </c>
      <c r="D96" s="481">
        <f>SUMPRODUCT(($AD$1:$AD$50108)*($AC$1:$AC$50108=B96))</f>
        <v>22.4</v>
      </c>
      <c r="E96" s="591">
        <f>IF(D96=0,0,(IF(verzamelblad!$E$7*D96&gt;verzamelblad!$J$7,CEILING(verzamelblad!$E$7*D96,0.1),verzamelblad!$J$7)))</f>
        <v>20.200000000000003</v>
      </c>
      <c r="F96" s="824" t="str">
        <f>IF(SUM(H91:H95)&lt;E96,"voldoet niet op VG-niveau","totaal: "&amp;SUM(H91:H95) &amp; " dm³/s ")</f>
        <v xml:space="preserve">totaal: 21 dm³/s </v>
      </c>
      <c r="G96" s="824"/>
      <c r="H96" s="824"/>
      <c r="I96" s="592"/>
      <c r="J96" s="593"/>
      <c r="K96" s="594"/>
      <c r="L96" s="595"/>
      <c r="M96" s="821"/>
      <c r="N96" s="821"/>
      <c r="O96" s="596"/>
      <c r="P96" s="597"/>
      <c r="Q96" s="403"/>
      <c r="R96" s="603"/>
      <c r="S96" s="602"/>
      <c r="T96" s="392"/>
      <c r="U96" s="392"/>
      <c r="V96" s="547">
        <f t="shared" si="14"/>
        <v>2</v>
      </c>
      <c r="W96" s="392"/>
      <c r="X96" s="392"/>
      <c r="Y96" s="392"/>
      <c r="Z96" s="392"/>
      <c r="AA96" s="404"/>
      <c r="AB96" s="516"/>
      <c r="AC96" s="516"/>
      <c r="AD96" s="516"/>
      <c r="AE96" s="516"/>
      <c r="AF96" s="515" t="str">
        <f>IF(B96&gt;0,"ja")</f>
        <v>ja</v>
      </c>
      <c r="AG96" s="516"/>
      <c r="AH96" s="516"/>
    </row>
    <row r="97" spans="1:34" s="541" customFormat="1" ht="12" customHeight="1">
      <c r="A97" s="543"/>
      <c r="B97" s="543"/>
      <c r="C97" s="598"/>
      <c r="D97" s="422"/>
      <c r="E97" s="422"/>
      <c r="F97" s="422"/>
      <c r="G97" s="422"/>
      <c r="H97" s="599"/>
      <c r="I97" s="599"/>
      <c r="J97" s="530"/>
      <c r="K97" s="600"/>
      <c r="L97" s="600"/>
      <c r="M97" s="600"/>
      <c r="N97" s="600"/>
      <c r="O97" s="600"/>
      <c r="P97" s="600"/>
      <c r="Q97" s="403"/>
      <c r="R97" s="603"/>
      <c r="S97" s="602"/>
      <c r="T97" s="392"/>
      <c r="U97" s="392"/>
      <c r="V97" s="547">
        <f t="shared" si="14"/>
        <v>2</v>
      </c>
      <c r="W97" s="392"/>
      <c r="X97" s="392"/>
      <c r="Y97" s="392"/>
      <c r="Z97" s="392"/>
      <c r="AA97" s="404"/>
      <c r="AB97" s="516"/>
      <c r="AC97" s="516"/>
      <c r="AD97" s="516"/>
      <c r="AE97" s="516"/>
      <c r="AF97" s="516"/>
      <c r="AG97" s="516"/>
      <c r="AH97" s="516"/>
    </row>
    <row r="98" spans="1:34" s="541" customFormat="1" ht="12" customHeight="1">
      <c r="A98" s="404"/>
      <c r="B98" s="543"/>
      <c r="C98" s="464" t="str">
        <f>L31</f>
        <v>slaapkamer 1</v>
      </c>
      <c r="D98" s="733">
        <f>IF(F98="intern","",SUMPRODUCT(($AE$1:$AE$28050)*($L$1:$L$28050=C98)))</f>
        <v>7.57</v>
      </c>
      <c r="E98" s="566">
        <f>IF(F98="intern","",IF(D98=0,0,(IF(verzamelblad!$K$7*D98&gt;verzamelblad!$P$7,CEILING(verzamelblad!$K$7*D98,0.1),verzamelblad!$P$7))))</f>
        <v>7</v>
      </c>
      <c r="F98" s="584" t="str">
        <f>IF($S$16=1,"NT","MT")</f>
        <v>MT</v>
      </c>
      <c r="G98" s="731" t="s">
        <v>140</v>
      </c>
      <c r="H98" s="565">
        <v>14</v>
      </c>
      <c r="I98" s="811" t="s">
        <v>251</v>
      </c>
      <c r="J98" s="811"/>
      <c r="K98" s="585">
        <v>0</v>
      </c>
      <c r="L98" s="819" t="str">
        <f>IF(AND(S$16=1,S$17=2),"",IF(S$16=2,"",IF(K98=0,"",H98/(K98/1000))))</f>
        <v/>
      </c>
      <c r="M98" s="819"/>
      <c r="N98" s="816" t="s">
        <v>268</v>
      </c>
      <c r="O98" s="816"/>
      <c r="P98" s="586" t="str">
        <f>IF(K98=0,"-",INDEX('data roosters'!F:J,MATCH(N98,'data roosters'!F:F,0),2)*(K98/1000))</f>
        <v>-</v>
      </c>
      <c r="Q98" s="729" t="str">
        <f>IF(AND($S$16=1,$S$17=2),IF(OR(E98&lt;&gt;0,H98&lt;&gt;0,P98&lt;&gt;"-"),"","verbergen"),IF(OR(E98&lt;&gt;0,H98&lt;&gt;0),"","verbergen"))</f>
        <v/>
      </c>
      <c r="R98" s="601"/>
      <c r="S98" s="602"/>
      <c r="T98" s="392"/>
      <c r="U98" s="392"/>
      <c r="V98" s="547">
        <f>V97+1</f>
        <v>3</v>
      </c>
      <c r="W98" s="392"/>
      <c r="X98" s="392"/>
      <c r="Y98" s="392"/>
      <c r="Z98" s="392"/>
      <c r="AA98" s="404"/>
      <c r="AB98" s="516"/>
      <c r="AC98" s="516"/>
      <c r="AD98" s="516"/>
      <c r="AE98" s="516"/>
      <c r="AF98" s="515" t="str">
        <f>IF(E98&gt;0,"x","")</f>
        <v>x</v>
      </c>
      <c r="AG98" s="516"/>
      <c r="AH98" s="516"/>
    </row>
    <row r="99" spans="1:34" s="541" customFormat="1" ht="12" customHeight="1">
      <c r="A99" s="404"/>
      <c r="B99" s="543"/>
      <c r="C99" s="464" t="str">
        <f t="shared" ref="C99:C100" si="15">L32</f>
        <v>slaapkamer 2</v>
      </c>
      <c r="D99" s="733">
        <f>IF(F99="intern","",SUMPRODUCT(($AE$1:$AE$28050)*($L$1:$L$28050=C99)))</f>
        <v>7.47</v>
      </c>
      <c r="E99" s="566">
        <f>IF(F99="intern","",IF(D99=0,0,(IF(verzamelblad!$K$7*D99&gt;verzamelblad!$P$7,CEILING(verzamelblad!$K$7*D99,0.1),verzamelblad!$P$7))))</f>
        <v>7</v>
      </c>
      <c r="F99" s="584" t="str">
        <f>IF($S$16=1,"NT","MT")</f>
        <v>MT</v>
      </c>
      <c r="G99" s="731" t="s">
        <v>140</v>
      </c>
      <c r="H99" s="565">
        <v>14</v>
      </c>
      <c r="I99" s="811" t="s">
        <v>251</v>
      </c>
      <c r="J99" s="811"/>
      <c r="K99" s="585">
        <v>0</v>
      </c>
      <c r="L99" s="819" t="str">
        <f>IF(AND(S$16=1,S$17=2),"",IF(S$16=2,"",IF(K99=0,"",H99/(K99/1000))))</f>
        <v/>
      </c>
      <c r="M99" s="819"/>
      <c r="N99" s="816" t="s">
        <v>268</v>
      </c>
      <c r="O99" s="816"/>
      <c r="P99" s="586" t="str">
        <f>IF(K99=0,"-",INDEX('data roosters'!F:J,MATCH(N99,'data roosters'!F:F,0),2)*(K99/1000))</f>
        <v>-</v>
      </c>
      <c r="Q99" s="729" t="str">
        <f t="shared" ref="Q99:Q102" si="16">IF(AND($S$16=1,$S$17=2),IF(OR(E99&lt;&gt;0,H99&lt;&gt;0,P99&lt;&gt;"-"),"","verbergen"),IF(OR(E99&lt;&gt;0,H99&lt;&gt;0),"","verbergen"))</f>
        <v/>
      </c>
      <c r="R99" s="418"/>
      <c r="S99" s="602"/>
      <c r="T99" s="392"/>
      <c r="U99" s="392"/>
      <c r="V99" s="547">
        <f t="shared" ref="V99:V104" si="17">V98</f>
        <v>3</v>
      </c>
      <c r="W99" s="392"/>
      <c r="X99" s="392"/>
      <c r="Y99" s="392"/>
      <c r="Z99" s="392"/>
      <c r="AA99" s="404"/>
      <c r="AB99" s="516"/>
      <c r="AC99" s="516"/>
      <c r="AD99" s="516"/>
      <c r="AE99" s="516"/>
      <c r="AF99" s="515" t="str">
        <f>IF(E99&gt;0,"x","")</f>
        <v>x</v>
      </c>
      <c r="AG99" s="516"/>
      <c r="AH99" s="516"/>
    </row>
    <row r="100" spans="1:34" s="541" customFormat="1" ht="12" customHeight="1">
      <c r="A100" s="404"/>
      <c r="B100" s="543"/>
      <c r="C100" s="464" t="str">
        <f t="shared" si="15"/>
        <v>studeerkamer</v>
      </c>
      <c r="D100" s="733">
        <f>IF(F100="intern","",SUMPRODUCT(($AE$1:$AE$28050)*($L$1:$L$28050=C100)))</f>
        <v>3.33</v>
      </c>
      <c r="E100" s="566">
        <f>IF(F100="intern","",IF(D100=0,0,(IF(verzamelblad!$K$7*D100&gt;verzamelblad!$P$7,CEILING(verzamelblad!$K$7*D100,0.1),verzamelblad!$P$7))))</f>
        <v>7</v>
      </c>
      <c r="F100" s="584" t="str">
        <f>IF($S$16=1,"NT","MT")</f>
        <v>MT</v>
      </c>
      <c r="G100" s="731" t="s">
        <v>140</v>
      </c>
      <c r="H100" s="565">
        <v>14</v>
      </c>
      <c r="I100" s="811" t="s">
        <v>251</v>
      </c>
      <c r="J100" s="811"/>
      <c r="K100" s="585">
        <v>0</v>
      </c>
      <c r="L100" s="819" t="str">
        <f>IF(AND(S$16=1,S$17=2),"",IF(S$16=2,"",IF(K100=0,"",H100/(K100/1000))))</f>
        <v/>
      </c>
      <c r="M100" s="819"/>
      <c r="N100" s="816" t="s">
        <v>268</v>
      </c>
      <c r="O100" s="816"/>
      <c r="P100" s="586" t="str">
        <f>IF(K100=0,"-",INDEX('data roosters'!F:J,MATCH(N100,'data roosters'!F:F,0),2)*(K100/1000))</f>
        <v>-</v>
      </c>
      <c r="Q100" s="729" t="str">
        <f t="shared" si="16"/>
        <v/>
      </c>
      <c r="R100" s="603"/>
      <c r="S100" s="602"/>
      <c r="T100" s="392"/>
      <c r="U100" s="392"/>
      <c r="V100" s="547">
        <f t="shared" si="17"/>
        <v>3</v>
      </c>
      <c r="W100" s="392"/>
      <c r="X100" s="392"/>
      <c r="Y100" s="392"/>
      <c r="Z100" s="392"/>
      <c r="AA100" s="404"/>
      <c r="AB100" s="516"/>
      <c r="AC100" s="516"/>
      <c r="AD100" s="516"/>
      <c r="AE100" s="516"/>
      <c r="AF100" s="515" t="str">
        <f>IF(E100&gt;0,"x","")</f>
        <v>x</v>
      </c>
      <c r="AG100" s="516"/>
      <c r="AH100" s="516"/>
    </row>
    <row r="101" spans="1:34" s="541" customFormat="1" ht="12" hidden="1" customHeight="1">
      <c r="A101" s="404"/>
      <c r="B101" s="543"/>
      <c r="C101" s="464" t="s">
        <v>252</v>
      </c>
      <c r="D101" s="733">
        <f>IF(F101="intern","",SUMPRODUCT(($AE$1:$AE$28050)*($L$1:$L$28050=C101)))</f>
        <v>0</v>
      </c>
      <c r="E101" s="566">
        <f>IF(F101="intern","",IF(D101=0,0,(IF(verzamelblad!$K$7*D101&gt;verzamelblad!$P$7,CEILING(verzamelblad!$K$7*D101,0.1),verzamelblad!$P$7))))</f>
        <v>0</v>
      </c>
      <c r="F101" s="584" t="str">
        <f>IF($S$16=1,"NT","MT")</f>
        <v>MT</v>
      </c>
      <c r="G101" s="731" t="s">
        <v>140</v>
      </c>
      <c r="H101" s="565">
        <v>0</v>
      </c>
      <c r="I101" s="811" t="s">
        <v>251</v>
      </c>
      <c r="J101" s="811"/>
      <c r="K101" s="585">
        <v>0</v>
      </c>
      <c r="L101" s="819" t="str">
        <f>IF(AND(S$16=1,S$17=2),"",IF(S$16=2,"",IF(K101=0,"",H101/(K101/1000))))</f>
        <v/>
      </c>
      <c r="M101" s="819"/>
      <c r="N101" s="816" t="s">
        <v>268</v>
      </c>
      <c r="O101" s="816"/>
      <c r="P101" s="586" t="str">
        <f>IF(K101=0,"-",INDEX('data roosters'!F:J,MATCH(N101,'data roosters'!F:F,0),2)*(K101/1000))</f>
        <v>-</v>
      </c>
      <c r="Q101" s="729" t="str">
        <f t="shared" si="16"/>
        <v>verbergen</v>
      </c>
      <c r="R101" s="603"/>
      <c r="S101" s="602"/>
      <c r="T101" s="392"/>
      <c r="U101" s="392"/>
      <c r="V101" s="547">
        <f t="shared" si="17"/>
        <v>3</v>
      </c>
      <c r="W101" s="392"/>
      <c r="X101" s="392"/>
      <c r="Y101" s="392"/>
      <c r="Z101" s="392"/>
      <c r="AA101" s="404"/>
      <c r="AB101" s="516"/>
      <c r="AC101" s="516"/>
      <c r="AD101" s="516"/>
      <c r="AE101" s="516"/>
      <c r="AF101" s="515" t="str">
        <f>IF(E101&gt;0,"x","")</f>
        <v/>
      </c>
      <c r="AG101" s="516"/>
      <c r="AH101" s="516"/>
    </row>
    <row r="102" spans="1:34" s="541" customFormat="1" ht="12" hidden="1" customHeight="1">
      <c r="A102" s="404"/>
      <c r="B102" s="543"/>
      <c r="C102" s="472" t="s">
        <v>252</v>
      </c>
      <c r="D102" s="737">
        <f>IF(F102="intern","",SUMPRODUCT(($AE$1:$AE$28050)*($L$1:$L$28050=C102)))</f>
        <v>0</v>
      </c>
      <c r="E102" s="604">
        <f>IF(F102="intern","",IF(D102=0,0,(IF(verzamelblad!$K$7*D102&gt;verzamelblad!$P$7,CEILING(verzamelblad!$K$7*D102,0.1),verzamelblad!$P$7))))</f>
        <v>0</v>
      </c>
      <c r="F102" s="605" t="str">
        <f>IF($S$16=1,"NT","MT")</f>
        <v>MT</v>
      </c>
      <c r="G102" s="606" t="s">
        <v>140</v>
      </c>
      <c r="H102" s="607">
        <v>0</v>
      </c>
      <c r="I102" s="812" t="s">
        <v>251</v>
      </c>
      <c r="J102" s="812"/>
      <c r="K102" s="608">
        <v>0</v>
      </c>
      <c r="L102" s="822" t="str">
        <f>IF(AND(S$16=1,S$17=2),"",IF(S$16=2,"",IF(K102=0,"",H102/(K102/1000))))</f>
        <v/>
      </c>
      <c r="M102" s="822"/>
      <c r="N102" s="823" t="s">
        <v>268</v>
      </c>
      <c r="O102" s="823"/>
      <c r="P102" s="609" t="str">
        <f>IF(K102=0,"-",INDEX('data roosters'!F:J,MATCH(N102,'data roosters'!F:F,0),2)*(K102/1000))</f>
        <v>-</v>
      </c>
      <c r="Q102" s="729" t="str">
        <f t="shared" si="16"/>
        <v>verbergen</v>
      </c>
      <c r="R102" s="603"/>
      <c r="S102" s="602"/>
      <c r="T102" s="392"/>
      <c r="U102" s="392"/>
      <c r="V102" s="547">
        <f t="shared" si="17"/>
        <v>3</v>
      </c>
      <c r="W102" s="392"/>
      <c r="X102" s="392"/>
      <c r="Y102" s="392"/>
      <c r="Z102" s="392"/>
      <c r="AA102" s="404"/>
      <c r="AB102" s="516"/>
      <c r="AC102" s="516"/>
      <c r="AD102" s="516"/>
      <c r="AE102" s="516"/>
      <c r="AF102" s="515" t="str">
        <f>IF(E102&gt;0,"x","")</f>
        <v/>
      </c>
      <c r="AG102" s="516"/>
      <c r="AH102" s="516"/>
    </row>
    <row r="103" spans="1:34" s="541" customFormat="1" ht="12" customHeight="1">
      <c r="A103" s="404"/>
      <c r="B103" s="556">
        <f>B96+1</f>
        <v>3</v>
      </c>
      <c r="C103" s="480">
        <f>B103</f>
        <v>3</v>
      </c>
      <c r="D103" s="481">
        <f>SUMPRODUCT(($AD$1:$AD$50092)*($AC$1:$AC$50092=B103))</f>
        <v>22.21</v>
      </c>
      <c r="E103" s="591">
        <f>IF(D103=0,0,(IF(verzamelblad!$E$7*D103&gt;verzamelblad!$J$7,CEILING(verzamelblad!$E$7*D103,0.1),verzamelblad!$J$7)))</f>
        <v>20</v>
      </c>
      <c r="F103" s="824" t="str">
        <f>IF(SUM(H98:H102)&lt;E103,"voldoet niet op VG-niveau","totaal: "&amp;SUM(H98:H102) &amp; " dm³/s ")</f>
        <v xml:space="preserve">totaal: 42 dm³/s </v>
      </c>
      <c r="G103" s="824"/>
      <c r="H103" s="824"/>
      <c r="I103" s="592"/>
      <c r="J103" s="593"/>
      <c r="K103" s="594"/>
      <c r="L103" s="595"/>
      <c r="M103" s="821"/>
      <c r="N103" s="821"/>
      <c r="O103" s="596"/>
      <c r="P103" s="597"/>
      <c r="Q103" s="403"/>
      <c r="R103" s="603"/>
      <c r="S103" s="602"/>
      <c r="T103" s="392"/>
      <c r="U103" s="392"/>
      <c r="V103" s="547">
        <f t="shared" si="17"/>
        <v>3</v>
      </c>
      <c r="W103" s="392"/>
      <c r="X103" s="392"/>
      <c r="Y103" s="392"/>
      <c r="Z103" s="392"/>
      <c r="AA103" s="404"/>
      <c r="AB103" s="516"/>
      <c r="AC103" s="516"/>
      <c r="AD103" s="516"/>
      <c r="AE103" s="516"/>
      <c r="AF103" s="515" t="str">
        <f>IF(B103&gt;0,"ja")</f>
        <v>ja</v>
      </c>
      <c r="AG103" s="516"/>
      <c r="AH103" s="516"/>
    </row>
    <row r="104" spans="1:34" s="541" customFormat="1" ht="12" customHeight="1">
      <c r="A104" s="543"/>
      <c r="B104" s="543"/>
      <c r="C104" s="598"/>
      <c r="D104" s="422"/>
      <c r="E104" s="422"/>
      <c r="F104" s="422"/>
      <c r="G104" s="422"/>
      <c r="H104" s="599"/>
      <c r="I104" s="599"/>
      <c r="J104" s="530"/>
      <c r="K104" s="600"/>
      <c r="L104" s="600"/>
      <c r="M104" s="600"/>
      <c r="N104" s="600"/>
      <c r="O104" s="600"/>
      <c r="P104" s="600"/>
      <c r="Q104" s="403"/>
      <c r="R104" s="603"/>
      <c r="S104" s="602"/>
      <c r="T104" s="392"/>
      <c r="U104" s="392"/>
      <c r="V104" s="547">
        <f t="shared" si="17"/>
        <v>3</v>
      </c>
      <c r="W104" s="392"/>
      <c r="X104" s="392"/>
      <c r="Y104" s="392"/>
      <c r="Z104" s="392"/>
      <c r="AA104" s="404"/>
      <c r="AB104" s="516"/>
      <c r="AC104" s="516"/>
      <c r="AD104" s="516"/>
      <c r="AE104" s="516"/>
      <c r="AF104" s="516"/>
      <c r="AG104" s="516"/>
      <c r="AH104" s="516"/>
    </row>
    <row r="105" spans="1:34" s="541" customFormat="1" ht="12" customHeight="1">
      <c r="A105" s="404"/>
      <c r="B105" s="543"/>
      <c r="C105" s="464" t="str">
        <f>L34</f>
        <v>slaapkamer 3</v>
      </c>
      <c r="D105" s="733">
        <f>IF(F105="intern","",SUMPRODUCT(($AE$1:$AE$28022)*($L$1:$L$28022=C105)))</f>
        <v>6</v>
      </c>
      <c r="E105" s="566">
        <f>IF(F105="intern","",IF(D105=0,0,(IF(verzamelblad!$K$7*D105&gt;verzamelblad!$P$7,CEILING(verzamelblad!$K$7*D105,0.1),verzamelblad!$P$7))))</f>
        <v>7</v>
      </c>
      <c r="F105" s="584" t="str">
        <f>IF($S$16=1,"NT","MT")</f>
        <v>MT</v>
      </c>
      <c r="G105" s="731" t="s">
        <v>140</v>
      </c>
      <c r="H105" s="565">
        <v>14</v>
      </c>
      <c r="I105" s="811" t="s">
        <v>251</v>
      </c>
      <c r="J105" s="811"/>
      <c r="K105" s="585">
        <v>0</v>
      </c>
      <c r="L105" s="819" t="str">
        <f>IF(AND(S$16=1,S$17=2),"",IF(S$16=2,"",IF(K105=0,"",H105/(K105/1000))))</f>
        <v/>
      </c>
      <c r="M105" s="819"/>
      <c r="N105" s="816" t="s">
        <v>268</v>
      </c>
      <c r="O105" s="816"/>
      <c r="P105" s="586" t="str">
        <f>IF(K105=0,"-",INDEX('data roosters'!F:J,MATCH(N105,'data roosters'!F:F,0),2)*(K105/1000))</f>
        <v>-</v>
      </c>
      <c r="Q105" s="729" t="str">
        <f>IF(AND($S$16=1,$S$17=2),IF(OR(E105&lt;&gt;0,H105&lt;&gt;0,P105&lt;&gt;"-"),"","verbergen"),IF(OR(E105&lt;&gt;0,H105&lt;&gt;0),"","verbergen"))</f>
        <v/>
      </c>
      <c r="R105" s="601"/>
      <c r="S105" s="602"/>
      <c r="T105" s="392"/>
      <c r="U105" s="392"/>
      <c r="V105" s="547">
        <f>V104+1</f>
        <v>4</v>
      </c>
      <c r="W105" s="392"/>
      <c r="X105" s="392"/>
      <c r="Y105" s="392"/>
      <c r="Z105" s="392"/>
      <c r="AA105" s="404"/>
      <c r="AB105" s="516"/>
      <c r="AC105" s="516"/>
      <c r="AD105" s="516"/>
      <c r="AE105" s="516"/>
      <c r="AF105" s="515" t="str">
        <f>IF(E105&gt;0,"x","")</f>
        <v>x</v>
      </c>
      <c r="AG105" s="516"/>
      <c r="AH105" s="516"/>
    </row>
    <row r="106" spans="1:34" s="541" customFormat="1" ht="12" hidden="1" customHeight="1">
      <c r="A106" s="404"/>
      <c r="B106" s="543"/>
      <c r="C106" s="464" t="s">
        <v>252</v>
      </c>
      <c r="D106" s="733">
        <f>IF(F106="intern","",SUMPRODUCT(($AE$1:$AE$28022)*($L$1:$L$28022=C106)))</f>
        <v>0</v>
      </c>
      <c r="E106" s="566">
        <f>IF(F106="intern","",IF(D106=0,0,(IF(verzamelblad!$K$7*D106&gt;verzamelblad!$P$7,CEILING(verzamelblad!$K$7*D106,0.1),verzamelblad!$P$7))))</f>
        <v>0</v>
      </c>
      <c r="F106" s="584" t="str">
        <f>IF($S$16=1,"NT","MT")</f>
        <v>MT</v>
      </c>
      <c r="G106" s="731" t="s">
        <v>140</v>
      </c>
      <c r="H106" s="565">
        <v>0</v>
      </c>
      <c r="I106" s="811" t="s">
        <v>251</v>
      </c>
      <c r="J106" s="811"/>
      <c r="K106" s="585">
        <v>0</v>
      </c>
      <c r="L106" s="819" t="str">
        <f>IF(AND(S$16=1,S$17=2),"",IF(S$16=2,"",IF(K106=0,"",H106/(K106/1000))))</f>
        <v/>
      </c>
      <c r="M106" s="819"/>
      <c r="N106" s="816" t="s">
        <v>268</v>
      </c>
      <c r="O106" s="816"/>
      <c r="P106" s="586" t="str">
        <f>IF(K106=0,"-",INDEX('data roosters'!F:J,MATCH(N106,'data roosters'!F:F,0),2)*(K106/1000))</f>
        <v>-</v>
      </c>
      <c r="Q106" s="729" t="str">
        <f t="shared" ref="Q106:Q109" si="18">IF(AND($S$16=1,$S$17=2),IF(OR(E106&lt;&gt;0,H106&lt;&gt;0,P106&lt;&gt;"-"),"","verbergen"),IF(OR(E106&lt;&gt;0,H106&lt;&gt;0),"","verbergen"))</f>
        <v>verbergen</v>
      </c>
      <c r="R106" s="418"/>
      <c r="S106" s="602"/>
      <c r="T106" s="392"/>
      <c r="U106" s="392"/>
      <c r="V106" s="547">
        <f t="shared" ref="V106:V111" si="19">V105</f>
        <v>4</v>
      </c>
      <c r="W106" s="392"/>
      <c r="X106" s="392"/>
      <c r="Y106" s="392"/>
      <c r="Z106" s="392"/>
      <c r="AA106" s="404"/>
      <c r="AB106" s="516"/>
      <c r="AC106" s="516"/>
      <c r="AD106" s="516"/>
      <c r="AE106" s="516"/>
      <c r="AF106" s="515" t="str">
        <f>IF(E106&gt;0,"x","")</f>
        <v/>
      </c>
      <c r="AG106" s="516"/>
      <c r="AH106" s="516"/>
    </row>
    <row r="107" spans="1:34" s="541" customFormat="1" ht="12" hidden="1" customHeight="1">
      <c r="A107" s="404"/>
      <c r="B107" s="543"/>
      <c r="C107" s="464" t="s">
        <v>252</v>
      </c>
      <c r="D107" s="733">
        <f>IF(F107="intern","",SUMPRODUCT(($AE$1:$AE$28022)*($L$1:$L$28022=C107)))</f>
        <v>0</v>
      </c>
      <c r="E107" s="566">
        <f>IF(F107="intern","",IF(D107=0,0,(IF(verzamelblad!$K$7*D107&gt;verzamelblad!$P$7,CEILING(verzamelblad!$K$7*D107,0.1),verzamelblad!$P$7))))</f>
        <v>0</v>
      </c>
      <c r="F107" s="584" t="str">
        <f>IF($S$16=1,"NT","MT")</f>
        <v>MT</v>
      </c>
      <c r="G107" s="731" t="s">
        <v>140</v>
      </c>
      <c r="H107" s="565">
        <v>0</v>
      </c>
      <c r="I107" s="811" t="s">
        <v>251</v>
      </c>
      <c r="J107" s="811"/>
      <c r="K107" s="585">
        <v>0</v>
      </c>
      <c r="L107" s="819" t="str">
        <f>IF(AND(S$16=1,S$17=2),"",IF(S$16=2,"",IF(K107=0,"",H107/(K107/1000))))</f>
        <v/>
      </c>
      <c r="M107" s="819"/>
      <c r="N107" s="816" t="s">
        <v>268</v>
      </c>
      <c r="O107" s="816"/>
      <c r="P107" s="586" t="str">
        <f>IF(K107=0,"-",INDEX('data roosters'!F:J,MATCH(N107,'data roosters'!F:F,0),2)*(K107/1000))</f>
        <v>-</v>
      </c>
      <c r="Q107" s="729" t="str">
        <f t="shared" si="18"/>
        <v>verbergen</v>
      </c>
      <c r="R107" s="603"/>
      <c r="S107" s="602"/>
      <c r="T107" s="392"/>
      <c r="U107" s="392"/>
      <c r="V107" s="547">
        <f t="shared" si="19"/>
        <v>4</v>
      </c>
      <c r="W107" s="392"/>
      <c r="X107" s="392"/>
      <c r="Y107" s="392"/>
      <c r="Z107" s="392"/>
      <c r="AA107" s="404"/>
      <c r="AB107" s="516"/>
      <c r="AC107" s="516"/>
      <c r="AD107" s="516"/>
      <c r="AE107" s="516"/>
      <c r="AF107" s="515" t="str">
        <f>IF(E107&gt;0,"x","")</f>
        <v/>
      </c>
      <c r="AG107" s="516"/>
      <c r="AH107" s="516"/>
    </row>
    <row r="108" spans="1:34" s="541" customFormat="1" ht="12" hidden="1" customHeight="1">
      <c r="A108" s="404"/>
      <c r="B108" s="543"/>
      <c r="C108" s="464" t="s">
        <v>252</v>
      </c>
      <c r="D108" s="733">
        <f>IF(F108="intern","",SUMPRODUCT(($AE$1:$AE$28022)*($L$1:$L$28022=C108)))</f>
        <v>0</v>
      </c>
      <c r="E108" s="566">
        <f>IF(F108="intern","",IF(D108=0,0,(IF(verzamelblad!$K$7*D108&gt;verzamelblad!$P$7,CEILING(verzamelblad!$K$7*D108,0.1),verzamelblad!$P$7))))</f>
        <v>0</v>
      </c>
      <c r="F108" s="584" t="str">
        <f>IF($S$16=1,"NT","MT")</f>
        <v>MT</v>
      </c>
      <c r="G108" s="731" t="s">
        <v>140</v>
      </c>
      <c r="H108" s="565">
        <v>0</v>
      </c>
      <c r="I108" s="811" t="s">
        <v>251</v>
      </c>
      <c r="J108" s="811"/>
      <c r="K108" s="585">
        <v>0</v>
      </c>
      <c r="L108" s="819" t="str">
        <f>IF(AND(S$16=1,S$17=2),"",IF(S$16=2,"",IF(K108=0,"",H108/(K108/1000))))</f>
        <v/>
      </c>
      <c r="M108" s="819"/>
      <c r="N108" s="816" t="s">
        <v>268</v>
      </c>
      <c r="O108" s="816"/>
      <c r="P108" s="586" t="str">
        <f>IF(K108=0,"-",INDEX('data roosters'!F:J,MATCH(N108,'data roosters'!F:F,0),2)*(K108/1000))</f>
        <v>-</v>
      </c>
      <c r="Q108" s="729" t="str">
        <f t="shared" si="18"/>
        <v>verbergen</v>
      </c>
      <c r="R108" s="603"/>
      <c r="S108" s="602"/>
      <c r="T108" s="392"/>
      <c r="U108" s="392"/>
      <c r="V108" s="547">
        <f t="shared" si="19"/>
        <v>4</v>
      </c>
      <c r="W108" s="392"/>
      <c r="X108" s="392"/>
      <c r="Y108" s="392"/>
      <c r="Z108" s="392"/>
      <c r="AA108" s="404"/>
      <c r="AB108" s="516"/>
      <c r="AC108" s="516"/>
      <c r="AD108" s="516"/>
      <c r="AE108" s="516"/>
      <c r="AF108" s="515" t="str">
        <f>IF(E108&gt;0,"x","")</f>
        <v/>
      </c>
      <c r="AG108" s="516"/>
      <c r="AH108" s="516"/>
    </row>
    <row r="109" spans="1:34" s="541" customFormat="1" ht="12" hidden="1" customHeight="1">
      <c r="A109" s="404"/>
      <c r="B109" s="543"/>
      <c r="C109" s="472" t="s">
        <v>252</v>
      </c>
      <c r="D109" s="737">
        <f>IF(F109="intern","",SUMPRODUCT(($AE$1:$AE$28022)*($L$1:$L$28022=C109)))</f>
        <v>0</v>
      </c>
      <c r="E109" s="604">
        <f>IF(F109="intern","",IF(D109=0,0,(IF(verzamelblad!$K$7*D109&gt;verzamelblad!$P$7,CEILING(verzamelblad!$K$7*D109,0.1),verzamelblad!$P$7))))</f>
        <v>0</v>
      </c>
      <c r="F109" s="605" t="str">
        <f>IF($S$16=1,"NT","MT")</f>
        <v>MT</v>
      </c>
      <c r="G109" s="606" t="s">
        <v>140</v>
      </c>
      <c r="H109" s="607">
        <v>0</v>
      </c>
      <c r="I109" s="812" t="s">
        <v>251</v>
      </c>
      <c r="J109" s="812"/>
      <c r="K109" s="608">
        <v>0</v>
      </c>
      <c r="L109" s="822" t="str">
        <f>IF(AND(S$16=1,S$17=2),"",IF(S$16=2,"",IF(K109=0,"",H109/(K109/1000))))</f>
        <v/>
      </c>
      <c r="M109" s="822"/>
      <c r="N109" s="823" t="s">
        <v>268</v>
      </c>
      <c r="O109" s="823"/>
      <c r="P109" s="609" t="str">
        <f>IF(K109=0,"-",INDEX('data roosters'!F:J,MATCH(N109,'data roosters'!F:F,0),2)*(K109/1000))</f>
        <v>-</v>
      </c>
      <c r="Q109" s="729" t="str">
        <f t="shared" si="18"/>
        <v>verbergen</v>
      </c>
      <c r="R109" s="603"/>
      <c r="S109" s="602"/>
      <c r="T109" s="392"/>
      <c r="U109" s="392"/>
      <c r="V109" s="547">
        <f t="shared" si="19"/>
        <v>4</v>
      </c>
      <c r="W109" s="392"/>
      <c r="X109" s="392"/>
      <c r="Y109" s="392"/>
      <c r="Z109" s="392"/>
      <c r="AA109" s="404"/>
      <c r="AB109" s="516"/>
      <c r="AC109" s="516"/>
      <c r="AD109" s="516"/>
      <c r="AE109" s="516"/>
      <c r="AF109" s="515" t="str">
        <f>IF(E109&gt;0,"x","")</f>
        <v/>
      </c>
      <c r="AG109" s="516"/>
      <c r="AH109" s="516"/>
    </row>
    <row r="110" spans="1:34" s="541" customFormat="1" ht="12" customHeight="1">
      <c r="A110" s="404"/>
      <c r="B110" s="556">
        <f>B103+1</f>
        <v>4</v>
      </c>
      <c r="C110" s="480">
        <f>B110</f>
        <v>4</v>
      </c>
      <c r="D110" s="481">
        <f>SUMPRODUCT(($AD$1:$AD$50064)*($AC$1:$AC$50064=B110))</f>
        <v>9.31</v>
      </c>
      <c r="E110" s="591">
        <f>IF(D110=0,0,(IF(verzamelblad!$E$7*D110&gt;verzamelblad!$J$7,CEILING(verzamelblad!$E$7*D110,0.1),verzamelblad!$J$7)))</f>
        <v>8.4</v>
      </c>
      <c r="F110" s="824" t="str">
        <f>IF(SUM(H105:H109)&lt;E110,"voldoet niet op VG-niveau","totaal: "&amp;SUM(H105:H109) &amp; " dm³/s ")</f>
        <v xml:space="preserve">totaal: 14 dm³/s </v>
      </c>
      <c r="G110" s="824"/>
      <c r="H110" s="824"/>
      <c r="I110" s="592"/>
      <c r="J110" s="593"/>
      <c r="K110" s="594"/>
      <c r="L110" s="595"/>
      <c r="M110" s="821"/>
      <c r="N110" s="821"/>
      <c r="O110" s="596"/>
      <c r="P110" s="597"/>
      <c r="Q110" s="403"/>
      <c r="R110" s="603"/>
      <c r="S110" s="602"/>
      <c r="T110" s="392"/>
      <c r="U110" s="392"/>
      <c r="V110" s="547">
        <f t="shared" si="19"/>
        <v>4</v>
      </c>
      <c r="W110" s="392"/>
      <c r="X110" s="392"/>
      <c r="Y110" s="392"/>
      <c r="Z110" s="392"/>
      <c r="AA110" s="404"/>
      <c r="AB110" s="516"/>
      <c r="AC110" s="516"/>
      <c r="AD110" s="516"/>
      <c r="AE110" s="516"/>
      <c r="AF110" s="515" t="str">
        <f>IF(B110&gt;0,"ja")</f>
        <v>ja</v>
      </c>
      <c r="AG110" s="516"/>
      <c r="AH110" s="516"/>
    </row>
    <row r="111" spans="1:34" s="541" customFormat="1" ht="12" customHeight="1">
      <c r="A111" s="543"/>
      <c r="B111" s="543"/>
      <c r="C111" s="598"/>
      <c r="D111" s="422"/>
      <c r="E111" s="422"/>
      <c r="F111" s="422"/>
      <c r="G111" s="422"/>
      <c r="H111" s="599"/>
      <c r="I111" s="599"/>
      <c r="J111" s="530"/>
      <c r="K111" s="600"/>
      <c r="L111" s="600"/>
      <c r="M111" s="600"/>
      <c r="N111" s="600"/>
      <c r="O111" s="600"/>
      <c r="P111" s="600"/>
      <c r="Q111" s="403"/>
      <c r="R111" s="603"/>
      <c r="S111" s="602"/>
      <c r="T111" s="392"/>
      <c r="U111" s="392"/>
      <c r="V111" s="547">
        <f t="shared" si="19"/>
        <v>4</v>
      </c>
      <c r="W111" s="392"/>
      <c r="X111" s="392"/>
      <c r="Y111" s="392"/>
      <c r="Z111" s="392"/>
      <c r="AA111" s="404"/>
      <c r="AB111" s="516"/>
      <c r="AC111" s="516"/>
      <c r="AD111" s="516"/>
      <c r="AE111" s="516"/>
      <c r="AF111" s="516"/>
      <c r="AG111" s="516"/>
      <c r="AH111" s="516"/>
    </row>
    <row r="112" spans="1:34" s="541" customFormat="1" ht="12" customHeight="1">
      <c r="A112" s="515"/>
      <c r="B112" s="515"/>
      <c r="C112" s="610" t="s">
        <v>745</v>
      </c>
      <c r="D112" s="422"/>
      <c r="E112" s="611" t="str">
        <f>IF(SUM(H112:H116)=0,"n.v.t.","")</f>
        <v>n.v.t.</v>
      </c>
      <c r="F112" s="422"/>
      <c r="G112" s="422"/>
      <c r="H112" s="599"/>
      <c r="I112" s="599"/>
      <c r="J112" s="530"/>
      <c r="K112" s="600"/>
      <c r="L112" s="600"/>
      <c r="M112" s="600"/>
      <c r="N112" s="600"/>
      <c r="O112" s="600"/>
      <c r="P112" s="600"/>
      <c r="Q112" s="459"/>
      <c r="R112" s="589"/>
      <c r="S112" s="529"/>
      <c r="T112" s="516"/>
      <c r="U112" s="516"/>
      <c r="V112" s="507"/>
      <c r="W112" s="516"/>
      <c r="X112" s="516"/>
      <c r="Y112" s="516"/>
      <c r="Z112" s="516"/>
      <c r="AB112" s="516"/>
      <c r="AC112" s="516"/>
      <c r="AD112" s="516"/>
      <c r="AE112" s="516"/>
      <c r="AF112" s="516"/>
      <c r="AG112" s="516"/>
      <c r="AH112" s="516"/>
    </row>
    <row r="113" spans="1:34" s="541" customFormat="1" ht="12" hidden="1" customHeight="1">
      <c r="B113" s="515"/>
      <c r="C113" s="464" t="s">
        <v>140</v>
      </c>
      <c r="D113" s="733"/>
      <c r="E113" s="566"/>
      <c r="F113" s="584" t="str">
        <f>IF($S$16=1,"NT","MT")</f>
        <v>MT</v>
      </c>
      <c r="G113" s="731" t="s">
        <v>140</v>
      </c>
      <c r="H113" s="565">
        <v>0</v>
      </c>
      <c r="I113" s="811" t="s">
        <v>251</v>
      </c>
      <c r="J113" s="811"/>
      <c r="K113" s="585">
        <v>0</v>
      </c>
      <c r="L113" s="819" t="str">
        <f>IF(AND(S$16=1,S$17=2),"",IF(S$16=2,"",IF(K113=0,"",H113/(K113/1000))))</f>
        <v/>
      </c>
      <c r="M113" s="819"/>
      <c r="N113" s="816" t="s">
        <v>268</v>
      </c>
      <c r="O113" s="816"/>
      <c r="P113" s="586" t="str">
        <f>IF(K113=0,"-",INDEX('data roosters'!F:J,MATCH(N113,'data roosters'!F:F,0),2)*(K113/1000))</f>
        <v>-</v>
      </c>
      <c r="Q113" s="525" t="str">
        <f>IF(AND($S$16=1,$S$17=2),IF(OR(H113&lt;&gt;0,P113&lt;&gt;"-"),"","verbergen"),IF(H113&lt;&gt;0,"","verbergen"))</f>
        <v>verbergen</v>
      </c>
      <c r="R113" s="612"/>
      <c r="S113" s="529"/>
      <c r="T113" s="516"/>
      <c r="U113" s="516"/>
      <c r="V113" s="507"/>
      <c r="W113" s="516"/>
      <c r="X113" s="516"/>
      <c r="Y113" s="516"/>
      <c r="Z113" s="516"/>
      <c r="AB113" s="516"/>
      <c r="AC113" s="516"/>
      <c r="AD113" s="516"/>
      <c r="AE113" s="516"/>
      <c r="AF113" s="515"/>
      <c r="AG113" s="516"/>
      <c r="AH113" s="516"/>
    </row>
    <row r="114" spans="1:34" s="541" customFormat="1" ht="12" hidden="1" customHeight="1">
      <c r="B114" s="515"/>
      <c r="C114" s="464" t="s">
        <v>140</v>
      </c>
      <c r="D114" s="733"/>
      <c r="E114" s="566"/>
      <c r="F114" s="584" t="str">
        <f>IF($S$16=1,"NT","MT")</f>
        <v>MT</v>
      </c>
      <c r="G114" s="731" t="s">
        <v>140</v>
      </c>
      <c r="H114" s="565">
        <v>0</v>
      </c>
      <c r="I114" s="811" t="s">
        <v>251</v>
      </c>
      <c r="J114" s="811"/>
      <c r="K114" s="585">
        <v>0</v>
      </c>
      <c r="L114" s="819" t="str">
        <f>IF(AND(S$16=1,S$17=2),"",IF(S$16=2,"",IF(K114=0,"",H114/(K114/1000))))</f>
        <v/>
      </c>
      <c r="M114" s="819"/>
      <c r="N114" s="816" t="s">
        <v>268</v>
      </c>
      <c r="O114" s="816"/>
      <c r="P114" s="586" t="str">
        <f>IF(K114=0,"-",INDEX('data roosters'!F:J,MATCH(N114,'data roosters'!F:F,0),2)*(K114/1000))</f>
        <v>-</v>
      </c>
      <c r="Q114" s="525" t="str">
        <f t="shared" ref="Q114:Q116" si="20">IF(AND($S$16=1,$S$17=2),IF(OR(H114&lt;&gt;0,P114&lt;&gt;"-"),"","verbergen"),IF(H114&lt;&gt;0,"","verbergen"))</f>
        <v>verbergen</v>
      </c>
      <c r="R114" s="589"/>
      <c r="S114" s="529"/>
      <c r="T114" s="516"/>
      <c r="U114" s="516"/>
      <c r="V114" s="507"/>
      <c r="W114" s="516"/>
      <c r="X114" s="516"/>
      <c r="Y114" s="516"/>
      <c r="Z114" s="516"/>
      <c r="AB114" s="516"/>
      <c r="AC114" s="516"/>
      <c r="AD114" s="516"/>
      <c r="AE114" s="516"/>
      <c r="AF114" s="515"/>
      <c r="AG114" s="516"/>
      <c r="AH114" s="516"/>
    </row>
    <row r="115" spans="1:34" s="541" customFormat="1" ht="12" hidden="1" customHeight="1">
      <c r="B115" s="515"/>
      <c r="C115" s="464" t="s">
        <v>140</v>
      </c>
      <c r="D115" s="733"/>
      <c r="E115" s="566"/>
      <c r="F115" s="584" t="str">
        <f>IF($S$16=1,"NT","MT")</f>
        <v>MT</v>
      </c>
      <c r="G115" s="731" t="s">
        <v>140</v>
      </c>
      <c r="H115" s="565">
        <v>0</v>
      </c>
      <c r="I115" s="811" t="s">
        <v>251</v>
      </c>
      <c r="J115" s="811"/>
      <c r="K115" s="585">
        <v>0</v>
      </c>
      <c r="L115" s="819" t="str">
        <f>IF(AND(S$16=1,S$17=2),"",IF(S$16=2,"",IF(K115=0,"",H115/(K115/1000))))</f>
        <v/>
      </c>
      <c r="M115" s="819"/>
      <c r="N115" s="816" t="s">
        <v>268</v>
      </c>
      <c r="O115" s="816"/>
      <c r="P115" s="586" t="str">
        <f>IF(K115=0,"-",INDEX('data roosters'!F:J,MATCH(N115,'data roosters'!F:F,0),2)*(K115/1000))</f>
        <v>-</v>
      </c>
      <c r="Q115" s="525" t="str">
        <f t="shared" si="20"/>
        <v>verbergen</v>
      </c>
      <c r="R115" s="589"/>
      <c r="S115" s="529"/>
      <c r="T115" s="516"/>
      <c r="U115" s="516"/>
      <c r="V115" s="507"/>
      <c r="W115" s="516"/>
      <c r="X115" s="516"/>
      <c r="Y115" s="516"/>
      <c r="Z115" s="516"/>
      <c r="AB115" s="516"/>
      <c r="AC115" s="516"/>
      <c r="AD115" s="516"/>
      <c r="AE115" s="516"/>
      <c r="AF115" s="515"/>
      <c r="AG115" s="516"/>
      <c r="AH115" s="516"/>
    </row>
    <row r="116" spans="1:34" s="541" customFormat="1" ht="12" hidden="1" customHeight="1">
      <c r="B116" s="515"/>
      <c r="C116" s="464" t="s">
        <v>140</v>
      </c>
      <c r="D116" s="733"/>
      <c r="E116" s="566"/>
      <c r="F116" s="584" t="str">
        <f>IF($S$16=1,"NT","MT")</f>
        <v>MT</v>
      </c>
      <c r="G116" s="731" t="s">
        <v>140</v>
      </c>
      <c r="H116" s="565">
        <v>0</v>
      </c>
      <c r="I116" s="811" t="s">
        <v>251</v>
      </c>
      <c r="J116" s="811"/>
      <c r="K116" s="585">
        <v>0</v>
      </c>
      <c r="L116" s="819" t="str">
        <f>IF(AND(S$16=1,S$17=2),"",IF(S$16=2,"",IF(K116=0,"",H116/(K116/1000))))</f>
        <v/>
      </c>
      <c r="M116" s="819"/>
      <c r="N116" s="816" t="s">
        <v>268</v>
      </c>
      <c r="O116" s="816"/>
      <c r="P116" s="586" t="str">
        <f>IF(K116=0,"-",INDEX('data roosters'!F:J,MATCH(N116,'data roosters'!F:F,0),2)*(K116/1000))</f>
        <v>-</v>
      </c>
      <c r="Q116" s="525" t="str">
        <f t="shared" si="20"/>
        <v>verbergen</v>
      </c>
      <c r="R116" s="589"/>
      <c r="S116" s="529"/>
      <c r="T116" s="516"/>
      <c r="U116" s="516"/>
      <c r="V116" s="507"/>
      <c r="W116" s="516"/>
      <c r="X116" s="516"/>
      <c r="Y116" s="516"/>
      <c r="Z116" s="516"/>
      <c r="AB116" s="516"/>
      <c r="AC116" s="516"/>
      <c r="AD116" s="516"/>
      <c r="AE116" s="516"/>
      <c r="AF116" s="515"/>
      <c r="AG116" s="516"/>
      <c r="AH116" s="516"/>
    </row>
    <row r="117" spans="1:34" s="541" customFormat="1" ht="12" customHeight="1">
      <c r="B117" s="590"/>
      <c r="C117" s="610"/>
      <c r="D117" s="733"/>
      <c r="E117" s="566"/>
      <c r="F117" s="825"/>
      <c r="G117" s="825"/>
      <c r="H117" s="825"/>
      <c r="I117" s="404"/>
      <c r="J117" s="613"/>
      <c r="K117" s="422"/>
      <c r="L117" s="614"/>
      <c r="M117" s="826"/>
      <c r="N117" s="826"/>
      <c r="O117" s="565"/>
      <c r="P117" s="615"/>
      <c r="Q117" s="459"/>
      <c r="R117" s="589"/>
      <c r="S117" s="529"/>
      <c r="T117" s="516"/>
      <c r="U117" s="516"/>
      <c r="V117" s="547"/>
      <c r="W117" s="516"/>
      <c r="X117" s="516"/>
      <c r="Y117" s="516"/>
      <c r="Z117" s="516"/>
      <c r="AB117" s="516"/>
      <c r="AC117" s="516"/>
      <c r="AD117" s="516"/>
      <c r="AE117" s="516"/>
      <c r="AF117" s="515"/>
      <c r="AG117" s="516"/>
      <c r="AH117" s="516"/>
    </row>
    <row r="118" spans="1:34" s="518" customFormat="1" ht="15" customHeight="1">
      <c r="A118" s="515"/>
      <c r="B118" s="515"/>
      <c r="C118" s="457" t="s">
        <v>1086</v>
      </c>
      <c r="D118" s="575"/>
      <c r="E118" s="575"/>
      <c r="F118" s="575"/>
      <c r="G118" s="575"/>
      <c r="H118" s="575"/>
      <c r="I118" s="575"/>
      <c r="J118" s="575"/>
      <c r="K118" s="575"/>
      <c r="L118" s="575"/>
      <c r="M118" s="575"/>
      <c r="N118" s="575"/>
      <c r="O118" s="575"/>
      <c r="P118" s="575"/>
      <c r="Q118" s="516"/>
      <c r="R118" s="616"/>
      <c r="S118" s="516"/>
      <c r="T118" s="521"/>
      <c r="U118" s="516"/>
      <c r="V118" s="517"/>
      <c r="W118" s="517"/>
      <c r="X118" s="517"/>
      <c r="Y118" s="517"/>
      <c r="Z118" s="517"/>
      <c r="AA118" s="517"/>
      <c r="AB118" s="517"/>
      <c r="AC118" s="524"/>
      <c r="AD118" s="517"/>
      <c r="AE118" s="517"/>
      <c r="AF118" s="517"/>
    </row>
    <row r="119" spans="1:34" s="518" customFormat="1" ht="12.75" hidden="1" customHeight="1">
      <c r="A119" s="515"/>
      <c r="B119" s="515"/>
      <c r="C119" s="576"/>
      <c r="D119" s="576"/>
      <c r="E119" s="576"/>
      <c r="F119" s="576"/>
      <c r="G119" s="576"/>
      <c r="H119" s="577"/>
      <c r="I119" s="577"/>
      <c r="J119" s="577"/>
      <c r="K119" s="577"/>
      <c r="L119" s="577"/>
      <c r="M119" s="577"/>
      <c r="N119" s="577"/>
      <c r="O119" s="577"/>
      <c r="P119" s="577"/>
      <c r="Q119" s="522"/>
      <c r="R119" s="516"/>
      <c r="S119" s="516"/>
      <c r="T119" s="521"/>
      <c r="U119" s="516"/>
      <c r="V119" s="548"/>
      <c r="W119" s="548"/>
      <c r="X119" s="548"/>
      <c r="Y119" s="548"/>
      <c r="Z119" s="517"/>
      <c r="AA119" s="517"/>
      <c r="AB119" s="517"/>
      <c r="AC119" s="524"/>
      <c r="AD119" s="517"/>
      <c r="AE119" s="517"/>
      <c r="AF119" s="517"/>
    </row>
    <row r="120" spans="1:34" ht="15" customHeight="1">
      <c r="A120" s="492"/>
      <c r="B120" s="492"/>
      <c r="C120" s="579" t="s">
        <v>133</v>
      </c>
      <c r="D120" s="580"/>
      <c r="E120" s="580"/>
      <c r="F120" s="460" t="s">
        <v>653</v>
      </c>
      <c r="G120" s="736" t="s">
        <v>34</v>
      </c>
      <c r="H120" s="736" t="s">
        <v>1135</v>
      </c>
      <c r="I120" s="580"/>
      <c r="J120" s="580"/>
      <c r="K120" s="580"/>
      <c r="L120" s="580"/>
      <c r="M120" s="580"/>
      <c r="N120" s="580"/>
      <c r="O120" s="580"/>
      <c r="P120" s="580"/>
      <c r="Q120" s="507"/>
      <c r="R120" s="507"/>
      <c r="S120" s="507"/>
      <c r="T120" s="532"/>
      <c r="U120" s="507"/>
      <c r="V120" s="508"/>
      <c r="W120" s="508"/>
      <c r="X120" s="508"/>
      <c r="Y120" s="508"/>
      <c r="Z120" s="508"/>
      <c r="AA120" s="508"/>
      <c r="AB120" s="508"/>
      <c r="AC120" s="534"/>
      <c r="AD120" s="508"/>
      <c r="AE120" s="508"/>
      <c r="AF120" s="508"/>
    </row>
    <row r="121" spans="1:34" s="518" customFormat="1" ht="12" customHeight="1">
      <c r="A121" s="515"/>
      <c r="B121" s="515"/>
      <c r="C121" s="617" t="s">
        <v>728</v>
      </c>
      <c r="D121" s="404"/>
      <c r="E121" s="404"/>
      <c r="F121" s="618">
        <v>2</v>
      </c>
      <c r="G121" s="619">
        <f>F121*7</f>
        <v>14</v>
      </c>
      <c r="H121" s="620">
        <v>28</v>
      </c>
      <c r="I121" s="621"/>
      <c r="J121" s="622"/>
      <c r="K121" s="827"/>
      <c r="L121" s="827"/>
      <c r="M121" s="827"/>
      <c r="N121" s="827"/>
      <c r="O121" s="827"/>
      <c r="P121" s="827"/>
      <c r="Q121" s="525" t="str">
        <f t="shared" ref="Q121:Q126" si="21">IF(H121&gt;0,"","verbergen")</f>
        <v/>
      </c>
      <c r="R121" s="589"/>
      <c r="S121" s="529"/>
      <c r="T121" s="516"/>
      <c r="U121" s="516"/>
      <c r="V121" s="508"/>
      <c r="W121" s="517"/>
      <c r="X121" s="517"/>
      <c r="Y121" s="517"/>
      <c r="Z121" s="517"/>
      <c r="AA121" s="517"/>
      <c r="AB121" s="517"/>
      <c r="AC121" s="517"/>
      <c r="AD121" s="517"/>
      <c r="AE121" s="517"/>
      <c r="AF121" s="517"/>
      <c r="AG121" s="517"/>
      <c r="AH121" s="517"/>
    </row>
    <row r="122" spans="1:34" s="518" customFormat="1" ht="12" customHeight="1">
      <c r="A122" s="515"/>
      <c r="B122" s="590"/>
      <c r="C122" s="617" t="s">
        <v>729</v>
      </c>
      <c r="D122" s="404"/>
      <c r="E122" s="404"/>
      <c r="F122" s="618">
        <v>1</v>
      </c>
      <c r="G122" s="619">
        <f>F122*14</f>
        <v>14</v>
      </c>
      <c r="H122" s="620">
        <v>21</v>
      </c>
      <c r="I122" s="621"/>
      <c r="J122" s="622"/>
      <c r="K122" s="827"/>
      <c r="L122" s="827"/>
      <c r="M122" s="827"/>
      <c r="N122" s="827"/>
      <c r="O122" s="827"/>
      <c r="P122" s="827"/>
      <c r="Q122" s="525" t="str">
        <f t="shared" si="21"/>
        <v/>
      </c>
      <c r="R122" s="623"/>
      <c r="S122" s="624"/>
      <c r="T122" s="516"/>
      <c r="U122" s="516"/>
      <c r="V122" s="508"/>
      <c r="W122" s="517"/>
      <c r="X122" s="517"/>
      <c r="Y122" s="517"/>
      <c r="Z122" s="517"/>
      <c r="AA122" s="517"/>
      <c r="AB122" s="517"/>
      <c r="AC122" s="517"/>
      <c r="AD122" s="517"/>
      <c r="AE122" s="517"/>
      <c r="AF122" s="517"/>
    </row>
    <row r="123" spans="1:34" s="518" customFormat="1" ht="12" customHeight="1">
      <c r="A123" s="515"/>
      <c r="B123" s="515"/>
      <c r="C123" s="617" t="s">
        <v>727</v>
      </c>
      <c r="D123" s="404"/>
      <c r="E123" s="404"/>
      <c r="F123" s="618">
        <v>1</v>
      </c>
      <c r="G123" s="619">
        <f>F123*21</f>
        <v>21</v>
      </c>
      <c r="H123" s="620">
        <v>28</v>
      </c>
      <c r="I123" s="621"/>
      <c r="J123" s="622"/>
      <c r="K123" s="827"/>
      <c r="L123" s="827"/>
      <c r="M123" s="827"/>
      <c r="N123" s="827"/>
      <c r="O123" s="827"/>
      <c r="P123" s="827"/>
      <c r="Q123" s="525" t="str">
        <f t="shared" si="21"/>
        <v/>
      </c>
      <c r="R123" s="625"/>
      <c r="S123" s="624"/>
      <c r="T123" s="516"/>
      <c r="U123" s="516"/>
      <c r="V123" s="508"/>
      <c r="W123" s="517"/>
      <c r="X123" s="517"/>
      <c r="Y123" s="517"/>
      <c r="Z123" s="517"/>
      <c r="AA123" s="517"/>
      <c r="AB123" s="517"/>
      <c r="AC123" s="517"/>
      <c r="AD123" s="517"/>
      <c r="AE123" s="517"/>
      <c r="AF123" s="517"/>
    </row>
    <row r="124" spans="1:34" s="518" customFormat="1" ht="12" hidden="1" customHeight="1">
      <c r="A124" s="515"/>
      <c r="B124" s="515"/>
      <c r="C124" s="617" t="s">
        <v>140</v>
      </c>
      <c r="D124" s="404"/>
      <c r="E124" s="404"/>
      <c r="F124" s="626"/>
      <c r="G124" s="619" t="s">
        <v>268</v>
      </c>
      <c r="H124" s="620"/>
      <c r="I124" s="621"/>
      <c r="J124" s="622"/>
      <c r="K124" s="827"/>
      <c r="L124" s="827"/>
      <c r="M124" s="827"/>
      <c r="N124" s="827"/>
      <c r="O124" s="827"/>
      <c r="P124" s="827"/>
      <c r="Q124" s="525" t="str">
        <f t="shared" si="21"/>
        <v>verbergen</v>
      </c>
      <c r="R124" s="625"/>
      <c r="S124" s="624"/>
      <c r="T124" s="516"/>
      <c r="U124" s="516"/>
      <c r="V124" s="508"/>
      <c r="W124" s="517"/>
      <c r="X124" s="517"/>
      <c r="Y124" s="517"/>
      <c r="Z124" s="517"/>
      <c r="AA124" s="517"/>
      <c r="AB124" s="517"/>
      <c r="AC124" s="517"/>
      <c r="AD124" s="517"/>
      <c r="AE124" s="517"/>
      <c r="AF124" s="517"/>
    </row>
    <row r="125" spans="1:34" s="518" customFormat="1" ht="12" hidden="1" customHeight="1">
      <c r="A125" s="515"/>
      <c r="B125" s="515"/>
      <c r="C125" s="617" t="s">
        <v>140</v>
      </c>
      <c r="D125" s="404"/>
      <c r="E125" s="404"/>
      <c r="F125" s="626"/>
      <c r="G125" s="619" t="s">
        <v>268</v>
      </c>
      <c r="H125" s="620"/>
      <c r="I125" s="621"/>
      <c r="J125" s="622"/>
      <c r="K125" s="827"/>
      <c r="L125" s="827"/>
      <c r="M125" s="827"/>
      <c r="N125" s="827"/>
      <c r="O125" s="827"/>
      <c r="P125" s="827"/>
      <c r="Q125" s="525" t="str">
        <f t="shared" si="21"/>
        <v>verbergen</v>
      </c>
      <c r="R125" s="625"/>
      <c r="S125" s="624"/>
      <c r="T125" s="516"/>
      <c r="U125" s="516"/>
      <c r="V125" s="508"/>
      <c r="W125" s="517"/>
      <c r="X125" s="517"/>
      <c r="Y125" s="517"/>
      <c r="Z125" s="517"/>
      <c r="AA125" s="517"/>
      <c r="AB125" s="517"/>
      <c r="AC125" s="517"/>
      <c r="AD125" s="517"/>
      <c r="AE125" s="517"/>
      <c r="AF125" s="517"/>
    </row>
    <row r="126" spans="1:34" s="518" customFormat="1" ht="12" hidden="1" customHeight="1">
      <c r="A126" s="515"/>
      <c r="B126" s="515"/>
      <c r="C126" s="627" t="s">
        <v>140</v>
      </c>
      <c r="D126" s="628"/>
      <c r="E126" s="628"/>
      <c r="F126" s="629"/>
      <c r="G126" s="630" t="s">
        <v>268</v>
      </c>
      <c r="H126" s="631"/>
      <c r="I126" s="632"/>
      <c r="J126" s="633"/>
      <c r="K126" s="828"/>
      <c r="L126" s="828"/>
      <c r="M126" s="828"/>
      <c r="N126" s="828"/>
      <c r="O126" s="828"/>
      <c r="P126" s="828"/>
      <c r="Q126" s="525" t="str">
        <f t="shared" si="21"/>
        <v>verbergen</v>
      </c>
      <c r="R126" s="625"/>
      <c r="S126" s="624"/>
      <c r="T126" s="516"/>
      <c r="U126" s="516"/>
      <c r="V126" s="508"/>
      <c r="W126" s="517"/>
      <c r="X126" s="517"/>
      <c r="Y126" s="517"/>
      <c r="Z126" s="517"/>
      <c r="AA126" s="517"/>
      <c r="AB126" s="517"/>
      <c r="AC126" s="517"/>
      <c r="AD126" s="517"/>
      <c r="AE126" s="517"/>
      <c r="AF126" s="517"/>
    </row>
    <row r="127" spans="1:34" s="518" customFormat="1" ht="12" customHeight="1">
      <c r="A127" s="515"/>
      <c r="B127" s="515"/>
      <c r="C127" s="634" t="s">
        <v>16</v>
      </c>
      <c r="D127" s="592"/>
      <c r="E127" s="592"/>
      <c r="F127" s="635"/>
      <c r="G127" s="636">
        <f>SUM(G121:G126)</f>
        <v>49</v>
      </c>
      <c r="H127" s="636">
        <f>SUM(H121:H126)</f>
        <v>77</v>
      </c>
      <c r="I127" s="637"/>
      <c r="J127" s="732" t="str">
        <f>IF(M127="","","toe- en afvoer niet in balans")</f>
        <v/>
      </c>
      <c r="K127" s="638"/>
      <c r="L127" s="639"/>
      <c r="M127" s="829" t="str">
        <f>IF(SUMIF(F83:F117,R127,H83:H117)-H127-H139=0,"",SUMIF(F83:F117,R127,H83:H117)-H127-H139)</f>
        <v/>
      </c>
      <c r="N127" s="830"/>
      <c r="O127" s="830"/>
      <c r="P127" s="830"/>
      <c r="Q127" s="525"/>
      <c r="R127" s="625" t="str">
        <f>IF(OR(RIGHT(LEFT(D74,9),1)="A",RIGHT(LEFT(D74,9),1)="C"),"NT","MT")</f>
        <v>MT</v>
      </c>
      <c r="S127" s="624"/>
      <c r="T127" s="516"/>
      <c r="U127" s="516"/>
      <c r="V127" s="508"/>
      <c r="W127" s="517"/>
      <c r="X127" s="517"/>
      <c r="Y127" s="517"/>
      <c r="Z127" s="517"/>
      <c r="AA127" s="517"/>
      <c r="AB127" s="517"/>
      <c r="AC127" s="517"/>
      <c r="AD127" s="517"/>
      <c r="AE127" s="517"/>
      <c r="AF127" s="517"/>
    </row>
    <row r="128" spans="1:34" s="518" customFormat="1" ht="12" customHeight="1">
      <c r="A128" s="515"/>
      <c r="B128" s="515"/>
      <c r="C128" s="640"/>
      <c r="D128" s="831"/>
      <c r="E128" s="831"/>
      <c r="F128" s="641"/>
      <c r="G128" s="642">
        <f>G127*3.6</f>
        <v>176.4</v>
      </c>
      <c r="H128" s="642">
        <f>H127*3.6</f>
        <v>277.2</v>
      </c>
      <c r="I128" s="643"/>
      <c r="J128" s="404"/>
      <c r="K128" s="422"/>
      <c r="L128" s="614"/>
      <c r="M128" s="826"/>
      <c r="N128" s="826"/>
      <c r="O128" s="565"/>
      <c r="P128" s="615"/>
      <c r="Q128" s="525"/>
      <c r="R128" s="625"/>
      <c r="S128" s="624"/>
      <c r="T128" s="516"/>
      <c r="U128" s="516"/>
      <c r="V128" s="508"/>
      <c r="W128" s="517"/>
      <c r="X128" s="517"/>
      <c r="Y128" s="517"/>
      <c r="Z128" s="517"/>
      <c r="AA128" s="517"/>
      <c r="AB128" s="517"/>
      <c r="AC128" s="517"/>
      <c r="AD128" s="517"/>
      <c r="AE128" s="517"/>
      <c r="AF128" s="517"/>
    </row>
    <row r="129" spans="1:32" s="518" customFormat="1" ht="12" customHeight="1">
      <c r="A129" s="515"/>
      <c r="B129" s="515"/>
      <c r="C129" s="640"/>
      <c r="D129" s="733"/>
      <c r="E129" s="733"/>
      <c r="F129" s="641"/>
      <c r="G129" s="642"/>
      <c r="H129" s="731"/>
      <c r="I129" s="731"/>
      <c r="J129" s="404"/>
      <c r="K129" s="422"/>
      <c r="L129" s="614"/>
      <c r="M129" s="731"/>
      <c r="N129" s="731"/>
      <c r="O129" s="565"/>
      <c r="P129" s="615"/>
      <c r="Q129" s="525"/>
      <c r="R129" s="625"/>
      <c r="S129" s="624"/>
      <c r="T129" s="516"/>
      <c r="U129" s="516"/>
      <c r="V129" s="508"/>
      <c r="W129" s="517"/>
      <c r="X129" s="517"/>
      <c r="Y129" s="517"/>
      <c r="Z129" s="517"/>
      <c r="AA129" s="517"/>
      <c r="AB129" s="517"/>
      <c r="AC129" s="517"/>
      <c r="AD129" s="517"/>
      <c r="AE129" s="517"/>
      <c r="AF129" s="517"/>
    </row>
    <row r="130" spans="1:32" s="518" customFormat="1" ht="12" hidden="1" customHeight="1">
      <c r="A130" s="515"/>
      <c r="B130" s="515"/>
      <c r="C130" s="457" t="s">
        <v>1087</v>
      </c>
      <c r="D130" s="457"/>
      <c r="E130" s="457"/>
      <c r="F130" s="457"/>
      <c r="G130" s="457"/>
      <c r="H130" s="457"/>
      <c r="I130" s="457"/>
      <c r="J130" s="457"/>
      <c r="K130" s="457"/>
      <c r="L130" s="457"/>
      <c r="M130" s="457"/>
      <c r="N130" s="457"/>
      <c r="O130" s="457"/>
      <c r="P130" s="457"/>
      <c r="Q130" s="525" t="str">
        <f>IF(D77="n.v.t.","verbergen","")</f>
        <v>verbergen</v>
      </c>
      <c r="R130" s="625"/>
      <c r="S130" s="624"/>
      <c r="T130" s="516"/>
      <c r="U130" s="516"/>
      <c r="V130" s="508"/>
      <c r="W130" s="517"/>
      <c r="X130" s="517"/>
      <c r="Y130" s="517"/>
      <c r="Z130" s="517"/>
      <c r="AA130" s="517"/>
      <c r="AB130" s="517"/>
      <c r="AC130" s="517"/>
      <c r="AD130" s="517"/>
      <c r="AE130" s="517"/>
      <c r="AF130" s="517"/>
    </row>
    <row r="131" spans="1:32" s="518" customFormat="1" ht="12" hidden="1" customHeight="1">
      <c r="A131" s="515"/>
      <c r="B131" s="515"/>
      <c r="C131" s="458"/>
      <c r="D131" s="458"/>
      <c r="E131" s="458"/>
      <c r="F131" s="458"/>
      <c r="G131" s="458"/>
      <c r="H131" s="459"/>
      <c r="I131" s="459"/>
      <c r="J131" s="459"/>
      <c r="K131" s="459"/>
      <c r="L131" s="459"/>
      <c r="M131" s="459"/>
      <c r="N131" s="459"/>
      <c r="O131" s="459"/>
      <c r="P131" s="459"/>
      <c r="Q131" s="525"/>
      <c r="R131" s="625"/>
      <c r="S131" s="624"/>
      <c r="T131" s="516"/>
      <c r="U131" s="516"/>
      <c r="V131" s="508"/>
      <c r="W131" s="517"/>
      <c r="X131" s="517"/>
      <c r="Y131" s="517"/>
      <c r="Z131" s="517"/>
      <c r="AA131" s="517"/>
      <c r="AB131" s="517"/>
      <c r="AC131" s="517"/>
      <c r="AD131" s="517"/>
      <c r="AE131" s="517"/>
      <c r="AF131" s="517"/>
    </row>
    <row r="132" spans="1:32" s="518" customFormat="1" ht="12" hidden="1" customHeight="1">
      <c r="A132" s="515"/>
      <c r="B132" s="515"/>
      <c r="C132" s="579" t="s">
        <v>133</v>
      </c>
      <c r="D132" s="580"/>
      <c r="E132" s="580"/>
      <c r="F132" s="460" t="s">
        <v>653</v>
      </c>
      <c r="G132" s="736" t="s">
        <v>34</v>
      </c>
      <c r="H132" s="736" t="str">
        <f>IF(S16=3,"","aanwezig")</f>
        <v>aanwezig</v>
      </c>
      <c r="I132" s="580"/>
      <c r="J132" s="580"/>
      <c r="K132" s="580"/>
      <c r="L132" s="580"/>
      <c r="M132" s="580"/>
      <c r="N132" s="580"/>
      <c r="O132" s="580"/>
      <c r="P132" s="580"/>
      <c r="Q132" s="525" t="str">
        <f>IF(D77="n.v.t.","verbergen","")</f>
        <v>verbergen</v>
      </c>
      <c r="R132" s="625"/>
      <c r="S132" s="624"/>
      <c r="T132" s="516"/>
      <c r="U132" s="516"/>
      <c r="V132" s="508"/>
      <c r="W132" s="517"/>
      <c r="X132" s="517"/>
      <c r="Y132" s="517"/>
      <c r="Z132" s="517"/>
      <c r="AA132" s="517"/>
      <c r="AB132" s="517"/>
      <c r="AC132" s="517"/>
      <c r="AD132" s="517"/>
      <c r="AE132" s="517"/>
      <c r="AF132" s="517"/>
    </row>
    <row r="133" spans="1:32" s="518" customFormat="1" ht="12" customHeight="1">
      <c r="A133" s="515"/>
      <c r="B133" s="515"/>
      <c r="C133" s="617" t="s">
        <v>739</v>
      </c>
      <c r="D133" s="404"/>
      <c r="E133" s="404"/>
      <c r="F133" s="618">
        <v>1</v>
      </c>
      <c r="G133" s="619">
        <f>F133*7</f>
        <v>7</v>
      </c>
      <c r="H133" s="620">
        <f>G133</f>
        <v>7</v>
      </c>
      <c r="I133" s="621"/>
      <c r="J133" s="622"/>
      <c r="K133" s="827"/>
      <c r="L133" s="827"/>
      <c r="M133" s="827"/>
      <c r="N133" s="827"/>
      <c r="O133" s="827"/>
      <c r="P133" s="827"/>
      <c r="Q133" s="525" t="str">
        <f>IF(H133&gt;0,"","verbergen")</f>
        <v/>
      </c>
      <c r="R133" s="625"/>
      <c r="S133" s="624"/>
      <c r="T133" s="516"/>
      <c r="U133" s="516"/>
      <c r="V133" s="508"/>
      <c r="W133" s="517"/>
      <c r="X133" s="517"/>
      <c r="Y133" s="517"/>
      <c r="Z133" s="517"/>
      <c r="AA133" s="517"/>
      <c r="AB133" s="517"/>
      <c r="AC133" s="517"/>
      <c r="AD133" s="517"/>
      <c r="AE133" s="517"/>
      <c r="AF133" s="517"/>
    </row>
    <row r="134" spans="1:32" s="518" customFormat="1" ht="12" hidden="1" customHeight="1">
      <c r="A134" s="515"/>
      <c r="B134" s="515"/>
      <c r="C134" s="617" t="s">
        <v>739</v>
      </c>
      <c r="D134" s="404"/>
      <c r="E134" s="404"/>
      <c r="F134" s="618">
        <v>0</v>
      </c>
      <c r="G134" s="619">
        <f>F134*14</f>
        <v>0</v>
      </c>
      <c r="H134" s="620">
        <f>G134</f>
        <v>0</v>
      </c>
      <c r="I134" s="621"/>
      <c r="J134" s="622"/>
      <c r="K134" s="827"/>
      <c r="L134" s="827"/>
      <c r="M134" s="827"/>
      <c r="N134" s="827"/>
      <c r="O134" s="827"/>
      <c r="P134" s="827"/>
      <c r="Q134" s="525" t="str">
        <f t="shared" ref="Q134:Q138" si="22">IF(H134&gt;0,"","verbergen")</f>
        <v>verbergen</v>
      </c>
      <c r="R134" s="625"/>
      <c r="S134" s="624"/>
      <c r="T134" s="516"/>
      <c r="U134" s="516"/>
      <c r="V134" s="508"/>
      <c r="W134" s="517"/>
      <c r="X134" s="517"/>
      <c r="Y134" s="517"/>
      <c r="Z134" s="517"/>
      <c r="AA134" s="517"/>
      <c r="AB134" s="517"/>
      <c r="AC134" s="517"/>
      <c r="AD134" s="517"/>
      <c r="AE134" s="517"/>
      <c r="AF134" s="517"/>
    </row>
    <row r="135" spans="1:32" s="518" customFormat="1" ht="12" customHeight="1">
      <c r="A135" s="515"/>
      <c r="B135" s="515"/>
      <c r="C135" s="617" t="s">
        <v>740</v>
      </c>
      <c r="D135" s="404"/>
      <c r="E135" s="404"/>
      <c r="F135" s="618">
        <v>1</v>
      </c>
      <c r="G135" s="619">
        <f>F135*7</f>
        <v>7</v>
      </c>
      <c r="H135" s="620">
        <f>G135</f>
        <v>7</v>
      </c>
      <c r="I135" s="621"/>
      <c r="J135" s="622"/>
      <c r="K135" s="827"/>
      <c r="L135" s="827"/>
      <c r="M135" s="827"/>
      <c r="N135" s="827"/>
      <c r="O135" s="827"/>
      <c r="P135" s="827"/>
      <c r="Q135" s="525" t="str">
        <f t="shared" si="22"/>
        <v/>
      </c>
      <c r="R135" s="625"/>
      <c r="S135" s="624"/>
      <c r="T135" s="516"/>
      <c r="U135" s="516"/>
      <c r="V135" s="508"/>
      <c r="W135" s="517"/>
      <c r="X135" s="517"/>
      <c r="Y135" s="517"/>
      <c r="Z135" s="517"/>
      <c r="AA135" s="517"/>
      <c r="AB135" s="517"/>
      <c r="AC135" s="517"/>
      <c r="AD135" s="517"/>
      <c r="AE135" s="517"/>
      <c r="AF135" s="517"/>
    </row>
    <row r="136" spans="1:32" s="518" customFormat="1" ht="12" hidden="1" customHeight="1">
      <c r="A136" s="515"/>
      <c r="B136" s="515"/>
      <c r="C136" s="617" t="s">
        <v>140</v>
      </c>
      <c r="D136" s="404"/>
      <c r="E136" s="404"/>
      <c r="F136" s="626"/>
      <c r="G136" s="619" t="s">
        <v>268</v>
      </c>
      <c r="H136" s="620"/>
      <c r="I136" s="621"/>
      <c r="J136" s="622"/>
      <c r="K136" s="827"/>
      <c r="L136" s="827"/>
      <c r="M136" s="827"/>
      <c r="N136" s="827"/>
      <c r="O136" s="827"/>
      <c r="P136" s="827"/>
      <c r="Q136" s="525" t="str">
        <f t="shared" si="22"/>
        <v>verbergen</v>
      </c>
      <c r="R136" s="625"/>
      <c r="S136" s="624"/>
      <c r="T136" s="516"/>
      <c r="U136" s="516"/>
      <c r="V136" s="508"/>
      <c r="W136" s="517"/>
      <c r="X136" s="517"/>
      <c r="Y136" s="517"/>
      <c r="Z136" s="517"/>
      <c r="AA136" s="517"/>
      <c r="AB136" s="517"/>
      <c r="AC136" s="517"/>
      <c r="AD136" s="517"/>
      <c r="AE136" s="517"/>
      <c r="AF136" s="517"/>
    </row>
    <row r="137" spans="1:32" s="518" customFormat="1" ht="12" hidden="1" customHeight="1">
      <c r="A137" s="515"/>
      <c r="B137" s="515"/>
      <c r="C137" s="617" t="s">
        <v>140</v>
      </c>
      <c r="D137" s="404"/>
      <c r="E137" s="404"/>
      <c r="F137" s="626"/>
      <c r="G137" s="619" t="s">
        <v>268</v>
      </c>
      <c r="H137" s="620"/>
      <c r="I137" s="621"/>
      <c r="J137" s="622"/>
      <c r="K137" s="827"/>
      <c r="L137" s="827"/>
      <c r="M137" s="827"/>
      <c r="N137" s="827"/>
      <c r="O137" s="827"/>
      <c r="P137" s="827"/>
      <c r="Q137" s="525" t="str">
        <f t="shared" si="22"/>
        <v>verbergen</v>
      </c>
      <c r="R137" s="625"/>
      <c r="S137" s="624"/>
      <c r="T137" s="516"/>
      <c r="U137" s="516"/>
      <c r="V137" s="508"/>
      <c r="W137" s="517"/>
      <c r="X137" s="517"/>
      <c r="Y137" s="517"/>
      <c r="Z137" s="517"/>
      <c r="AA137" s="517"/>
      <c r="AB137" s="517"/>
      <c r="AC137" s="517"/>
      <c r="AD137" s="517"/>
      <c r="AE137" s="517"/>
      <c r="AF137" s="517"/>
    </row>
    <row r="138" spans="1:32" s="518" customFormat="1" ht="12" hidden="1" customHeight="1">
      <c r="A138" s="515"/>
      <c r="B138" s="515"/>
      <c r="C138" s="627" t="s">
        <v>140</v>
      </c>
      <c r="D138" s="628"/>
      <c r="E138" s="628"/>
      <c r="F138" s="629"/>
      <c r="G138" s="630" t="s">
        <v>268</v>
      </c>
      <c r="H138" s="631"/>
      <c r="I138" s="632"/>
      <c r="J138" s="633"/>
      <c r="K138" s="828"/>
      <c r="L138" s="828"/>
      <c r="M138" s="828"/>
      <c r="N138" s="828"/>
      <c r="O138" s="828"/>
      <c r="P138" s="828"/>
      <c r="Q138" s="525" t="str">
        <f t="shared" si="22"/>
        <v>verbergen</v>
      </c>
      <c r="R138" s="625"/>
      <c r="S138" s="624"/>
      <c r="T138" s="516"/>
      <c r="U138" s="516"/>
      <c r="V138" s="508"/>
      <c r="W138" s="517"/>
      <c r="X138" s="517"/>
      <c r="Y138" s="517"/>
      <c r="Z138" s="517"/>
      <c r="AA138" s="517"/>
      <c r="AB138" s="517"/>
      <c r="AC138" s="517"/>
      <c r="AD138" s="517"/>
      <c r="AE138" s="517"/>
      <c r="AF138" s="517"/>
    </row>
    <row r="139" spans="1:32" s="518" customFormat="1" ht="12" hidden="1" customHeight="1">
      <c r="A139" s="515"/>
      <c r="B139" s="515"/>
      <c r="C139" s="634" t="s">
        <v>16</v>
      </c>
      <c r="D139" s="592"/>
      <c r="E139" s="592"/>
      <c r="F139" s="635"/>
      <c r="G139" s="636">
        <f>SUM(G133:G138)</f>
        <v>14</v>
      </c>
      <c r="H139" s="636">
        <f>SUM(H133:H138)</f>
        <v>14</v>
      </c>
      <c r="I139" s="637"/>
      <c r="J139" s="732"/>
      <c r="K139" s="638"/>
      <c r="L139" s="639"/>
      <c r="M139" s="830"/>
      <c r="N139" s="830"/>
      <c r="O139" s="830"/>
      <c r="P139" s="830"/>
      <c r="Q139" s="525" t="str">
        <f>IF(D77="n.v.t.","verbergen","")</f>
        <v>verbergen</v>
      </c>
      <c r="R139" s="625"/>
      <c r="S139" s="624"/>
      <c r="T139" s="516"/>
      <c r="U139" s="516"/>
      <c r="V139" s="508"/>
      <c r="W139" s="517"/>
      <c r="X139" s="517"/>
      <c r="Y139" s="517"/>
      <c r="Z139" s="517"/>
      <c r="AA139" s="517"/>
      <c r="AB139" s="517"/>
      <c r="AC139" s="517"/>
      <c r="AD139" s="517"/>
      <c r="AE139" s="517"/>
      <c r="AF139" s="517"/>
    </row>
    <row r="140" spans="1:32" s="518" customFormat="1" ht="12" hidden="1" customHeight="1">
      <c r="A140" s="515"/>
      <c r="B140" s="515"/>
      <c r="C140" s="640"/>
      <c r="D140" s="831"/>
      <c r="E140" s="831"/>
      <c r="F140" s="641"/>
      <c r="G140" s="642">
        <f>G139*3.6</f>
        <v>50.4</v>
      </c>
      <c r="H140" s="642">
        <f>H139*3.6</f>
        <v>50.4</v>
      </c>
      <c r="I140" s="643"/>
      <c r="J140" s="404"/>
      <c r="K140" s="422"/>
      <c r="L140" s="614"/>
      <c r="M140" s="826"/>
      <c r="N140" s="826"/>
      <c r="O140" s="565"/>
      <c r="P140" s="615"/>
      <c r="Q140" s="525" t="str">
        <f>IF(D77="n.v.t.","verbergen","")</f>
        <v>verbergen</v>
      </c>
      <c r="R140" s="625"/>
      <c r="S140" s="624"/>
      <c r="T140" s="516"/>
      <c r="U140" s="516"/>
      <c r="V140" s="508"/>
      <c r="W140" s="517"/>
      <c r="X140" s="517"/>
      <c r="Y140" s="517"/>
      <c r="Z140" s="517"/>
      <c r="AA140" s="517"/>
      <c r="AB140" s="517"/>
      <c r="AC140" s="517"/>
      <c r="AD140" s="517"/>
      <c r="AE140" s="517"/>
      <c r="AF140" s="517"/>
    </row>
    <row r="141" spans="1:32" s="518" customFormat="1" ht="15" customHeight="1">
      <c r="A141" s="515"/>
      <c r="B141" s="515"/>
      <c r="C141" s="644" t="s">
        <v>1088</v>
      </c>
      <c r="D141" s="645"/>
      <c r="E141" s="645"/>
      <c r="F141" s="645"/>
      <c r="G141" s="645"/>
      <c r="H141" s="645"/>
      <c r="I141" s="645"/>
      <c r="J141" s="645"/>
      <c r="K141" s="645"/>
      <c r="L141" s="645"/>
      <c r="M141" s="645"/>
      <c r="N141" s="645"/>
      <c r="O141" s="645"/>
      <c r="P141" s="645"/>
      <c r="Q141" s="516" t="str">
        <f>IF(D72="berekening op basis van minimale capaciteit","verbergen","")</f>
        <v/>
      </c>
      <c r="R141" s="616"/>
      <c r="S141" s="516"/>
      <c r="T141" s="521"/>
      <c r="U141" s="516"/>
      <c r="V141" s="517"/>
      <c r="W141" s="517"/>
      <c r="X141" s="517"/>
      <c r="Y141" s="517"/>
      <c r="Z141" s="517"/>
      <c r="AA141" s="517"/>
      <c r="AB141" s="517"/>
      <c r="AC141" s="524"/>
      <c r="AD141" s="517"/>
      <c r="AE141" s="517"/>
      <c r="AF141" s="517"/>
    </row>
    <row r="142" spans="1:32" s="518" customFormat="1" ht="12.75" hidden="1" customHeight="1">
      <c r="A142" s="515"/>
      <c r="B142" s="515"/>
      <c r="C142" s="576"/>
      <c r="D142" s="576"/>
      <c r="E142" s="576"/>
      <c r="F142" s="576"/>
      <c r="G142" s="576"/>
      <c r="H142" s="577"/>
      <c r="I142" s="577"/>
      <c r="J142" s="577"/>
      <c r="K142" s="577"/>
      <c r="L142" s="577"/>
      <c r="M142" s="577"/>
      <c r="N142" s="577"/>
      <c r="O142" s="577"/>
      <c r="P142" s="577"/>
      <c r="Q142" s="522"/>
      <c r="R142" s="516"/>
      <c r="S142" s="516"/>
      <c r="T142" s="521"/>
      <c r="U142" s="516"/>
      <c r="V142" s="548"/>
      <c r="W142" s="548"/>
      <c r="X142" s="548"/>
      <c r="Y142" s="548"/>
      <c r="Z142" s="517"/>
      <c r="AA142" s="517"/>
      <c r="AB142" s="517"/>
      <c r="AC142" s="524"/>
      <c r="AD142" s="517"/>
      <c r="AE142" s="517"/>
      <c r="AF142" s="517"/>
    </row>
    <row r="143" spans="1:32" ht="15" customHeight="1">
      <c r="A143" s="492"/>
      <c r="B143" s="492"/>
      <c r="C143" s="579" t="s">
        <v>730</v>
      </c>
      <c r="D143" s="580"/>
      <c r="E143" s="646" t="s">
        <v>731</v>
      </c>
      <c r="F143" s="580"/>
      <c r="G143" s="580"/>
      <c r="H143" s="460" t="s">
        <v>732</v>
      </c>
      <c r="I143" s="832" t="s">
        <v>605</v>
      </c>
      <c r="J143" s="832"/>
      <c r="K143" s="580"/>
      <c r="L143" s="580"/>
      <c r="M143" s="580"/>
      <c r="N143" s="580"/>
      <c r="O143" s="580"/>
      <c r="P143" s="580"/>
      <c r="Q143" s="507" t="str">
        <f>IF(D72="berekening op basis van minimale capaciteit","verbergen","")</f>
        <v/>
      </c>
      <c r="R143" s="507"/>
      <c r="S143" s="507"/>
      <c r="T143" s="532"/>
      <c r="U143" s="507"/>
      <c r="V143" s="508"/>
      <c r="W143" s="508"/>
      <c r="X143" s="508"/>
      <c r="Y143" s="508"/>
      <c r="Z143" s="508"/>
      <c r="AA143" s="508"/>
      <c r="AB143" s="508"/>
      <c r="AC143" s="534"/>
      <c r="AD143" s="508"/>
      <c r="AE143" s="508"/>
      <c r="AF143" s="508"/>
    </row>
    <row r="144" spans="1:32" s="518" customFormat="1" ht="12" customHeight="1">
      <c r="A144" s="516"/>
      <c r="B144" s="515"/>
      <c r="C144" s="464" t="str">
        <f>L28</f>
        <v>woonkamer / eetkamer</v>
      </c>
      <c r="D144" s="100" t="s">
        <v>141</v>
      </c>
      <c r="E144" s="464" t="str">
        <f>L29</f>
        <v>keuken</v>
      </c>
      <c r="F144" s="586"/>
      <c r="G144" s="586"/>
      <c r="H144" s="647">
        <v>21</v>
      </c>
      <c r="I144" s="833">
        <f>H144*12</f>
        <v>252</v>
      </c>
      <c r="J144" s="833"/>
      <c r="K144" s="834" t="str">
        <f>IF(I144&gt;180,"zie rapport voor nadere toelichting overstroomvoorzieningen","")</f>
        <v>zie rapport voor nadere toelichting overstroomvoorzieningen</v>
      </c>
      <c r="L144" s="834"/>
      <c r="M144" s="834"/>
      <c r="N144" s="834"/>
      <c r="O144" s="834"/>
      <c r="P144" s="834"/>
      <c r="Q144" s="525" t="str">
        <f t="shared" ref="Q144:Q148" si="23">IF(H144=0,"verbergen","")</f>
        <v/>
      </c>
      <c r="R144" s="516"/>
      <c r="S144" s="516"/>
      <c r="T144" s="521"/>
      <c r="U144" s="516"/>
      <c r="V144" s="517"/>
      <c r="W144" s="517"/>
      <c r="X144" s="517"/>
      <c r="Y144" s="517"/>
      <c r="Z144" s="508">
        <v>1</v>
      </c>
      <c r="AA144" s="648"/>
      <c r="AB144" s="517"/>
      <c r="AC144" s="517"/>
      <c r="AD144" s="517"/>
      <c r="AE144" s="517"/>
      <c r="AF144" s="517"/>
    </row>
    <row r="145" spans="1:32" s="518" customFormat="1" ht="12" customHeight="1">
      <c r="A145" s="516"/>
      <c r="B145" s="515"/>
      <c r="C145" s="464" t="str">
        <f>L28</f>
        <v>woonkamer / eetkamer</v>
      </c>
      <c r="D145" s="100" t="s">
        <v>141</v>
      </c>
      <c r="E145" s="464" t="s">
        <v>1159</v>
      </c>
      <c r="F145" s="586"/>
      <c r="G145" s="586"/>
      <c r="H145" s="647">
        <v>14</v>
      </c>
      <c r="I145" s="833">
        <f t="shared" ref="I145:I148" si="24">H145*12</f>
        <v>168</v>
      </c>
      <c r="J145" s="833"/>
      <c r="K145" s="834" t="str">
        <f>IF(I145&gt;180,"zie rapport voor nadere toelichting overstroomvoorzieningen","")</f>
        <v/>
      </c>
      <c r="L145" s="834"/>
      <c r="M145" s="834"/>
      <c r="N145" s="834"/>
      <c r="O145" s="834"/>
      <c r="P145" s="834"/>
      <c r="Q145" s="525" t="str">
        <f t="shared" si="23"/>
        <v/>
      </c>
      <c r="R145" s="516"/>
      <c r="S145" s="516"/>
      <c r="T145" s="521"/>
      <c r="U145" s="516"/>
      <c r="V145" s="517"/>
      <c r="W145" s="517"/>
      <c r="X145" s="517"/>
      <c r="Y145" s="517"/>
      <c r="Z145" s="508">
        <v>1</v>
      </c>
      <c r="AA145" s="648"/>
      <c r="AB145" s="517"/>
      <c r="AC145" s="517"/>
      <c r="AD145" s="517"/>
      <c r="AE145" s="517"/>
      <c r="AF145" s="517"/>
    </row>
    <row r="146" spans="1:32" s="518" customFormat="1" ht="12" hidden="1" customHeight="1">
      <c r="A146" s="516"/>
      <c r="B146" s="515"/>
      <c r="C146" s="464" t="s">
        <v>140</v>
      </c>
      <c r="D146" s="100" t="s">
        <v>141</v>
      </c>
      <c r="E146" s="464" t="s">
        <v>140</v>
      </c>
      <c r="F146" s="586"/>
      <c r="G146" s="586"/>
      <c r="H146" s="647">
        <v>0</v>
      </c>
      <c r="I146" s="833">
        <f t="shared" si="24"/>
        <v>0</v>
      </c>
      <c r="J146" s="833"/>
      <c r="K146" s="834" t="str">
        <f>IF(I146&gt;180,"zie rapport voor nadere toelichting overstroomvoorzieningen","")</f>
        <v/>
      </c>
      <c r="L146" s="834"/>
      <c r="M146" s="834"/>
      <c r="N146" s="834"/>
      <c r="O146" s="834"/>
      <c r="P146" s="834"/>
      <c r="Q146" s="525" t="str">
        <f t="shared" si="23"/>
        <v>verbergen</v>
      </c>
      <c r="R146" s="516"/>
      <c r="S146" s="516"/>
      <c r="T146" s="521"/>
      <c r="U146" s="516"/>
      <c r="V146" s="517"/>
      <c r="W146" s="517"/>
      <c r="X146" s="517"/>
      <c r="Y146" s="517"/>
      <c r="Z146" s="508">
        <v>1</v>
      </c>
      <c r="AA146" s="648"/>
      <c r="AB146" s="517"/>
      <c r="AC146" s="517"/>
      <c r="AD146" s="517"/>
      <c r="AE146" s="517"/>
      <c r="AF146" s="517"/>
    </row>
    <row r="147" spans="1:32" s="518" customFormat="1" ht="12" hidden="1" customHeight="1">
      <c r="A147" s="527"/>
      <c r="B147" s="515"/>
      <c r="C147" s="464" t="s">
        <v>140</v>
      </c>
      <c r="D147" s="100" t="s">
        <v>141</v>
      </c>
      <c r="E147" s="464" t="s">
        <v>140</v>
      </c>
      <c r="F147" s="586"/>
      <c r="G147" s="404"/>
      <c r="H147" s="647">
        <v>0</v>
      </c>
      <c r="I147" s="833">
        <f t="shared" si="24"/>
        <v>0</v>
      </c>
      <c r="J147" s="833"/>
      <c r="K147" s="834" t="str">
        <f>IF(I147&gt;180,"zie rapport voor nadere toelichting overstroomvoorzieningen","")</f>
        <v/>
      </c>
      <c r="L147" s="834"/>
      <c r="M147" s="834"/>
      <c r="N147" s="834"/>
      <c r="O147" s="834"/>
      <c r="P147" s="834"/>
      <c r="Q147" s="525" t="str">
        <f t="shared" si="23"/>
        <v>verbergen</v>
      </c>
      <c r="R147" s="516"/>
      <c r="S147" s="516"/>
      <c r="T147" s="521"/>
      <c r="U147" s="516"/>
      <c r="V147" s="517"/>
      <c r="W147" s="517"/>
      <c r="X147" s="517"/>
      <c r="Y147" s="517"/>
      <c r="Z147" s="508">
        <v>1</v>
      </c>
      <c r="AA147" s="648"/>
      <c r="AB147" s="517"/>
      <c r="AC147" s="517"/>
      <c r="AD147" s="517"/>
      <c r="AE147" s="517"/>
      <c r="AF147" s="517"/>
    </row>
    <row r="148" spans="1:32" s="518" customFormat="1" ht="12" hidden="1" customHeight="1">
      <c r="A148" s="527"/>
      <c r="B148" s="515"/>
      <c r="C148" s="464" t="s">
        <v>140</v>
      </c>
      <c r="D148" s="342" t="s">
        <v>141</v>
      </c>
      <c r="E148" s="464" t="s">
        <v>140</v>
      </c>
      <c r="F148" s="609"/>
      <c r="G148" s="628"/>
      <c r="H148" s="649">
        <v>0</v>
      </c>
      <c r="I148" s="835">
        <f t="shared" si="24"/>
        <v>0</v>
      </c>
      <c r="J148" s="835"/>
      <c r="K148" s="836" t="str">
        <f>IF(I148&gt;180,"zie rapport voor nadere toelichting overstroomvoorzieningen","")</f>
        <v/>
      </c>
      <c r="L148" s="836"/>
      <c r="M148" s="836"/>
      <c r="N148" s="836"/>
      <c r="O148" s="836"/>
      <c r="P148" s="836"/>
      <c r="Q148" s="525" t="str">
        <f t="shared" si="23"/>
        <v>verbergen</v>
      </c>
      <c r="R148" s="516"/>
      <c r="S148" s="516"/>
      <c r="T148" s="521"/>
      <c r="U148" s="516"/>
      <c r="V148" s="517"/>
      <c r="W148" s="517"/>
      <c r="X148" s="517"/>
      <c r="Y148" s="517"/>
      <c r="Z148" s="508">
        <v>1</v>
      </c>
      <c r="AA148" s="648"/>
      <c r="AB148" s="517"/>
      <c r="AC148" s="517"/>
      <c r="AD148" s="517"/>
      <c r="AE148" s="517"/>
      <c r="AF148" s="517"/>
    </row>
    <row r="149" spans="1:32" s="518" customFormat="1" ht="12" customHeight="1">
      <c r="A149" s="527"/>
      <c r="B149" s="590">
        <v>1</v>
      </c>
      <c r="C149" s="480">
        <f>B149</f>
        <v>1</v>
      </c>
      <c r="D149" s="592"/>
      <c r="E149" s="592"/>
      <c r="F149" s="650"/>
      <c r="G149" s="592"/>
      <c r="H149" s="651"/>
      <c r="I149" s="652"/>
      <c r="J149" s="653"/>
      <c r="K149" s="837" t="str">
        <f>IF(MAX(P144:P148)&gt;200,"zie rapport voor nadere toelichting overstroomvoorzieningen","")</f>
        <v/>
      </c>
      <c r="L149" s="837"/>
      <c r="M149" s="837"/>
      <c r="N149" s="837"/>
      <c r="O149" s="837"/>
      <c r="P149" s="837"/>
      <c r="Q149" s="516" t="str">
        <f>IF(SUM(H144:H150)=0,"verbergen","")</f>
        <v/>
      </c>
      <c r="R149" s="516"/>
      <c r="S149" s="516"/>
      <c r="T149" s="521"/>
      <c r="U149" s="516"/>
      <c r="V149" s="517"/>
      <c r="W149" s="517"/>
      <c r="X149" s="517"/>
      <c r="Y149" s="517"/>
      <c r="Z149" s="508">
        <v>1</v>
      </c>
      <c r="AA149" s="648"/>
      <c r="AB149" s="517"/>
      <c r="AC149" s="517"/>
      <c r="AD149" s="517"/>
      <c r="AE149" s="517"/>
      <c r="AF149" s="517"/>
    </row>
    <row r="150" spans="1:32" s="518" customFormat="1" ht="12" customHeight="1">
      <c r="A150" s="527"/>
      <c r="B150" s="515"/>
      <c r="C150" s="654"/>
      <c r="D150" s="404"/>
      <c r="E150" s="404"/>
      <c r="F150" s="586"/>
      <c r="G150" s="404"/>
      <c r="H150" s="655"/>
      <c r="I150" s="656"/>
      <c r="J150" s="657"/>
      <c r="K150" s="838"/>
      <c r="L150" s="838"/>
      <c r="M150" s="839"/>
      <c r="N150" s="839"/>
      <c r="O150" s="840"/>
      <c r="P150" s="840"/>
      <c r="Q150" s="516" t="str">
        <f>Q149</f>
        <v/>
      </c>
      <c r="R150" s="516"/>
      <c r="S150" s="516"/>
      <c r="T150" s="521"/>
      <c r="U150" s="516"/>
      <c r="V150" s="517"/>
      <c r="W150" s="517"/>
      <c r="X150" s="517"/>
      <c r="Y150" s="517"/>
      <c r="Z150" s="508">
        <v>1</v>
      </c>
      <c r="AA150" s="648"/>
      <c r="AB150" s="517"/>
      <c r="AC150" s="517"/>
      <c r="AD150" s="517"/>
      <c r="AE150" s="517"/>
      <c r="AF150" s="517"/>
    </row>
    <row r="151" spans="1:32" s="541" customFormat="1" ht="12" customHeight="1">
      <c r="A151" s="392"/>
      <c r="B151" s="543"/>
      <c r="C151" s="464" t="str">
        <f>L29</f>
        <v>keuken</v>
      </c>
      <c r="D151" s="100" t="s">
        <v>141</v>
      </c>
      <c r="E151" s="464" t="str">
        <f>L30</f>
        <v>bijkeuken</v>
      </c>
      <c r="F151" s="586"/>
      <c r="G151" s="586"/>
      <c r="H151" s="647">
        <v>7</v>
      </c>
      <c r="I151" s="833">
        <f>H151*12</f>
        <v>84</v>
      </c>
      <c r="J151" s="833"/>
      <c r="K151" s="834" t="str">
        <f>IF(I151&gt;180,"zie rapport voor nadere toelichting overstroomvoorzieningen","")</f>
        <v/>
      </c>
      <c r="L151" s="834"/>
      <c r="M151" s="834"/>
      <c r="N151" s="834"/>
      <c r="O151" s="834"/>
      <c r="P151" s="834"/>
      <c r="Q151" s="729" t="str">
        <f>IF(H151=0,"verbergen","")</f>
        <v/>
      </c>
      <c r="R151" s="392"/>
      <c r="S151" s="392"/>
      <c r="T151" s="544"/>
      <c r="U151" s="392"/>
      <c r="V151" s="392"/>
      <c r="W151" s="392"/>
      <c r="X151" s="392"/>
      <c r="Y151" s="392"/>
      <c r="Z151" s="547">
        <f>Z150+1</f>
        <v>2</v>
      </c>
      <c r="AA151" s="404"/>
      <c r="AB151" s="516"/>
      <c r="AC151" s="516"/>
      <c r="AD151" s="516"/>
      <c r="AE151" s="516"/>
      <c r="AF151" s="515"/>
    </row>
    <row r="152" spans="1:32" s="541" customFormat="1" ht="12" hidden="1" customHeight="1">
      <c r="A152" s="392"/>
      <c r="B152" s="543"/>
      <c r="C152" s="464" t="s">
        <v>140</v>
      </c>
      <c r="D152" s="100" t="s">
        <v>141</v>
      </c>
      <c r="E152" s="464" t="s">
        <v>140</v>
      </c>
      <c r="F152" s="586"/>
      <c r="G152" s="586"/>
      <c r="H152" s="647">
        <v>0</v>
      </c>
      <c r="I152" s="833">
        <f t="shared" ref="I152:I155" si="25">H152*12</f>
        <v>0</v>
      </c>
      <c r="J152" s="833"/>
      <c r="K152" s="834" t="str">
        <f>IF(I152&gt;180,"zie rapport voor nadere toelichting overstroomvoorzieningen","")</f>
        <v/>
      </c>
      <c r="L152" s="834"/>
      <c r="M152" s="834"/>
      <c r="N152" s="834"/>
      <c r="O152" s="834"/>
      <c r="P152" s="834"/>
      <c r="Q152" s="729" t="str">
        <f>IF(H152=0,"verbergen","")</f>
        <v>verbergen</v>
      </c>
      <c r="R152" s="392"/>
      <c r="S152" s="392"/>
      <c r="T152" s="544"/>
      <c r="U152" s="392"/>
      <c r="V152" s="392"/>
      <c r="W152" s="392"/>
      <c r="X152" s="392"/>
      <c r="Y152" s="392"/>
      <c r="Z152" s="547">
        <f t="shared" ref="Z152:Z157" si="26">Z151</f>
        <v>2</v>
      </c>
      <c r="AA152" s="404"/>
      <c r="AB152" s="516"/>
      <c r="AC152" s="516"/>
      <c r="AD152" s="516"/>
      <c r="AE152" s="516"/>
      <c r="AF152" s="515"/>
    </row>
    <row r="153" spans="1:32" s="541" customFormat="1" ht="12" hidden="1" customHeight="1">
      <c r="A153" s="392"/>
      <c r="B153" s="543"/>
      <c r="C153" s="464" t="s">
        <v>140</v>
      </c>
      <c r="D153" s="100" t="s">
        <v>141</v>
      </c>
      <c r="E153" s="464" t="s">
        <v>140</v>
      </c>
      <c r="F153" s="586"/>
      <c r="G153" s="586"/>
      <c r="H153" s="647">
        <v>0</v>
      </c>
      <c r="I153" s="833">
        <f t="shared" si="25"/>
        <v>0</v>
      </c>
      <c r="J153" s="833"/>
      <c r="K153" s="834" t="str">
        <f>IF(I153&gt;180,"zie rapport voor nadere toelichting overstroomvoorzieningen","")</f>
        <v/>
      </c>
      <c r="L153" s="834"/>
      <c r="M153" s="834"/>
      <c r="N153" s="834"/>
      <c r="O153" s="834"/>
      <c r="P153" s="834"/>
      <c r="Q153" s="729" t="str">
        <f>IF(H153=0,"verbergen","")</f>
        <v>verbergen</v>
      </c>
      <c r="R153" s="392"/>
      <c r="S153" s="392"/>
      <c r="T153" s="544"/>
      <c r="U153" s="392"/>
      <c r="V153" s="392"/>
      <c r="W153" s="392"/>
      <c r="X153" s="392"/>
      <c r="Y153" s="392"/>
      <c r="Z153" s="547">
        <f t="shared" si="26"/>
        <v>2</v>
      </c>
      <c r="AA153" s="404"/>
      <c r="AB153" s="516"/>
      <c r="AC153" s="516"/>
      <c r="AD153" s="516"/>
      <c r="AE153" s="516"/>
      <c r="AF153" s="515"/>
    </row>
    <row r="154" spans="1:32" s="541" customFormat="1" ht="12" hidden="1" customHeight="1">
      <c r="A154" s="542"/>
      <c r="B154" s="543"/>
      <c r="C154" s="464" t="s">
        <v>140</v>
      </c>
      <c r="D154" s="100" t="s">
        <v>141</v>
      </c>
      <c r="E154" s="464" t="s">
        <v>140</v>
      </c>
      <c r="F154" s="586"/>
      <c r="G154" s="404"/>
      <c r="H154" s="647">
        <v>0</v>
      </c>
      <c r="I154" s="833">
        <f t="shared" si="25"/>
        <v>0</v>
      </c>
      <c r="J154" s="833"/>
      <c r="K154" s="834" t="str">
        <f>IF(I154&gt;180,"zie rapport voor nadere toelichting overstroomvoorzieningen","")</f>
        <v/>
      </c>
      <c r="L154" s="834"/>
      <c r="M154" s="834"/>
      <c r="N154" s="834"/>
      <c r="O154" s="834"/>
      <c r="P154" s="834"/>
      <c r="Q154" s="729" t="str">
        <f>IF(H154=0,"verbergen","")</f>
        <v>verbergen</v>
      </c>
      <c r="R154" s="392"/>
      <c r="S154" s="392"/>
      <c r="T154" s="544"/>
      <c r="U154" s="392"/>
      <c r="V154" s="392"/>
      <c r="W154" s="392"/>
      <c r="X154" s="392"/>
      <c r="Y154" s="392"/>
      <c r="Z154" s="547">
        <f t="shared" si="26"/>
        <v>2</v>
      </c>
      <c r="AA154" s="404"/>
      <c r="AB154" s="516"/>
      <c r="AC154" s="516"/>
      <c r="AD154" s="516"/>
      <c r="AE154" s="516"/>
      <c r="AF154" s="515"/>
    </row>
    <row r="155" spans="1:32" s="541" customFormat="1" ht="12" hidden="1" customHeight="1">
      <c r="A155" s="542"/>
      <c r="B155" s="543"/>
      <c r="C155" s="464" t="s">
        <v>140</v>
      </c>
      <c r="D155" s="342" t="s">
        <v>141</v>
      </c>
      <c r="E155" s="464" t="s">
        <v>140</v>
      </c>
      <c r="F155" s="609"/>
      <c r="G155" s="628"/>
      <c r="H155" s="649">
        <v>0</v>
      </c>
      <c r="I155" s="835">
        <f t="shared" si="25"/>
        <v>0</v>
      </c>
      <c r="J155" s="835"/>
      <c r="K155" s="836" t="str">
        <f>IF(I155&gt;180,"zie rapport voor nadere toelichting overstroomvoorzieningen","")</f>
        <v/>
      </c>
      <c r="L155" s="836"/>
      <c r="M155" s="836"/>
      <c r="N155" s="836"/>
      <c r="O155" s="836"/>
      <c r="P155" s="836"/>
      <c r="Q155" s="729" t="str">
        <f>IF(H155=0,"verbergen","")</f>
        <v>verbergen</v>
      </c>
      <c r="R155" s="392"/>
      <c r="S155" s="392"/>
      <c r="T155" s="544"/>
      <c r="U155" s="392"/>
      <c r="V155" s="392"/>
      <c r="W155" s="392"/>
      <c r="X155" s="392"/>
      <c r="Y155" s="392"/>
      <c r="Z155" s="547">
        <f t="shared" si="26"/>
        <v>2</v>
      </c>
      <c r="AA155" s="404"/>
      <c r="AB155" s="516"/>
      <c r="AC155" s="516"/>
      <c r="AD155" s="516"/>
      <c r="AE155" s="516"/>
      <c r="AF155" s="515"/>
    </row>
    <row r="156" spans="1:32" s="541" customFormat="1" ht="12" customHeight="1">
      <c r="A156" s="542"/>
      <c r="B156" s="556">
        <f>B149+1</f>
        <v>2</v>
      </c>
      <c r="C156" s="480">
        <f>B156</f>
        <v>2</v>
      </c>
      <c r="D156" s="592"/>
      <c r="E156" s="592"/>
      <c r="F156" s="650"/>
      <c r="G156" s="592"/>
      <c r="H156" s="651"/>
      <c r="I156" s="652"/>
      <c r="J156" s="653"/>
      <c r="K156" s="837" t="str">
        <f>IF(MAX(P151:P155)&gt;200,"zie rapport voor nadere toelichting overstroomvoorzieningen","")</f>
        <v/>
      </c>
      <c r="L156" s="837"/>
      <c r="M156" s="837"/>
      <c r="N156" s="837"/>
      <c r="O156" s="837"/>
      <c r="P156" s="837"/>
      <c r="Q156" s="392" t="str">
        <f>IF(SUM(H151:H157)=0,"verbergen","")</f>
        <v/>
      </c>
      <c r="R156" s="392"/>
      <c r="S156" s="392"/>
      <c r="T156" s="544"/>
      <c r="U156" s="392"/>
      <c r="V156" s="392"/>
      <c r="W156" s="392"/>
      <c r="X156" s="392"/>
      <c r="Y156" s="392"/>
      <c r="Z156" s="547">
        <f t="shared" si="26"/>
        <v>2</v>
      </c>
      <c r="AA156" s="404"/>
      <c r="AB156" s="516"/>
      <c r="AC156" s="516"/>
      <c r="AD156" s="516"/>
      <c r="AE156" s="516"/>
      <c r="AF156" s="515"/>
    </row>
    <row r="157" spans="1:32" s="541" customFormat="1" ht="12" customHeight="1">
      <c r="A157" s="542"/>
      <c r="B157" s="543"/>
      <c r="C157" s="654"/>
      <c r="D157" s="404"/>
      <c r="E157" s="404"/>
      <c r="F157" s="586"/>
      <c r="G157" s="404"/>
      <c r="H157" s="655"/>
      <c r="I157" s="656"/>
      <c r="J157" s="657"/>
      <c r="K157" s="838"/>
      <c r="L157" s="838"/>
      <c r="M157" s="839"/>
      <c r="N157" s="839"/>
      <c r="O157" s="840"/>
      <c r="P157" s="840"/>
      <c r="Q157" s="392" t="str">
        <f>Q156</f>
        <v/>
      </c>
      <c r="R157" s="392"/>
      <c r="S157" s="392"/>
      <c r="T157" s="544"/>
      <c r="U157" s="392"/>
      <c r="V157" s="392"/>
      <c r="W157" s="392"/>
      <c r="X157" s="392"/>
      <c r="Y157" s="392"/>
      <c r="Z157" s="547">
        <f t="shared" si="26"/>
        <v>2</v>
      </c>
      <c r="AA157" s="404"/>
      <c r="AB157" s="516"/>
      <c r="AC157" s="516"/>
      <c r="AD157" s="516"/>
      <c r="AE157" s="516"/>
      <c r="AF157" s="515"/>
    </row>
    <row r="158" spans="1:32" s="541" customFormat="1" ht="12" customHeight="1">
      <c r="A158" s="392"/>
      <c r="B158" s="543"/>
      <c r="C158" s="464" t="str">
        <f>L31</f>
        <v>slaapkamer 1</v>
      </c>
      <c r="D158" s="100" t="s">
        <v>141</v>
      </c>
      <c r="E158" s="464" t="s">
        <v>1158</v>
      </c>
      <c r="F158" s="586"/>
      <c r="G158" s="586"/>
      <c r="H158" s="647">
        <v>14</v>
      </c>
      <c r="I158" s="833">
        <f>H158*12</f>
        <v>168</v>
      </c>
      <c r="J158" s="833"/>
      <c r="K158" s="834" t="str">
        <f>IF(I158&gt;200,"zie rapport voor nadere toelichting overstroomvoorzieningen","")</f>
        <v/>
      </c>
      <c r="L158" s="834"/>
      <c r="M158" s="834"/>
      <c r="N158" s="834"/>
      <c r="O158" s="834"/>
      <c r="P158" s="834"/>
      <c r="Q158" s="729" t="str">
        <f>IF(H158=0,"verbergen","")</f>
        <v/>
      </c>
      <c r="R158" s="392"/>
      <c r="S158" s="392"/>
      <c r="T158" s="544"/>
      <c r="U158" s="392"/>
      <c r="V158" s="392"/>
      <c r="W158" s="392"/>
      <c r="X158" s="392"/>
      <c r="Y158" s="392"/>
      <c r="Z158" s="547">
        <f>Z157+1</f>
        <v>3</v>
      </c>
      <c r="AA158" s="404"/>
      <c r="AB158" s="516"/>
      <c r="AC158" s="516"/>
      <c r="AD158" s="516"/>
      <c r="AE158" s="516"/>
      <c r="AF158" s="515"/>
    </row>
    <row r="159" spans="1:32" s="541" customFormat="1" ht="12" customHeight="1">
      <c r="A159" s="392"/>
      <c r="B159" s="543"/>
      <c r="C159" s="464" t="str">
        <f t="shared" ref="C159:C160" si="27">L32</f>
        <v>slaapkamer 2</v>
      </c>
      <c r="D159" s="100" t="s">
        <v>141</v>
      </c>
      <c r="E159" s="464" t="s">
        <v>1158</v>
      </c>
      <c r="F159" s="586"/>
      <c r="G159" s="586"/>
      <c r="H159" s="647">
        <v>14</v>
      </c>
      <c r="I159" s="833">
        <f t="shared" ref="I159:I162" si="28">H159*12</f>
        <v>168</v>
      </c>
      <c r="J159" s="833"/>
      <c r="K159" s="834" t="str">
        <f>IF(I159&gt;200,"zie rapport voor nadere toelichting overstroomvoorzieningen","")</f>
        <v/>
      </c>
      <c r="L159" s="834"/>
      <c r="M159" s="834"/>
      <c r="N159" s="834"/>
      <c r="O159" s="834"/>
      <c r="P159" s="834"/>
      <c r="Q159" s="729" t="str">
        <f>IF(H159=0,"verbergen","")</f>
        <v/>
      </c>
      <c r="R159" s="392"/>
      <c r="S159" s="392"/>
      <c r="T159" s="544"/>
      <c r="U159" s="392"/>
      <c r="V159" s="392"/>
      <c r="W159" s="392"/>
      <c r="X159" s="392"/>
      <c r="Y159" s="392"/>
      <c r="Z159" s="547">
        <f t="shared" ref="Z159:Z164" si="29">Z158</f>
        <v>3</v>
      </c>
      <c r="AA159" s="404"/>
      <c r="AB159" s="516"/>
      <c r="AC159" s="516"/>
      <c r="AD159" s="516"/>
      <c r="AE159" s="516"/>
      <c r="AF159" s="515"/>
    </row>
    <row r="160" spans="1:32" s="541" customFormat="1" ht="12" customHeight="1">
      <c r="A160" s="392"/>
      <c r="B160" s="543"/>
      <c r="C160" s="464" t="str">
        <f t="shared" si="27"/>
        <v>studeerkamer</v>
      </c>
      <c r="D160" s="100" t="s">
        <v>141</v>
      </c>
      <c r="E160" s="464" t="s">
        <v>1158</v>
      </c>
      <c r="F160" s="586"/>
      <c r="G160" s="586"/>
      <c r="H160" s="647">
        <v>14</v>
      </c>
      <c r="I160" s="833">
        <f t="shared" si="28"/>
        <v>168</v>
      </c>
      <c r="J160" s="833"/>
      <c r="K160" s="834" t="str">
        <f>IF(I160&gt;200,"zie rapport voor nadere toelichting overstroomvoorzieningen","")</f>
        <v/>
      </c>
      <c r="L160" s="834"/>
      <c r="M160" s="834"/>
      <c r="N160" s="834"/>
      <c r="O160" s="834"/>
      <c r="P160" s="834"/>
      <c r="Q160" s="729" t="str">
        <f>IF(H160=0,"verbergen","")</f>
        <v/>
      </c>
      <c r="R160" s="392"/>
      <c r="S160" s="392"/>
      <c r="T160" s="544"/>
      <c r="U160" s="392"/>
      <c r="V160" s="392"/>
      <c r="W160" s="392"/>
      <c r="X160" s="392"/>
      <c r="Y160" s="392"/>
      <c r="Z160" s="547">
        <f t="shared" si="29"/>
        <v>3</v>
      </c>
      <c r="AA160" s="404"/>
      <c r="AB160" s="516"/>
      <c r="AC160" s="516"/>
      <c r="AD160" s="516"/>
      <c r="AE160" s="516"/>
      <c r="AF160" s="515"/>
    </row>
    <row r="161" spans="1:32" s="541" customFormat="1" ht="12" hidden="1" customHeight="1">
      <c r="A161" s="542"/>
      <c r="B161" s="543"/>
      <c r="C161" s="464" t="s">
        <v>140</v>
      </c>
      <c r="D161" s="100" t="s">
        <v>141</v>
      </c>
      <c r="E161" s="464" t="s">
        <v>140</v>
      </c>
      <c r="F161" s="586"/>
      <c r="G161" s="404"/>
      <c r="H161" s="647">
        <v>0</v>
      </c>
      <c r="I161" s="833">
        <f t="shared" si="28"/>
        <v>0</v>
      </c>
      <c r="J161" s="833"/>
      <c r="K161" s="834" t="str">
        <f>IF(I161&gt;200,"zie rapport voor nadere toelichting overstroomvoorzieningen","")</f>
        <v/>
      </c>
      <c r="L161" s="834"/>
      <c r="M161" s="834"/>
      <c r="N161" s="834"/>
      <c r="O161" s="834"/>
      <c r="P161" s="834"/>
      <c r="Q161" s="729" t="str">
        <f>IF(H161=0,"verbergen","")</f>
        <v>verbergen</v>
      </c>
      <c r="R161" s="392"/>
      <c r="S161" s="392"/>
      <c r="T161" s="544"/>
      <c r="U161" s="392"/>
      <c r="V161" s="392"/>
      <c r="W161" s="392"/>
      <c r="X161" s="392"/>
      <c r="Y161" s="392"/>
      <c r="Z161" s="547">
        <f t="shared" si="29"/>
        <v>3</v>
      </c>
      <c r="AA161" s="404"/>
      <c r="AB161" s="516"/>
      <c r="AC161" s="516"/>
      <c r="AD161" s="516"/>
      <c r="AE161" s="516"/>
      <c r="AF161" s="515"/>
    </row>
    <row r="162" spans="1:32" s="541" customFormat="1" ht="12" hidden="1" customHeight="1">
      <c r="A162" s="542"/>
      <c r="B162" s="543"/>
      <c r="C162" s="472" t="s">
        <v>140</v>
      </c>
      <c r="D162" s="100" t="s">
        <v>141</v>
      </c>
      <c r="E162" s="472" t="s">
        <v>140</v>
      </c>
      <c r="F162" s="609"/>
      <c r="G162" s="628"/>
      <c r="H162" s="649">
        <v>0</v>
      </c>
      <c r="I162" s="835">
        <f t="shared" si="28"/>
        <v>0</v>
      </c>
      <c r="J162" s="835"/>
      <c r="K162" s="836" t="str">
        <f>IF(I162&gt;200,"zie rapport voor nadere toelichting overstroomvoorzieningen","")</f>
        <v/>
      </c>
      <c r="L162" s="836"/>
      <c r="M162" s="836"/>
      <c r="N162" s="836"/>
      <c r="O162" s="836"/>
      <c r="P162" s="836"/>
      <c r="Q162" s="729" t="str">
        <f>IF(H162=0,"verbergen","")</f>
        <v>verbergen</v>
      </c>
      <c r="R162" s="392"/>
      <c r="S162" s="392"/>
      <c r="T162" s="544"/>
      <c r="U162" s="392"/>
      <c r="V162" s="392"/>
      <c r="W162" s="392"/>
      <c r="X162" s="392"/>
      <c r="Y162" s="392"/>
      <c r="Z162" s="547">
        <f t="shared" si="29"/>
        <v>3</v>
      </c>
      <c r="AA162" s="404"/>
      <c r="AB162" s="516"/>
      <c r="AC162" s="516"/>
      <c r="AD162" s="516"/>
      <c r="AE162" s="516"/>
      <c r="AF162" s="515"/>
    </row>
    <row r="163" spans="1:32" s="541" customFormat="1" ht="12" customHeight="1">
      <c r="A163" s="542"/>
      <c r="B163" s="556">
        <f>B156+1</f>
        <v>3</v>
      </c>
      <c r="C163" s="480">
        <f>B163</f>
        <v>3</v>
      </c>
      <c r="D163" s="592"/>
      <c r="E163" s="592"/>
      <c r="F163" s="650"/>
      <c r="G163" s="592"/>
      <c r="H163" s="651"/>
      <c r="I163" s="652"/>
      <c r="J163" s="653"/>
      <c r="K163" s="837" t="str">
        <f>IF(MAX(P158:P162)&gt;200,"zie rapport voor nadere toelichting overstroomvoorzieningen","")</f>
        <v/>
      </c>
      <c r="L163" s="837"/>
      <c r="M163" s="837"/>
      <c r="N163" s="837"/>
      <c r="O163" s="837"/>
      <c r="P163" s="837"/>
      <c r="Q163" s="392" t="str">
        <f>IF(SUM(H158:H164)=0,"verbergen","")</f>
        <v/>
      </c>
      <c r="R163" s="392"/>
      <c r="S163" s="392"/>
      <c r="T163" s="544"/>
      <c r="U163" s="392"/>
      <c r="V163" s="392"/>
      <c r="W163" s="392"/>
      <c r="X163" s="392"/>
      <c r="Y163" s="392"/>
      <c r="Z163" s="547">
        <f t="shared" si="29"/>
        <v>3</v>
      </c>
      <c r="AA163" s="404"/>
      <c r="AB163" s="516"/>
      <c r="AC163" s="516"/>
      <c r="AD163" s="516"/>
      <c r="AE163" s="516"/>
      <c r="AF163" s="515"/>
    </row>
    <row r="164" spans="1:32" s="541" customFormat="1" ht="12" customHeight="1">
      <c r="A164" s="542"/>
      <c r="B164" s="543"/>
      <c r="C164" s="654"/>
      <c r="D164" s="404"/>
      <c r="E164" s="404"/>
      <c r="F164" s="586"/>
      <c r="G164" s="404"/>
      <c r="H164" s="655"/>
      <c r="I164" s="656"/>
      <c r="J164" s="657"/>
      <c r="K164" s="838"/>
      <c r="L164" s="838"/>
      <c r="M164" s="839"/>
      <c r="N164" s="839"/>
      <c r="O164" s="840"/>
      <c r="P164" s="840"/>
      <c r="Q164" s="392" t="str">
        <f>Q163</f>
        <v/>
      </c>
      <c r="R164" s="392"/>
      <c r="S164" s="392"/>
      <c r="T164" s="544"/>
      <c r="U164" s="392"/>
      <c r="V164" s="392"/>
      <c r="W164" s="392"/>
      <c r="X164" s="392"/>
      <c r="Y164" s="392"/>
      <c r="Z164" s="547">
        <f t="shared" si="29"/>
        <v>3</v>
      </c>
      <c r="AA164" s="404"/>
      <c r="AB164" s="516"/>
      <c r="AC164" s="516"/>
      <c r="AD164" s="516"/>
      <c r="AE164" s="516"/>
      <c r="AF164" s="515"/>
    </row>
    <row r="165" spans="1:32" s="541" customFormat="1" ht="12" customHeight="1">
      <c r="A165" s="392"/>
      <c r="B165" s="543"/>
      <c r="C165" s="464" t="str">
        <f>L34</f>
        <v>slaapkamer 3</v>
      </c>
      <c r="D165" s="100" t="s">
        <v>141</v>
      </c>
      <c r="E165" s="464" t="s">
        <v>1158</v>
      </c>
      <c r="F165" s="586"/>
      <c r="G165" s="586"/>
      <c r="H165" s="647">
        <v>14</v>
      </c>
      <c r="I165" s="833">
        <f>H165*12</f>
        <v>168</v>
      </c>
      <c r="J165" s="833"/>
      <c r="K165" s="834" t="str">
        <f>IF(I165&gt;200,"zie rapport voor nadere toelichting overstroomvoorzieningen","")</f>
        <v/>
      </c>
      <c r="L165" s="834"/>
      <c r="M165" s="834"/>
      <c r="N165" s="834"/>
      <c r="O165" s="834"/>
      <c r="P165" s="834"/>
      <c r="Q165" s="729" t="str">
        <f>IF(H165=0,"verbergen","")</f>
        <v/>
      </c>
      <c r="R165" s="392"/>
      <c r="S165" s="392"/>
      <c r="T165" s="544"/>
      <c r="U165" s="392"/>
      <c r="V165" s="392"/>
      <c r="W165" s="392"/>
      <c r="X165" s="392"/>
      <c r="Y165" s="392"/>
      <c r="Z165" s="547">
        <f>Z164+1</f>
        <v>4</v>
      </c>
      <c r="AA165" s="404"/>
      <c r="AB165" s="516"/>
      <c r="AC165" s="516"/>
      <c r="AD165" s="516"/>
      <c r="AE165" s="516"/>
      <c r="AF165" s="515"/>
    </row>
    <row r="166" spans="1:32" s="541" customFormat="1" ht="12" hidden="1" customHeight="1">
      <c r="A166" s="392"/>
      <c r="B166" s="543"/>
      <c r="C166" s="464" t="s">
        <v>140</v>
      </c>
      <c r="D166" s="100" t="s">
        <v>141</v>
      </c>
      <c r="E166" s="464" t="s">
        <v>140</v>
      </c>
      <c r="F166" s="586"/>
      <c r="G166" s="586"/>
      <c r="H166" s="647">
        <v>0</v>
      </c>
      <c r="I166" s="833">
        <f t="shared" ref="I166:I169" si="30">H166*12</f>
        <v>0</v>
      </c>
      <c r="J166" s="833"/>
      <c r="K166" s="834" t="str">
        <f>IF(I166&gt;200,"zie rapport voor nadere toelichting overstroomvoorzieningen","")</f>
        <v/>
      </c>
      <c r="L166" s="834"/>
      <c r="M166" s="834"/>
      <c r="N166" s="834"/>
      <c r="O166" s="834"/>
      <c r="P166" s="834"/>
      <c r="Q166" s="729" t="str">
        <f>IF(H166=0,"verbergen","")</f>
        <v>verbergen</v>
      </c>
      <c r="R166" s="392"/>
      <c r="S166" s="392"/>
      <c r="T166" s="544"/>
      <c r="U166" s="392"/>
      <c r="V166" s="392"/>
      <c r="W166" s="392"/>
      <c r="X166" s="392"/>
      <c r="Y166" s="392"/>
      <c r="Z166" s="547">
        <f t="shared" ref="Z166:Z171" si="31">Z165</f>
        <v>4</v>
      </c>
      <c r="AA166" s="404"/>
      <c r="AB166" s="516"/>
      <c r="AC166" s="516"/>
      <c r="AD166" s="516"/>
      <c r="AE166" s="516"/>
      <c r="AF166" s="515"/>
    </row>
    <row r="167" spans="1:32" s="541" customFormat="1" ht="12" hidden="1" customHeight="1">
      <c r="A167" s="392"/>
      <c r="B167" s="543"/>
      <c r="C167" s="464" t="s">
        <v>140</v>
      </c>
      <c r="D167" s="100" t="s">
        <v>141</v>
      </c>
      <c r="E167" s="464" t="s">
        <v>140</v>
      </c>
      <c r="F167" s="586"/>
      <c r="G167" s="586"/>
      <c r="H167" s="647">
        <v>0</v>
      </c>
      <c r="I167" s="833">
        <f t="shared" si="30"/>
        <v>0</v>
      </c>
      <c r="J167" s="833"/>
      <c r="K167" s="834" t="str">
        <f>IF(I167&gt;200,"zie rapport voor nadere toelichting overstroomvoorzieningen","")</f>
        <v/>
      </c>
      <c r="L167" s="834"/>
      <c r="M167" s="834"/>
      <c r="N167" s="834"/>
      <c r="O167" s="834"/>
      <c r="P167" s="834"/>
      <c r="Q167" s="729" t="str">
        <f>IF(H167=0,"verbergen","")</f>
        <v>verbergen</v>
      </c>
      <c r="R167" s="392"/>
      <c r="S167" s="392"/>
      <c r="T167" s="544"/>
      <c r="U167" s="392"/>
      <c r="V167" s="392"/>
      <c r="W167" s="392"/>
      <c r="X167" s="392"/>
      <c r="Y167" s="392"/>
      <c r="Z167" s="547">
        <f t="shared" si="31"/>
        <v>4</v>
      </c>
      <c r="AA167" s="404"/>
      <c r="AB167" s="516"/>
      <c r="AC167" s="516"/>
      <c r="AD167" s="516"/>
      <c r="AE167" s="516"/>
      <c r="AF167" s="515"/>
    </row>
    <row r="168" spans="1:32" s="541" customFormat="1" ht="12" hidden="1" customHeight="1">
      <c r="A168" s="542"/>
      <c r="B168" s="543"/>
      <c r="C168" s="464" t="s">
        <v>140</v>
      </c>
      <c r="D168" s="100" t="s">
        <v>141</v>
      </c>
      <c r="E168" s="464" t="s">
        <v>140</v>
      </c>
      <c r="F168" s="586"/>
      <c r="G168" s="404"/>
      <c r="H168" s="647">
        <v>0</v>
      </c>
      <c r="I168" s="833">
        <f t="shared" si="30"/>
        <v>0</v>
      </c>
      <c r="J168" s="833"/>
      <c r="K168" s="834" t="str">
        <f>IF(I168&gt;200,"zie rapport voor nadere toelichting overstroomvoorzieningen","")</f>
        <v/>
      </c>
      <c r="L168" s="834"/>
      <c r="M168" s="834"/>
      <c r="N168" s="834"/>
      <c r="O168" s="834"/>
      <c r="P168" s="834"/>
      <c r="Q168" s="729" t="str">
        <f>IF(H168=0,"verbergen","")</f>
        <v>verbergen</v>
      </c>
      <c r="R168" s="392"/>
      <c r="S168" s="392"/>
      <c r="T168" s="544"/>
      <c r="U168" s="392"/>
      <c r="V168" s="392"/>
      <c r="W168" s="392"/>
      <c r="X168" s="392"/>
      <c r="Y168" s="392"/>
      <c r="Z168" s="547">
        <f t="shared" si="31"/>
        <v>4</v>
      </c>
      <c r="AA168" s="404"/>
      <c r="AB168" s="516"/>
      <c r="AC168" s="516"/>
      <c r="AD168" s="516"/>
      <c r="AE168" s="516"/>
      <c r="AF168" s="515"/>
    </row>
    <row r="169" spans="1:32" s="541" customFormat="1" ht="12" hidden="1" customHeight="1">
      <c r="A169" s="542"/>
      <c r="B169" s="543"/>
      <c r="C169" s="472" t="s">
        <v>140</v>
      </c>
      <c r="D169" s="100" t="s">
        <v>141</v>
      </c>
      <c r="E169" s="472" t="s">
        <v>140</v>
      </c>
      <c r="F169" s="609"/>
      <c r="G169" s="628"/>
      <c r="H169" s="649">
        <v>0</v>
      </c>
      <c r="I169" s="835">
        <f t="shared" si="30"/>
        <v>0</v>
      </c>
      <c r="J169" s="835"/>
      <c r="K169" s="836" t="str">
        <f>IF(I169&gt;200,"zie rapport voor nadere toelichting overstroomvoorzieningen","")</f>
        <v/>
      </c>
      <c r="L169" s="836"/>
      <c r="M169" s="836"/>
      <c r="N169" s="836"/>
      <c r="O169" s="836"/>
      <c r="P169" s="836"/>
      <c r="Q169" s="729" t="str">
        <f>IF(H169=0,"verbergen","")</f>
        <v>verbergen</v>
      </c>
      <c r="R169" s="392"/>
      <c r="S169" s="392"/>
      <c r="T169" s="544"/>
      <c r="U169" s="392"/>
      <c r="V169" s="392"/>
      <c r="W169" s="392"/>
      <c r="X169" s="392"/>
      <c r="Y169" s="392"/>
      <c r="Z169" s="547">
        <f t="shared" si="31"/>
        <v>4</v>
      </c>
      <c r="AA169" s="404"/>
      <c r="AB169" s="516"/>
      <c r="AC169" s="516"/>
      <c r="AD169" s="516"/>
      <c r="AE169" s="516"/>
      <c r="AF169" s="515"/>
    </row>
    <row r="170" spans="1:32" s="541" customFormat="1" ht="12" customHeight="1">
      <c r="A170" s="542"/>
      <c r="B170" s="556">
        <f>B163+1</f>
        <v>4</v>
      </c>
      <c r="C170" s="480">
        <f>B170</f>
        <v>4</v>
      </c>
      <c r="D170" s="592"/>
      <c r="E170" s="592"/>
      <c r="F170" s="650"/>
      <c r="G170" s="592"/>
      <c r="H170" s="651"/>
      <c r="I170" s="652"/>
      <c r="J170" s="653"/>
      <c r="K170" s="837" t="str">
        <f>IF(MAX(P165:P169)&gt;200,"zie rapport voor nadere toelichting overstroomvoorzieningen","")</f>
        <v/>
      </c>
      <c r="L170" s="837"/>
      <c r="M170" s="837"/>
      <c r="N170" s="837"/>
      <c r="O170" s="837"/>
      <c r="P170" s="837"/>
      <c r="Q170" s="392" t="str">
        <f>IF(SUM(H165:H171)=0,"verbergen","")</f>
        <v/>
      </c>
      <c r="R170" s="392"/>
      <c r="S170" s="392"/>
      <c r="T170" s="544"/>
      <c r="U170" s="392"/>
      <c r="V170" s="392"/>
      <c r="W170" s="392"/>
      <c r="X170" s="392"/>
      <c r="Y170" s="392"/>
      <c r="Z170" s="547">
        <f t="shared" si="31"/>
        <v>4</v>
      </c>
      <c r="AA170" s="404"/>
      <c r="AB170" s="516"/>
      <c r="AC170" s="516"/>
      <c r="AD170" s="516"/>
      <c r="AE170" s="516"/>
      <c r="AF170" s="515"/>
    </row>
    <row r="171" spans="1:32" s="541" customFormat="1" ht="12" customHeight="1">
      <c r="A171" s="542"/>
      <c r="B171" s="543"/>
      <c r="C171" s="654"/>
      <c r="D171" s="404"/>
      <c r="E171" s="404"/>
      <c r="F171" s="586"/>
      <c r="G171" s="404"/>
      <c r="H171" s="655"/>
      <c r="I171" s="656"/>
      <c r="J171" s="657"/>
      <c r="K171" s="838"/>
      <c r="L171" s="838"/>
      <c r="M171" s="839"/>
      <c r="N171" s="839"/>
      <c r="O171" s="840"/>
      <c r="P171" s="840"/>
      <c r="Q171" s="392" t="str">
        <f>Q170</f>
        <v/>
      </c>
      <c r="R171" s="392"/>
      <c r="S171" s="392"/>
      <c r="T171" s="544"/>
      <c r="U171" s="392"/>
      <c r="V171" s="392"/>
      <c r="W171" s="392"/>
      <c r="X171" s="392"/>
      <c r="Y171" s="392"/>
      <c r="Z171" s="547">
        <f t="shared" si="31"/>
        <v>4</v>
      </c>
      <c r="AA171" s="404"/>
      <c r="AB171" s="516"/>
      <c r="AC171" s="516"/>
      <c r="AD171" s="516"/>
      <c r="AE171" s="516"/>
      <c r="AF171" s="515"/>
    </row>
    <row r="172" spans="1:32" s="518" customFormat="1" ht="12" customHeight="1">
      <c r="A172" s="516"/>
      <c r="B172" s="515"/>
      <c r="C172" s="464" t="s">
        <v>1158</v>
      </c>
      <c r="D172" s="100" t="s">
        <v>141</v>
      </c>
      <c r="E172" s="464" t="str">
        <f>L28</f>
        <v>woonkamer / eetkamer</v>
      </c>
      <c r="F172" s="586"/>
      <c r="G172" s="586"/>
      <c r="H172" s="647">
        <f>H133</f>
        <v>7</v>
      </c>
      <c r="I172" s="833">
        <f>H172*12</f>
        <v>84</v>
      </c>
      <c r="J172" s="833"/>
      <c r="K172" s="834" t="str">
        <f>IF(I172&gt;180,"zie rapport voor nadere toelichting overstroomvoorzieningen","")</f>
        <v/>
      </c>
      <c r="L172" s="834"/>
      <c r="M172" s="834"/>
      <c r="N172" s="834"/>
      <c r="O172" s="834"/>
      <c r="P172" s="834"/>
      <c r="Q172" s="525" t="str">
        <f>IF(H172=0,"verbergen","")</f>
        <v/>
      </c>
      <c r="R172" s="516"/>
      <c r="S172" s="516"/>
      <c r="T172" s="521"/>
      <c r="U172" s="516"/>
      <c r="V172" s="517"/>
      <c r="W172" s="517"/>
      <c r="X172" s="517"/>
      <c r="Y172" s="517"/>
      <c r="Z172" s="508"/>
      <c r="AA172" s="648"/>
      <c r="AB172" s="517"/>
      <c r="AC172" s="517"/>
      <c r="AD172" s="517"/>
      <c r="AE172" s="517"/>
      <c r="AF172" s="517"/>
    </row>
    <row r="173" spans="1:32" s="518" customFormat="1" ht="12" customHeight="1">
      <c r="A173" s="516"/>
      <c r="B173" s="515"/>
      <c r="C173" s="464" t="s">
        <v>1158</v>
      </c>
      <c r="D173" s="100" t="s">
        <v>141</v>
      </c>
      <c r="E173" s="464" t="s">
        <v>1160</v>
      </c>
      <c r="F173" s="586"/>
      <c r="G173" s="586"/>
      <c r="H173" s="647">
        <v>14</v>
      </c>
      <c r="I173" s="833">
        <f t="shared" ref="I173:I176" si="32">H173*12</f>
        <v>168</v>
      </c>
      <c r="J173" s="833"/>
      <c r="K173" s="834" t="str">
        <f>IF(I173&gt;180,"zie rapport voor nadere toelichting overstroomvoorzieningen","")</f>
        <v/>
      </c>
      <c r="L173" s="834"/>
      <c r="M173" s="834"/>
      <c r="N173" s="834"/>
      <c r="O173" s="834"/>
      <c r="P173" s="834"/>
      <c r="Q173" s="525" t="str">
        <f>IF(H173=0,"verbergen","")</f>
        <v/>
      </c>
      <c r="R173" s="516"/>
      <c r="S173" s="516"/>
      <c r="T173" s="521"/>
      <c r="U173" s="516"/>
      <c r="V173" s="517"/>
      <c r="W173" s="517"/>
      <c r="X173" s="517"/>
      <c r="Y173" s="517"/>
      <c r="Z173" s="508"/>
      <c r="AA173" s="648"/>
      <c r="AB173" s="517"/>
      <c r="AC173" s="517"/>
      <c r="AD173" s="517"/>
      <c r="AE173" s="517"/>
      <c r="AF173" s="517"/>
    </row>
    <row r="174" spans="1:32" s="518" customFormat="1" ht="12" customHeight="1">
      <c r="A174" s="516"/>
      <c r="B174" s="515"/>
      <c r="C174" s="464" t="s">
        <v>1158</v>
      </c>
      <c r="D174" s="100" t="s">
        <v>141</v>
      </c>
      <c r="E174" s="464" t="s">
        <v>729</v>
      </c>
      <c r="F174" s="586"/>
      <c r="G174" s="586"/>
      <c r="H174" s="647">
        <v>21</v>
      </c>
      <c r="I174" s="833">
        <f t="shared" si="32"/>
        <v>252</v>
      </c>
      <c r="J174" s="833"/>
      <c r="K174" s="834" t="str">
        <f>IF(I174&gt;180,"zie rapport voor nadere toelichting overstroomvoorzieningen","")</f>
        <v>zie rapport voor nadere toelichting overstroomvoorzieningen</v>
      </c>
      <c r="L174" s="834"/>
      <c r="M174" s="834"/>
      <c r="N174" s="834"/>
      <c r="O174" s="834"/>
      <c r="P174" s="834"/>
      <c r="Q174" s="525" t="str">
        <f>IF(H174=0,"verbergen","")</f>
        <v/>
      </c>
      <c r="R174" s="516"/>
      <c r="S174" s="516"/>
      <c r="T174" s="521"/>
      <c r="U174" s="516"/>
      <c r="V174" s="517"/>
      <c r="W174" s="517"/>
      <c r="X174" s="517"/>
      <c r="Y174" s="517"/>
      <c r="Z174" s="508"/>
      <c r="AA174" s="648"/>
      <c r="AB174" s="517"/>
      <c r="AC174" s="517"/>
      <c r="AD174" s="517"/>
      <c r="AE174" s="517"/>
      <c r="AF174" s="517"/>
    </row>
    <row r="175" spans="1:32" s="518" customFormat="1" ht="12" customHeight="1">
      <c r="A175" s="527"/>
      <c r="B175" s="515"/>
      <c r="C175" s="464" t="s">
        <v>1158</v>
      </c>
      <c r="D175" s="100" t="s">
        <v>141</v>
      </c>
      <c r="E175" s="464" t="s">
        <v>727</v>
      </c>
      <c r="F175" s="586"/>
      <c r="G175" s="404"/>
      <c r="H175" s="647">
        <v>7</v>
      </c>
      <c r="I175" s="833">
        <f t="shared" si="32"/>
        <v>84</v>
      </c>
      <c r="J175" s="833"/>
      <c r="K175" s="834" t="str">
        <f>IF(I175&gt;180,"zie rapport voor nadere toelichting overstroomvoorzieningen","")</f>
        <v/>
      </c>
      <c r="L175" s="834"/>
      <c r="M175" s="834"/>
      <c r="N175" s="834"/>
      <c r="O175" s="834"/>
      <c r="P175" s="834"/>
      <c r="Q175" s="525" t="str">
        <f>IF(H175=0,"verbergen","")</f>
        <v/>
      </c>
      <c r="R175" s="516"/>
      <c r="S175" s="516"/>
      <c r="T175" s="521"/>
      <c r="U175" s="516"/>
      <c r="V175" s="517"/>
      <c r="W175" s="517"/>
      <c r="X175" s="517"/>
      <c r="Y175" s="517"/>
      <c r="Z175" s="508"/>
      <c r="AA175" s="648"/>
      <c r="AB175" s="517"/>
      <c r="AC175" s="517"/>
      <c r="AD175" s="517"/>
      <c r="AE175" s="517"/>
      <c r="AF175" s="517"/>
    </row>
    <row r="176" spans="1:32" s="518" customFormat="1" ht="12" customHeight="1">
      <c r="A176" s="527"/>
      <c r="B176" s="515"/>
      <c r="C176" s="472" t="s">
        <v>1159</v>
      </c>
      <c r="D176" s="342" t="s">
        <v>141</v>
      </c>
      <c r="E176" s="472" t="s">
        <v>1161</v>
      </c>
      <c r="F176" s="609"/>
      <c r="G176" s="628"/>
      <c r="H176" s="649">
        <v>14</v>
      </c>
      <c r="I176" s="835">
        <f t="shared" si="32"/>
        <v>168</v>
      </c>
      <c r="J176" s="835"/>
      <c r="K176" s="836" t="str">
        <f>IF(I176&gt;180,"zie rapport voor nadere toelichting overstroomvoorzieningen","")</f>
        <v/>
      </c>
      <c r="L176" s="836"/>
      <c r="M176" s="836"/>
      <c r="N176" s="836"/>
      <c r="O176" s="836"/>
      <c r="P176" s="836"/>
      <c r="Q176" s="525" t="str">
        <f>IF(H176=0,"verbergen","")</f>
        <v/>
      </c>
      <c r="R176" s="516"/>
      <c r="S176" s="516"/>
      <c r="T176" s="521"/>
      <c r="U176" s="516"/>
      <c r="V176" s="517"/>
      <c r="W176" s="517"/>
      <c r="X176" s="517"/>
      <c r="Y176" s="517"/>
      <c r="Z176" s="508"/>
      <c r="AA176" s="648"/>
      <c r="AB176" s="517"/>
      <c r="AC176" s="517"/>
      <c r="AD176" s="517"/>
      <c r="AE176" s="517"/>
      <c r="AF176" s="517"/>
    </row>
    <row r="177" spans="1:34" s="518" customFormat="1" ht="12" customHeight="1">
      <c r="A177" s="527"/>
      <c r="B177" s="590"/>
      <c r="C177" s="480" t="s">
        <v>734</v>
      </c>
      <c r="D177" s="592"/>
      <c r="E177" s="592"/>
      <c r="F177" s="650"/>
      <c r="G177" s="592"/>
      <c r="H177" s="651"/>
      <c r="I177" s="652"/>
      <c r="J177" s="653"/>
      <c r="K177" s="837" t="str">
        <f>IF(MAX(P172:P176)&gt;200,"zie rapport voor nadere toelichting overstroomvoorzieningen","")</f>
        <v/>
      </c>
      <c r="L177" s="837"/>
      <c r="M177" s="837"/>
      <c r="N177" s="837"/>
      <c r="O177" s="837"/>
      <c r="P177" s="837"/>
      <c r="Q177" s="516" t="str">
        <f>IF(SUM(H172:H178)=0,"verbergen","")</f>
        <v/>
      </c>
      <c r="R177" s="516"/>
      <c r="S177" s="516"/>
      <c r="T177" s="521"/>
      <c r="U177" s="516"/>
      <c r="V177" s="517"/>
      <c r="W177" s="517"/>
      <c r="X177" s="517"/>
      <c r="Y177" s="517"/>
      <c r="Z177" s="508"/>
      <c r="AA177" s="648"/>
      <c r="AB177" s="517"/>
      <c r="AC177" s="517"/>
      <c r="AD177" s="517"/>
      <c r="AE177" s="517"/>
      <c r="AF177" s="517"/>
    </row>
    <row r="178" spans="1:34" s="518" customFormat="1" ht="12" customHeight="1">
      <c r="A178" s="527"/>
      <c r="B178" s="515"/>
      <c r="C178" s="654"/>
      <c r="D178" s="404"/>
      <c r="E178" s="404"/>
      <c r="F178" s="586"/>
      <c r="G178" s="404"/>
      <c r="H178" s="655"/>
      <c r="I178" s="656"/>
      <c r="J178" s="657"/>
      <c r="K178" s="396"/>
      <c r="L178" s="396"/>
      <c r="M178" s="585"/>
      <c r="N178" s="585"/>
      <c r="O178" s="734"/>
      <c r="P178" s="734"/>
      <c r="Q178" s="516" t="str">
        <f>Q177</f>
        <v/>
      </c>
      <c r="R178" s="516"/>
      <c r="S178" s="516"/>
      <c r="T178" s="521"/>
      <c r="U178" s="516"/>
      <c r="V178" s="517"/>
      <c r="W178" s="517"/>
      <c r="X178" s="517"/>
      <c r="Y178" s="517"/>
      <c r="Z178" s="508"/>
      <c r="AA178" s="648"/>
      <c r="AB178" s="517"/>
      <c r="AC178" s="517"/>
      <c r="AD178" s="517"/>
      <c r="AE178" s="517"/>
      <c r="AF178" s="517"/>
    </row>
    <row r="179" spans="1:34" s="518" customFormat="1" ht="12" customHeight="1">
      <c r="A179" s="527"/>
      <c r="B179" s="515"/>
      <c r="C179" s="654"/>
      <c r="D179" s="404"/>
      <c r="E179" s="404"/>
      <c r="F179" s="586"/>
      <c r="G179" s="404"/>
      <c r="H179" s="655"/>
      <c r="I179" s="656"/>
      <c r="J179" s="657"/>
      <c r="K179" s="396"/>
      <c r="L179" s="396"/>
      <c r="M179" s="585"/>
      <c r="N179" s="585"/>
      <c r="O179" s="734"/>
      <c r="P179" s="734"/>
      <c r="Q179" s="516"/>
      <c r="R179" s="516"/>
      <c r="S179" s="516"/>
      <c r="T179" s="521"/>
      <c r="U179" s="516"/>
      <c r="V179" s="517"/>
      <c r="W179" s="517"/>
      <c r="X179" s="517"/>
      <c r="Y179" s="517"/>
      <c r="Z179" s="517"/>
      <c r="AA179" s="648"/>
      <c r="AB179" s="517"/>
      <c r="AC179" s="517"/>
      <c r="AD179" s="517"/>
      <c r="AE179" s="517"/>
      <c r="AF179" s="517"/>
    </row>
    <row r="180" spans="1:34" s="518" customFormat="1" ht="15" customHeight="1">
      <c r="A180" s="515"/>
      <c r="B180" s="658" t="s">
        <v>673</v>
      </c>
      <c r="C180" s="457" t="s">
        <v>1089</v>
      </c>
      <c r="D180" s="575"/>
      <c r="E180" s="575"/>
      <c r="F180" s="575"/>
      <c r="G180" s="575"/>
      <c r="H180" s="575"/>
      <c r="I180" s="575"/>
      <c r="J180" s="575"/>
      <c r="K180" s="575"/>
      <c r="L180" s="575"/>
      <c r="M180" s="575"/>
      <c r="N180" s="575"/>
      <c r="O180" s="575"/>
      <c r="P180" s="575"/>
      <c r="Q180" s="525"/>
      <c r="R180" s="659"/>
      <c r="S180" s="660"/>
      <c r="T180" s="521"/>
      <c r="U180" s="516"/>
      <c r="V180" s="517"/>
      <c r="W180" s="517"/>
      <c r="X180" s="517"/>
      <c r="Y180" s="517"/>
      <c r="Z180" s="517"/>
      <c r="AA180" s="517"/>
      <c r="AB180" s="517"/>
      <c r="AC180" s="524"/>
      <c r="AD180" s="517"/>
      <c r="AE180" s="517"/>
      <c r="AF180" s="517"/>
      <c r="AG180" s="517"/>
    </row>
    <row r="181" spans="1:34" s="518" customFormat="1" ht="12.75" hidden="1" customHeight="1">
      <c r="A181" s="515"/>
      <c r="B181" s="515"/>
      <c r="C181" s="661"/>
      <c r="D181" s="577"/>
      <c r="E181" s="577"/>
      <c r="F181" s="577"/>
      <c r="G181" s="577"/>
      <c r="H181" s="662"/>
      <c r="I181" s="662"/>
      <c r="J181" s="577"/>
      <c r="K181" s="577"/>
      <c r="L181" s="577"/>
      <c r="M181" s="577"/>
      <c r="N181" s="577"/>
      <c r="O181" s="577"/>
      <c r="P181" s="663"/>
      <c r="Q181" s="525"/>
      <c r="R181" s="659"/>
      <c r="S181" s="664"/>
      <c r="T181" s="521"/>
      <c r="U181" s="516"/>
      <c r="V181" s="517"/>
      <c r="W181" s="517"/>
      <c r="X181" s="517"/>
      <c r="Y181" s="517"/>
      <c r="Z181" s="517"/>
      <c r="AA181" s="517"/>
      <c r="AB181" s="517"/>
      <c r="AC181" s="524"/>
      <c r="AD181" s="517"/>
      <c r="AE181" s="517"/>
      <c r="AF181" s="517"/>
      <c r="AG181" s="517"/>
    </row>
    <row r="182" spans="1:34" ht="15" customHeight="1">
      <c r="A182" s="492"/>
      <c r="B182" s="492"/>
      <c r="C182" s="579" t="s">
        <v>133</v>
      </c>
      <c r="D182" s="809" t="s">
        <v>1100</v>
      </c>
      <c r="E182" s="809"/>
      <c r="F182" s="809" t="s">
        <v>678</v>
      </c>
      <c r="G182" s="809"/>
      <c r="H182" s="809" t="s">
        <v>677</v>
      </c>
      <c r="I182" s="809"/>
      <c r="J182" s="818" t="s">
        <v>134</v>
      </c>
      <c r="K182" s="818"/>
      <c r="L182" s="646"/>
      <c r="M182" s="844" t="s">
        <v>1107</v>
      </c>
      <c r="N182" s="844"/>
      <c r="O182" s="809" t="s">
        <v>1108</v>
      </c>
      <c r="P182" s="809"/>
      <c r="Q182" s="665"/>
      <c r="R182" s="507"/>
      <c r="S182" s="507"/>
      <c r="T182" s="532"/>
      <c r="U182" s="507"/>
      <c r="V182" s="508"/>
      <c r="W182" s="508"/>
      <c r="X182" s="508"/>
      <c r="Y182" s="508"/>
      <c r="Z182" s="508"/>
      <c r="AA182" s="508"/>
      <c r="AB182" s="508"/>
      <c r="AC182" s="534"/>
      <c r="AD182" s="508"/>
      <c r="AE182" s="508"/>
      <c r="AF182" s="508"/>
      <c r="AG182" s="508"/>
    </row>
    <row r="183" spans="1:34">
      <c r="A183" s="492"/>
      <c r="B183" s="492"/>
      <c r="C183" s="463"/>
      <c r="D183" s="463"/>
      <c r="E183" s="463"/>
      <c r="F183" s="463"/>
      <c r="G183" s="463"/>
      <c r="H183" s="456"/>
      <c r="I183" s="456"/>
      <c r="J183" s="456"/>
      <c r="K183" s="456"/>
      <c r="L183" s="456"/>
      <c r="M183" s="456"/>
      <c r="N183" s="456"/>
      <c r="O183" s="456"/>
      <c r="P183" s="456"/>
      <c r="Q183" s="507"/>
      <c r="R183" s="507"/>
      <c r="S183" s="507"/>
      <c r="T183" s="532"/>
      <c r="U183" s="507"/>
      <c r="V183" s="508"/>
      <c r="W183" s="508"/>
      <c r="X183" s="508"/>
      <c r="Y183" s="508"/>
      <c r="Z183" s="508"/>
      <c r="AA183" s="508"/>
      <c r="AB183" s="508"/>
      <c r="AC183" s="524"/>
      <c r="AD183" s="508"/>
      <c r="AE183" s="517"/>
      <c r="AF183" s="508"/>
      <c r="AG183" s="508"/>
    </row>
    <row r="184" spans="1:34" s="518" customFormat="1" ht="12" customHeight="1">
      <c r="A184" s="515"/>
      <c r="B184" s="515"/>
      <c r="C184" s="464" t="str">
        <f>L28</f>
        <v>woonkamer / eetkamer</v>
      </c>
      <c r="D184" s="831">
        <f>SUMPRODUCT(($AE$1:$AE$28075)*($L$1:$L$28075=C184))</f>
        <v>28.45</v>
      </c>
      <c r="E184" s="831"/>
      <c r="F184" s="811">
        <v>1</v>
      </c>
      <c r="G184" s="811"/>
      <c r="H184" s="841">
        <f t="shared" ref="H184:H189" si="33">IF(F184=0,"",IF(F184=1,0.1,0.4))</f>
        <v>0.1</v>
      </c>
      <c r="I184" s="841"/>
      <c r="J184" s="842" t="s">
        <v>245</v>
      </c>
      <c r="K184" s="842"/>
      <c r="L184" s="404"/>
      <c r="M184" s="666">
        <f>verzamelblad!$S$7*D184/H184/1000</f>
        <v>0.85349999999999993</v>
      </c>
      <c r="N184" s="735"/>
      <c r="O184" s="843">
        <f>M184</f>
        <v>0.85349999999999993</v>
      </c>
      <c r="P184" s="843"/>
      <c r="Q184" s="525" t="str">
        <f t="shared" ref="Q184:Q189" si="34">IF(D184=0,"verbergen","")</f>
        <v/>
      </c>
      <c r="R184" s="516"/>
      <c r="S184" s="516"/>
      <c r="T184" s="516"/>
      <c r="U184" s="516"/>
      <c r="V184" s="517"/>
      <c r="W184" s="508">
        <v>1</v>
      </c>
      <c r="X184" s="517"/>
      <c r="Y184" s="517"/>
      <c r="Z184" s="517"/>
      <c r="AA184" s="517"/>
      <c r="AB184" s="517"/>
      <c r="AC184" s="517"/>
      <c r="AD184" s="517"/>
      <c r="AE184" s="517"/>
      <c r="AF184" s="517"/>
      <c r="AG184" s="517"/>
    </row>
    <row r="185" spans="1:34" s="518" customFormat="1" ht="12" hidden="1" customHeight="1">
      <c r="A185" s="515"/>
      <c r="B185" s="515"/>
      <c r="C185" s="464" t="s">
        <v>140</v>
      </c>
      <c r="D185" s="831">
        <f>SUMPRODUCT(($AE$1:$AE$28075)*($L$1:$L$28075=C185))</f>
        <v>0</v>
      </c>
      <c r="E185" s="831"/>
      <c r="F185" s="811">
        <v>2</v>
      </c>
      <c r="G185" s="811"/>
      <c r="H185" s="841">
        <f t="shared" si="33"/>
        <v>0.4</v>
      </c>
      <c r="I185" s="841"/>
      <c r="J185" s="842" t="s">
        <v>245</v>
      </c>
      <c r="K185" s="842"/>
      <c r="L185" s="404"/>
      <c r="M185" s="666">
        <f>verzamelblad!$S$7*D185/H185/1000</f>
        <v>0</v>
      </c>
      <c r="N185" s="735"/>
      <c r="O185" s="843">
        <f t="shared" ref="O185:O189" si="35">M185</f>
        <v>0</v>
      </c>
      <c r="P185" s="843"/>
      <c r="Q185" s="525" t="str">
        <f t="shared" si="34"/>
        <v>verbergen</v>
      </c>
      <c r="R185" s="516"/>
      <c r="S185" s="516"/>
      <c r="T185" s="516"/>
      <c r="U185" s="516"/>
      <c r="V185" s="517"/>
      <c r="W185" s="508">
        <v>1</v>
      </c>
      <c r="X185" s="517"/>
      <c r="Y185" s="517"/>
      <c r="Z185" s="517"/>
      <c r="AA185" s="517"/>
      <c r="AB185" s="517"/>
      <c r="AC185" s="517"/>
      <c r="AD185" s="517"/>
      <c r="AE185" s="517"/>
      <c r="AF185" s="517"/>
      <c r="AG185" s="517"/>
    </row>
    <row r="186" spans="1:34" s="518" customFormat="1" ht="12" hidden="1" customHeight="1">
      <c r="A186" s="515"/>
      <c r="B186" s="515"/>
      <c r="C186" s="464" t="s">
        <v>140</v>
      </c>
      <c r="D186" s="831">
        <f>SUMPRODUCT(($AE$1:$AE$28075)*($L$1:$L$28075=C186))</f>
        <v>0</v>
      </c>
      <c r="E186" s="831"/>
      <c r="F186" s="811">
        <v>2</v>
      </c>
      <c r="G186" s="811"/>
      <c r="H186" s="841">
        <f t="shared" si="33"/>
        <v>0.4</v>
      </c>
      <c r="I186" s="841"/>
      <c r="J186" s="842" t="s">
        <v>245</v>
      </c>
      <c r="K186" s="842"/>
      <c r="L186" s="404"/>
      <c r="M186" s="666">
        <f>verzamelblad!$S$7*D186/H186/1000</f>
        <v>0</v>
      </c>
      <c r="N186" s="735"/>
      <c r="O186" s="845">
        <f t="shared" si="35"/>
        <v>0</v>
      </c>
      <c r="P186" s="846"/>
      <c r="Q186" s="525" t="str">
        <f t="shared" si="34"/>
        <v>verbergen</v>
      </c>
      <c r="R186" s="516"/>
      <c r="S186" s="516"/>
      <c r="T186" s="516"/>
      <c r="U186" s="516"/>
      <c r="V186" s="517"/>
      <c r="W186" s="508">
        <v>1</v>
      </c>
      <c r="X186" s="517"/>
      <c r="Y186" s="517"/>
      <c r="Z186" s="517"/>
      <c r="AA186" s="517"/>
      <c r="AB186" s="517"/>
      <c r="AC186" s="517"/>
      <c r="AD186" s="517"/>
      <c r="AE186" s="517"/>
      <c r="AF186" s="517"/>
      <c r="AG186" s="517"/>
    </row>
    <row r="187" spans="1:34" s="518" customFormat="1" ht="12" hidden="1" customHeight="1">
      <c r="A187" s="515"/>
      <c r="B187" s="515"/>
      <c r="C187" s="464" t="s">
        <v>140</v>
      </c>
      <c r="D187" s="831">
        <f>SUMPRODUCT(($AE$1:$AE$28075)*($L$1:$L$28075=C187))</f>
        <v>0</v>
      </c>
      <c r="E187" s="831"/>
      <c r="F187" s="811">
        <v>2</v>
      </c>
      <c r="G187" s="811"/>
      <c r="H187" s="841">
        <f t="shared" si="33"/>
        <v>0.4</v>
      </c>
      <c r="I187" s="841"/>
      <c r="J187" s="842" t="s">
        <v>245</v>
      </c>
      <c r="K187" s="842"/>
      <c r="L187" s="404"/>
      <c r="M187" s="666">
        <f>verzamelblad!$S$7*D187/H187/1000</f>
        <v>0</v>
      </c>
      <c r="N187" s="735"/>
      <c r="O187" s="843">
        <f t="shared" si="35"/>
        <v>0</v>
      </c>
      <c r="P187" s="843"/>
      <c r="Q187" s="525" t="str">
        <f t="shared" si="34"/>
        <v>verbergen</v>
      </c>
      <c r="R187" s="516"/>
      <c r="S187" s="516"/>
      <c r="T187" s="516"/>
      <c r="U187" s="516"/>
      <c r="V187" s="517"/>
      <c r="W187" s="508">
        <v>1</v>
      </c>
      <c r="X187" s="517"/>
      <c r="Y187" s="517"/>
      <c r="Z187" s="517"/>
      <c r="AA187" s="517"/>
      <c r="AB187" s="517"/>
      <c r="AC187" s="517"/>
      <c r="AD187" s="517"/>
      <c r="AE187" s="517"/>
      <c r="AF187" s="517"/>
      <c r="AG187" s="517"/>
    </row>
    <row r="188" spans="1:34" s="518" customFormat="1" ht="12" hidden="1" customHeight="1">
      <c r="A188" s="515"/>
      <c r="B188" s="515"/>
      <c r="C188" s="667" t="s">
        <v>140</v>
      </c>
      <c r="D188" s="847">
        <f>SUMPRODUCT(($AE$1:$AE$28075)*($L$1:$L$28075=C188))</f>
        <v>0</v>
      </c>
      <c r="E188" s="847"/>
      <c r="F188" s="812">
        <v>2</v>
      </c>
      <c r="G188" s="812"/>
      <c r="H188" s="848">
        <f t="shared" si="33"/>
        <v>0.4</v>
      </c>
      <c r="I188" s="848"/>
      <c r="J188" s="849" t="s">
        <v>245</v>
      </c>
      <c r="K188" s="849"/>
      <c r="L188" s="628"/>
      <c r="M188" s="668">
        <f>verzamelblad!$S$7*D188/H188/1000</f>
        <v>0</v>
      </c>
      <c r="N188" s="738"/>
      <c r="O188" s="850">
        <f t="shared" si="35"/>
        <v>0</v>
      </c>
      <c r="P188" s="850"/>
      <c r="Q188" s="525" t="str">
        <f t="shared" si="34"/>
        <v>verbergen</v>
      </c>
      <c r="R188" s="516"/>
      <c r="S188" s="516"/>
      <c r="T188" s="516"/>
      <c r="U188" s="516"/>
      <c r="V188" s="517"/>
      <c r="W188" s="508">
        <v>1</v>
      </c>
      <c r="X188" s="517"/>
      <c r="Y188" s="517"/>
      <c r="Z188" s="517"/>
      <c r="AA188" s="517"/>
      <c r="AB188" s="517"/>
      <c r="AC188" s="517"/>
      <c r="AD188" s="517"/>
      <c r="AE188" s="517"/>
      <c r="AF188" s="517"/>
      <c r="AG188" s="517"/>
    </row>
    <row r="189" spans="1:34" s="518" customFormat="1" ht="12" customHeight="1">
      <c r="A189" s="515"/>
      <c r="B189" s="590">
        <v>1</v>
      </c>
      <c r="C189" s="480">
        <f>B189</f>
        <v>1</v>
      </c>
      <c r="D189" s="851">
        <f>SUMPRODUCT(($AD$1:$AD$50032)*($AC$1:$AC$50032=B189))</f>
        <v>28.45</v>
      </c>
      <c r="E189" s="851"/>
      <c r="F189" s="852">
        <v>1</v>
      </c>
      <c r="G189" s="852"/>
      <c r="H189" s="853">
        <f t="shared" si="33"/>
        <v>0.1</v>
      </c>
      <c r="I189" s="853"/>
      <c r="J189" s="854" t="s">
        <v>245</v>
      </c>
      <c r="K189" s="854"/>
      <c r="L189" s="592"/>
      <c r="M189" s="669">
        <f>verzamelblad!$R$7*D189/H189/1000</f>
        <v>1.7069999999999999</v>
      </c>
      <c r="N189" s="739"/>
      <c r="O189" s="855">
        <f t="shared" si="35"/>
        <v>1.7069999999999999</v>
      </c>
      <c r="P189" s="855"/>
      <c r="Q189" s="525" t="str">
        <f t="shared" si="34"/>
        <v/>
      </c>
      <c r="R189" s="516"/>
      <c r="S189" s="516"/>
      <c r="T189" s="516"/>
      <c r="U189" s="516"/>
      <c r="V189" s="517"/>
      <c r="W189" s="508">
        <v>1</v>
      </c>
      <c r="X189" s="517"/>
      <c r="Y189" s="517"/>
      <c r="Z189" s="517"/>
      <c r="AA189" s="517"/>
      <c r="AB189" s="517"/>
      <c r="AC189" s="524"/>
      <c r="AD189" s="517"/>
      <c r="AE189" s="517"/>
      <c r="AF189" s="517"/>
      <c r="AG189" s="517"/>
    </row>
    <row r="190" spans="1:34" ht="12" customHeight="1">
      <c r="A190" s="492"/>
      <c r="B190" s="492"/>
      <c r="C190" s="463"/>
      <c r="D190" s="463"/>
      <c r="E190" s="463"/>
      <c r="F190" s="463"/>
      <c r="G190" s="463"/>
      <c r="H190" s="456"/>
      <c r="I190" s="456"/>
      <c r="J190" s="456"/>
      <c r="K190" s="456"/>
      <c r="L190" s="456"/>
      <c r="M190" s="456"/>
      <c r="N190" s="456"/>
      <c r="O190" s="456"/>
      <c r="P190" s="456"/>
      <c r="Q190" s="525"/>
      <c r="R190" s="507"/>
      <c r="S190" s="507"/>
      <c r="T190" s="532"/>
      <c r="U190" s="507"/>
      <c r="V190" s="508"/>
      <c r="W190" s="508">
        <v>1</v>
      </c>
      <c r="X190" s="508"/>
      <c r="Y190" s="508"/>
      <c r="Z190" s="508"/>
      <c r="AA190" s="508"/>
      <c r="AB190" s="508"/>
      <c r="AC190" s="508"/>
      <c r="AD190" s="508"/>
      <c r="AE190" s="508"/>
      <c r="AF190" s="508"/>
      <c r="AG190" s="508"/>
    </row>
    <row r="191" spans="1:34" s="541" customFormat="1" ht="12" customHeight="1">
      <c r="A191" s="543"/>
      <c r="B191" s="543"/>
      <c r="C191" s="464" t="str">
        <f>L29</f>
        <v>keuken</v>
      </c>
      <c r="D191" s="831">
        <f>SUMPRODUCT(($AE$1:$AE$28018)*($L$1:$L$28018=C191))</f>
        <v>15.1</v>
      </c>
      <c r="E191" s="831"/>
      <c r="F191" s="811">
        <v>1</v>
      </c>
      <c r="G191" s="811"/>
      <c r="H191" s="841">
        <f t="shared" ref="H191:H196" si="36">IF(F191=0,"",IF(F191=1,0.1,0.4))</f>
        <v>0.1</v>
      </c>
      <c r="I191" s="841"/>
      <c r="J191" s="842" t="s">
        <v>245</v>
      </c>
      <c r="K191" s="842"/>
      <c r="L191" s="404"/>
      <c r="M191" s="666">
        <f>verzamelblad!$S$7*D191/H191/1000</f>
        <v>0.45299999999999996</v>
      </c>
      <c r="N191" s="735"/>
      <c r="O191" s="843">
        <f>M191</f>
        <v>0.45299999999999996</v>
      </c>
      <c r="P191" s="843"/>
      <c r="Q191" s="403" t="str">
        <f>IF(D191=0,"verbergen","")</f>
        <v/>
      </c>
      <c r="R191" s="404"/>
      <c r="S191" s="404"/>
      <c r="T191" s="392"/>
      <c r="U191" s="392"/>
      <c r="V191" s="392"/>
      <c r="W191" s="547">
        <f>W190+1</f>
        <v>2</v>
      </c>
      <c r="X191" s="392"/>
      <c r="Y191" s="392"/>
      <c r="Z191" s="392"/>
      <c r="AA191" s="404"/>
      <c r="AB191" s="516"/>
      <c r="AC191" s="516"/>
      <c r="AD191" s="516"/>
      <c r="AE191" s="516"/>
      <c r="AF191" s="516"/>
      <c r="AG191" s="516"/>
      <c r="AH191" s="516"/>
    </row>
    <row r="192" spans="1:34" s="541" customFormat="1" ht="12" customHeight="1">
      <c r="A192" s="543"/>
      <c r="B192" s="543"/>
      <c r="C192" s="464" t="str">
        <f>L30</f>
        <v>bijkeuken</v>
      </c>
      <c r="D192" s="831">
        <f>SUMPRODUCT(($AE$1:$AE$28018)*($L$1:$L$28018=C192))</f>
        <v>5.96</v>
      </c>
      <c r="E192" s="831"/>
      <c r="F192" s="811">
        <v>1</v>
      </c>
      <c r="G192" s="811"/>
      <c r="H192" s="841">
        <f t="shared" si="36"/>
        <v>0.1</v>
      </c>
      <c r="I192" s="841"/>
      <c r="J192" s="842" t="s">
        <v>245</v>
      </c>
      <c r="K192" s="842"/>
      <c r="L192" s="404"/>
      <c r="M192" s="666">
        <f>verzamelblad!$S$7*D192/H192/1000</f>
        <v>0.17879999999999999</v>
      </c>
      <c r="N192" s="735"/>
      <c r="O192" s="843">
        <f t="shared" ref="O192:O196" si="37">M192</f>
        <v>0.17879999999999999</v>
      </c>
      <c r="P192" s="843"/>
      <c r="Q192" s="403" t="str">
        <f t="shared" ref="Q192:Q196" si="38">IF(D192=0,"verbergen","")</f>
        <v/>
      </c>
      <c r="R192" s="404"/>
      <c r="S192" s="404"/>
      <c r="T192" s="392"/>
      <c r="U192" s="392"/>
      <c r="V192" s="392"/>
      <c r="W192" s="547">
        <f t="shared" ref="W192:W197" si="39">W191</f>
        <v>2</v>
      </c>
      <c r="X192" s="392"/>
      <c r="Y192" s="392"/>
      <c r="Z192" s="392"/>
      <c r="AA192" s="404"/>
      <c r="AB192" s="516"/>
      <c r="AC192" s="516"/>
      <c r="AD192" s="516"/>
      <c r="AE192" s="516"/>
      <c r="AF192" s="516"/>
      <c r="AG192" s="516"/>
      <c r="AH192" s="516"/>
    </row>
    <row r="193" spans="1:34" s="541" customFormat="1" ht="12" hidden="1" customHeight="1">
      <c r="A193" s="543"/>
      <c r="B193" s="543"/>
      <c r="C193" s="464" t="s">
        <v>140</v>
      </c>
      <c r="D193" s="831">
        <f>SUMPRODUCT(($AE$1:$AE$28018)*($L$1:$L$28018=C193))</f>
        <v>0</v>
      </c>
      <c r="E193" s="831"/>
      <c r="F193" s="811">
        <v>2</v>
      </c>
      <c r="G193" s="811"/>
      <c r="H193" s="841">
        <f t="shared" si="36"/>
        <v>0.4</v>
      </c>
      <c r="I193" s="841"/>
      <c r="J193" s="842" t="s">
        <v>245</v>
      </c>
      <c r="K193" s="842"/>
      <c r="L193" s="404"/>
      <c r="M193" s="666">
        <f>verzamelblad!$S$7*D193/H193/1000</f>
        <v>0</v>
      </c>
      <c r="N193" s="735"/>
      <c r="O193" s="843">
        <f t="shared" si="37"/>
        <v>0</v>
      </c>
      <c r="P193" s="843"/>
      <c r="Q193" s="403" t="str">
        <f t="shared" si="38"/>
        <v>verbergen</v>
      </c>
      <c r="R193" s="404"/>
      <c r="S193" s="404"/>
      <c r="T193" s="392"/>
      <c r="U193" s="392"/>
      <c r="V193" s="392"/>
      <c r="W193" s="547">
        <f t="shared" si="39"/>
        <v>2</v>
      </c>
      <c r="X193" s="392"/>
      <c r="Y193" s="392"/>
      <c r="Z193" s="392"/>
      <c r="AA193" s="404"/>
      <c r="AB193" s="516"/>
      <c r="AC193" s="516"/>
      <c r="AD193" s="516"/>
      <c r="AE193" s="516"/>
      <c r="AF193" s="516"/>
      <c r="AG193" s="516"/>
      <c r="AH193" s="516"/>
    </row>
    <row r="194" spans="1:34" s="541" customFormat="1" ht="12" hidden="1" customHeight="1">
      <c r="A194" s="543"/>
      <c r="B194" s="543"/>
      <c r="C194" s="464" t="s">
        <v>140</v>
      </c>
      <c r="D194" s="831">
        <f>SUMPRODUCT(($AE$1:$AE$28018)*($L$1:$L$28018=C194))</f>
        <v>0</v>
      </c>
      <c r="E194" s="831"/>
      <c r="F194" s="811">
        <v>2</v>
      </c>
      <c r="G194" s="811"/>
      <c r="H194" s="841">
        <f t="shared" si="36"/>
        <v>0.4</v>
      </c>
      <c r="I194" s="841"/>
      <c r="J194" s="842" t="s">
        <v>245</v>
      </c>
      <c r="K194" s="842"/>
      <c r="L194" s="404"/>
      <c r="M194" s="666">
        <f>verzamelblad!$S$7*D194/H194/1000</f>
        <v>0</v>
      </c>
      <c r="N194" s="735"/>
      <c r="O194" s="843">
        <f t="shared" si="37"/>
        <v>0</v>
      </c>
      <c r="P194" s="843"/>
      <c r="Q194" s="403" t="str">
        <f t="shared" si="38"/>
        <v>verbergen</v>
      </c>
      <c r="R194" s="404"/>
      <c r="S194" s="404"/>
      <c r="T194" s="392"/>
      <c r="U194" s="392"/>
      <c r="V194" s="392"/>
      <c r="W194" s="547">
        <f t="shared" si="39"/>
        <v>2</v>
      </c>
      <c r="X194" s="392"/>
      <c r="Y194" s="392"/>
      <c r="Z194" s="392"/>
      <c r="AA194" s="404"/>
      <c r="AB194" s="516"/>
      <c r="AC194" s="516"/>
      <c r="AD194" s="516"/>
      <c r="AE194" s="516"/>
      <c r="AF194" s="516"/>
      <c r="AG194" s="516"/>
      <c r="AH194" s="516"/>
    </row>
    <row r="195" spans="1:34" s="541" customFormat="1" ht="12" hidden="1" customHeight="1">
      <c r="A195" s="543"/>
      <c r="B195" s="543"/>
      <c r="C195" s="464" t="s">
        <v>140</v>
      </c>
      <c r="D195" s="847">
        <f>SUMPRODUCT(($AE$1:$AE$28018)*($L$1:$L$28018=C195))</f>
        <v>0</v>
      </c>
      <c r="E195" s="847"/>
      <c r="F195" s="812">
        <v>2</v>
      </c>
      <c r="G195" s="812"/>
      <c r="H195" s="848">
        <f t="shared" si="36"/>
        <v>0.4</v>
      </c>
      <c r="I195" s="848"/>
      <c r="J195" s="849" t="s">
        <v>245</v>
      </c>
      <c r="K195" s="849"/>
      <c r="L195" s="628"/>
      <c r="M195" s="668">
        <f>verzamelblad!$S$7*D195/H195/1000</f>
        <v>0</v>
      </c>
      <c r="N195" s="738"/>
      <c r="O195" s="850">
        <f t="shared" si="37"/>
        <v>0</v>
      </c>
      <c r="P195" s="850"/>
      <c r="Q195" s="403" t="str">
        <f>IF(D195=0,"verbergen","")</f>
        <v>verbergen</v>
      </c>
      <c r="R195" s="404"/>
      <c r="S195" s="404"/>
      <c r="T195" s="392"/>
      <c r="U195" s="392"/>
      <c r="V195" s="392"/>
      <c r="W195" s="547">
        <f t="shared" si="39"/>
        <v>2</v>
      </c>
      <c r="X195" s="392"/>
      <c r="Y195" s="392"/>
      <c r="Z195" s="392"/>
      <c r="AA195" s="404"/>
      <c r="AB195" s="516"/>
      <c r="AC195" s="516"/>
      <c r="AD195" s="516"/>
      <c r="AE195" s="516"/>
      <c r="AF195" s="516"/>
      <c r="AG195" s="516"/>
      <c r="AH195" s="516"/>
    </row>
    <row r="196" spans="1:34" s="541" customFormat="1" ht="12" customHeight="1">
      <c r="A196" s="543"/>
      <c r="B196" s="556">
        <f>B189+1</f>
        <v>2</v>
      </c>
      <c r="C196" s="480">
        <f>B196</f>
        <v>2</v>
      </c>
      <c r="D196" s="851">
        <f>SUMPRODUCT(($AD$1:$AD$50044)*($AC$1:$AC$50044=B196))</f>
        <v>22.4</v>
      </c>
      <c r="E196" s="851"/>
      <c r="F196" s="852">
        <v>2</v>
      </c>
      <c r="G196" s="852"/>
      <c r="H196" s="853">
        <f t="shared" si="36"/>
        <v>0.4</v>
      </c>
      <c r="I196" s="853"/>
      <c r="J196" s="854" t="s">
        <v>245</v>
      </c>
      <c r="K196" s="854"/>
      <c r="L196" s="592"/>
      <c r="M196" s="669">
        <f>verzamelblad!$R$7*D196/H196/1000</f>
        <v>0.33599999999999997</v>
      </c>
      <c r="N196" s="739"/>
      <c r="O196" s="855">
        <f t="shared" si="37"/>
        <v>0.33599999999999997</v>
      </c>
      <c r="P196" s="855"/>
      <c r="Q196" s="403" t="str">
        <f t="shared" si="38"/>
        <v/>
      </c>
      <c r="R196" s="404"/>
      <c r="S196" s="404"/>
      <c r="T196" s="392"/>
      <c r="U196" s="392"/>
      <c r="V196" s="392"/>
      <c r="W196" s="547">
        <f t="shared" si="39"/>
        <v>2</v>
      </c>
      <c r="X196" s="392"/>
      <c r="Y196" s="392"/>
      <c r="Z196" s="392"/>
      <c r="AA196" s="404"/>
      <c r="AB196" s="516"/>
      <c r="AC196" s="516"/>
      <c r="AD196" s="516"/>
      <c r="AE196" s="516"/>
      <c r="AF196" s="516"/>
      <c r="AG196" s="516"/>
      <c r="AH196" s="516"/>
    </row>
    <row r="197" spans="1:34" s="493" customFormat="1" ht="12" customHeight="1">
      <c r="A197" s="560"/>
      <c r="B197" s="560"/>
      <c r="C197" s="463"/>
      <c r="D197" s="463"/>
      <c r="E197" s="463"/>
      <c r="F197" s="463"/>
      <c r="G197" s="463"/>
      <c r="H197" s="456"/>
      <c r="I197" s="456"/>
      <c r="J197" s="456"/>
      <c r="K197" s="456"/>
      <c r="L197" s="456"/>
      <c r="M197" s="456"/>
      <c r="N197" s="456"/>
      <c r="O197" s="456"/>
      <c r="P197" s="456"/>
      <c r="Q197" s="451"/>
      <c r="R197" s="451"/>
      <c r="S197" s="451"/>
      <c r="T197" s="561"/>
      <c r="U197" s="547"/>
      <c r="V197" s="547"/>
      <c r="W197" s="547">
        <f t="shared" si="39"/>
        <v>2</v>
      </c>
      <c r="X197" s="547"/>
      <c r="Y197" s="547"/>
      <c r="Z197" s="547"/>
      <c r="AA197" s="451"/>
      <c r="AB197" s="507"/>
      <c r="AC197" s="507"/>
      <c r="AD197" s="507"/>
      <c r="AE197" s="507"/>
      <c r="AF197" s="507"/>
      <c r="AG197" s="507"/>
      <c r="AH197" s="507"/>
    </row>
    <row r="198" spans="1:34" s="541" customFormat="1" ht="12" customHeight="1">
      <c r="A198" s="543"/>
      <c r="B198" s="543"/>
      <c r="C198" s="640" t="str">
        <f>L31</f>
        <v>slaapkamer 1</v>
      </c>
      <c r="D198" s="831">
        <f>SUMPRODUCT(($AE$1:$AE$28002)*($L$1:$L$28002=C198))</f>
        <v>7.57</v>
      </c>
      <c r="E198" s="831"/>
      <c r="F198" s="811">
        <v>1</v>
      </c>
      <c r="G198" s="811"/>
      <c r="H198" s="841">
        <f t="shared" ref="H198:H203" si="40">IF(F198=0,"",IF(F198=1,0.1,0.4))</f>
        <v>0.1</v>
      </c>
      <c r="I198" s="841"/>
      <c r="J198" s="842" t="s">
        <v>245</v>
      </c>
      <c r="K198" s="842"/>
      <c r="L198" s="404"/>
      <c r="M198" s="666">
        <f>verzamelblad!$S$7*D198/H198/1000</f>
        <v>0.2271</v>
      </c>
      <c r="N198" s="735"/>
      <c r="O198" s="856">
        <f>M198</f>
        <v>0.2271</v>
      </c>
      <c r="P198" s="856"/>
      <c r="Q198" s="403" t="str">
        <f>IF(D198=0,"verbergen","")</f>
        <v/>
      </c>
      <c r="R198" s="404"/>
      <c r="S198" s="404"/>
      <c r="T198" s="392"/>
      <c r="U198" s="392"/>
      <c r="V198" s="392"/>
      <c r="W198" s="547">
        <f>W197+1</f>
        <v>3</v>
      </c>
      <c r="X198" s="392"/>
      <c r="Y198" s="392"/>
      <c r="Z198" s="392"/>
      <c r="AA198" s="404"/>
      <c r="AB198" s="516"/>
      <c r="AC198" s="516"/>
      <c r="AD198" s="516"/>
      <c r="AE198" s="516"/>
      <c r="AF198" s="516"/>
      <c r="AG198" s="516"/>
      <c r="AH198" s="516"/>
    </row>
    <row r="199" spans="1:34" s="541" customFormat="1" ht="12" customHeight="1">
      <c r="A199" s="543"/>
      <c r="B199" s="543"/>
      <c r="C199" s="640" t="str">
        <f t="shared" ref="C199:C200" si="41">L32</f>
        <v>slaapkamer 2</v>
      </c>
      <c r="D199" s="831">
        <f>SUMPRODUCT(($AE$1:$AE$28002)*($L$1:$L$28002=C199))</f>
        <v>7.47</v>
      </c>
      <c r="E199" s="831"/>
      <c r="F199" s="811">
        <v>1</v>
      </c>
      <c r="G199" s="811"/>
      <c r="H199" s="841">
        <f t="shared" si="40"/>
        <v>0.1</v>
      </c>
      <c r="I199" s="841"/>
      <c r="J199" s="842" t="s">
        <v>245</v>
      </c>
      <c r="K199" s="842"/>
      <c r="L199" s="404"/>
      <c r="M199" s="666">
        <f>verzamelblad!$S$7*D199/H199/1000</f>
        <v>0.22409999999999999</v>
      </c>
      <c r="N199" s="735"/>
      <c r="O199" s="856">
        <f t="shared" ref="O199:O203" si="42">M199</f>
        <v>0.22409999999999999</v>
      </c>
      <c r="P199" s="856"/>
      <c r="Q199" s="403" t="str">
        <f t="shared" ref="Q199:Q203" si="43">IF(D199=0,"verbergen","")</f>
        <v/>
      </c>
      <c r="R199" s="404"/>
      <c r="S199" s="404"/>
      <c r="T199" s="392"/>
      <c r="U199" s="392"/>
      <c r="V199" s="392"/>
      <c r="W199" s="547">
        <f t="shared" ref="W199:W204" si="44">W198</f>
        <v>3</v>
      </c>
      <c r="X199" s="392"/>
      <c r="Y199" s="392"/>
      <c r="Z199" s="392"/>
      <c r="AA199" s="404"/>
      <c r="AB199" s="516"/>
      <c r="AC199" s="516"/>
      <c r="AD199" s="516"/>
      <c r="AE199" s="516"/>
      <c r="AF199" s="516"/>
      <c r="AG199" s="516"/>
      <c r="AH199" s="516"/>
    </row>
    <row r="200" spans="1:34" s="541" customFormat="1" ht="12" customHeight="1">
      <c r="A200" s="543"/>
      <c r="B200" s="543"/>
      <c r="C200" s="640" t="str">
        <f t="shared" si="41"/>
        <v>studeerkamer</v>
      </c>
      <c r="D200" s="831">
        <f>SUMPRODUCT(($AE$1:$AE$28002)*($L$1:$L$28002=C200))</f>
        <v>3.33</v>
      </c>
      <c r="E200" s="831"/>
      <c r="F200" s="811">
        <v>1</v>
      </c>
      <c r="G200" s="811"/>
      <c r="H200" s="841">
        <f t="shared" si="40"/>
        <v>0.1</v>
      </c>
      <c r="I200" s="841"/>
      <c r="J200" s="842" t="s">
        <v>245</v>
      </c>
      <c r="K200" s="842"/>
      <c r="L200" s="404"/>
      <c r="M200" s="666">
        <f>verzamelblad!$S$7*D200/H200/1000</f>
        <v>9.9899999999999989E-2</v>
      </c>
      <c r="N200" s="735"/>
      <c r="O200" s="856">
        <f t="shared" si="42"/>
        <v>9.9899999999999989E-2</v>
      </c>
      <c r="P200" s="856"/>
      <c r="Q200" s="403" t="str">
        <f t="shared" si="43"/>
        <v/>
      </c>
      <c r="R200" s="404"/>
      <c r="S200" s="404"/>
      <c r="T200" s="392"/>
      <c r="U200" s="392"/>
      <c r="V200" s="392"/>
      <c r="W200" s="547">
        <f t="shared" si="44"/>
        <v>3</v>
      </c>
      <c r="X200" s="392"/>
      <c r="Y200" s="392"/>
      <c r="Z200" s="392"/>
      <c r="AA200" s="404"/>
      <c r="AB200" s="516"/>
      <c r="AC200" s="516"/>
      <c r="AD200" s="516"/>
      <c r="AE200" s="516"/>
      <c r="AF200" s="516"/>
      <c r="AG200" s="516"/>
      <c r="AH200" s="516"/>
    </row>
    <row r="201" spans="1:34" s="541" customFormat="1" ht="12" hidden="1" customHeight="1">
      <c r="A201" s="543"/>
      <c r="B201" s="543"/>
      <c r="C201" s="640" t="s">
        <v>140</v>
      </c>
      <c r="D201" s="831">
        <f>SUMPRODUCT(($AE$1:$AE$28002)*($L$1:$L$28002=C201))</f>
        <v>0</v>
      </c>
      <c r="E201" s="831"/>
      <c r="F201" s="811">
        <v>2</v>
      </c>
      <c r="G201" s="811"/>
      <c r="H201" s="841">
        <f t="shared" si="40"/>
        <v>0.4</v>
      </c>
      <c r="I201" s="841"/>
      <c r="J201" s="842" t="s">
        <v>245</v>
      </c>
      <c r="K201" s="842"/>
      <c r="L201" s="404"/>
      <c r="M201" s="666">
        <f>verzamelblad!$S$7*D201/H201/1000</f>
        <v>0</v>
      </c>
      <c r="N201" s="735"/>
      <c r="O201" s="856">
        <f t="shared" si="42"/>
        <v>0</v>
      </c>
      <c r="P201" s="856"/>
      <c r="Q201" s="403" t="str">
        <f t="shared" si="43"/>
        <v>verbergen</v>
      </c>
      <c r="R201" s="404"/>
      <c r="S201" s="404"/>
      <c r="T201" s="392"/>
      <c r="U201" s="392"/>
      <c r="V201" s="392"/>
      <c r="W201" s="547">
        <f t="shared" si="44"/>
        <v>3</v>
      </c>
      <c r="X201" s="392"/>
      <c r="Y201" s="392"/>
      <c r="Z201" s="392"/>
      <c r="AA201" s="404"/>
      <c r="AB201" s="516"/>
      <c r="AC201" s="516"/>
      <c r="AD201" s="516"/>
      <c r="AE201" s="516"/>
      <c r="AF201" s="516"/>
      <c r="AG201" s="516"/>
      <c r="AH201" s="516"/>
    </row>
    <row r="202" spans="1:34" s="541" customFormat="1" ht="12" hidden="1" customHeight="1">
      <c r="A202" s="543"/>
      <c r="B202" s="543"/>
      <c r="C202" s="667" t="s">
        <v>140</v>
      </c>
      <c r="D202" s="847">
        <f>SUMPRODUCT(($AE$1:$AE$28002)*($L$1:$L$28002=C202))</f>
        <v>0</v>
      </c>
      <c r="E202" s="847"/>
      <c r="F202" s="812">
        <v>2</v>
      </c>
      <c r="G202" s="812"/>
      <c r="H202" s="848">
        <f t="shared" si="40"/>
        <v>0.4</v>
      </c>
      <c r="I202" s="848"/>
      <c r="J202" s="849" t="s">
        <v>245</v>
      </c>
      <c r="K202" s="849"/>
      <c r="L202" s="628"/>
      <c r="M202" s="668">
        <f>verzamelblad!$S$7*D202/H202/1000</f>
        <v>0</v>
      </c>
      <c r="N202" s="738"/>
      <c r="O202" s="857">
        <f t="shared" si="42"/>
        <v>0</v>
      </c>
      <c r="P202" s="857"/>
      <c r="Q202" s="403" t="str">
        <f>IF(D202=0,"verbergen","")</f>
        <v>verbergen</v>
      </c>
      <c r="R202" s="404"/>
      <c r="S202" s="404"/>
      <c r="T202" s="392"/>
      <c r="U202" s="392"/>
      <c r="V202" s="392"/>
      <c r="W202" s="547">
        <f t="shared" si="44"/>
        <v>3</v>
      </c>
      <c r="X202" s="392"/>
      <c r="Y202" s="392"/>
      <c r="Z202" s="392"/>
      <c r="AA202" s="404"/>
      <c r="AB202" s="516"/>
      <c r="AC202" s="516"/>
      <c r="AD202" s="516"/>
      <c r="AE202" s="516"/>
      <c r="AF202" s="516"/>
      <c r="AG202" s="516"/>
      <c r="AH202" s="516"/>
    </row>
    <row r="203" spans="1:34" s="541" customFormat="1" ht="12" customHeight="1">
      <c r="A203" s="543"/>
      <c r="B203" s="556">
        <f>B196+1</f>
        <v>3</v>
      </c>
      <c r="C203" s="480">
        <f>B203</f>
        <v>3</v>
      </c>
      <c r="D203" s="851">
        <f>SUMPRODUCT(($AD$1:$AD$50028)*($AC$1:$AC$50028=B203))</f>
        <v>22.21</v>
      </c>
      <c r="E203" s="851"/>
      <c r="F203" s="852">
        <v>2</v>
      </c>
      <c r="G203" s="852"/>
      <c r="H203" s="853">
        <f t="shared" si="40"/>
        <v>0.4</v>
      </c>
      <c r="I203" s="853"/>
      <c r="J203" s="854" t="s">
        <v>245</v>
      </c>
      <c r="K203" s="854"/>
      <c r="L203" s="592"/>
      <c r="M203" s="669">
        <f>verzamelblad!$R$7*D203/H203/1000</f>
        <v>0.33315</v>
      </c>
      <c r="N203" s="739"/>
      <c r="O203" s="858">
        <f t="shared" si="42"/>
        <v>0.33315</v>
      </c>
      <c r="P203" s="858"/>
      <c r="Q203" s="403" t="str">
        <f t="shared" si="43"/>
        <v/>
      </c>
      <c r="R203" s="404"/>
      <c r="S203" s="404"/>
      <c r="T203" s="392"/>
      <c r="U203" s="392"/>
      <c r="V203" s="392"/>
      <c r="W203" s="547">
        <f t="shared" si="44"/>
        <v>3</v>
      </c>
      <c r="X203" s="392"/>
      <c r="Y203" s="392"/>
      <c r="Z203" s="392"/>
      <c r="AA203" s="404"/>
      <c r="AB203" s="516"/>
      <c r="AC203" s="516"/>
      <c r="AD203" s="516"/>
      <c r="AE203" s="516"/>
      <c r="AF203" s="516"/>
      <c r="AG203" s="516"/>
      <c r="AH203" s="516"/>
    </row>
    <row r="204" spans="1:34" s="493" customFormat="1" ht="12" customHeight="1">
      <c r="A204" s="560"/>
      <c r="B204" s="560"/>
      <c r="C204" s="463"/>
      <c r="D204" s="463"/>
      <c r="E204" s="463"/>
      <c r="F204" s="463"/>
      <c r="G204" s="463"/>
      <c r="H204" s="456"/>
      <c r="I204" s="456"/>
      <c r="J204" s="456"/>
      <c r="K204" s="456"/>
      <c r="L204" s="456"/>
      <c r="M204" s="456"/>
      <c r="N204" s="456"/>
      <c r="O204" s="456"/>
      <c r="P204" s="456"/>
      <c r="Q204" s="451"/>
      <c r="R204" s="451"/>
      <c r="S204" s="451"/>
      <c r="T204" s="561"/>
      <c r="U204" s="547"/>
      <c r="V204" s="547"/>
      <c r="W204" s="547">
        <f t="shared" si="44"/>
        <v>3</v>
      </c>
      <c r="X204" s="547"/>
      <c r="Y204" s="547"/>
      <c r="Z204" s="547"/>
      <c r="AA204" s="451"/>
      <c r="AB204" s="507"/>
      <c r="AC204" s="507"/>
      <c r="AD204" s="507"/>
      <c r="AE204" s="507"/>
      <c r="AF204" s="507"/>
      <c r="AG204" s="507"/>
      <c r="AH204" s="507"/>
    </row>
    <row r="205" spans="1:34" s="541" customFormat="1" ht="12" customHeight="1">
      <c r="A205" s="543"/>
      <c r="B205" s="543"/>
      <c r="C205" s="640" t="str">
        <f>L34</f>
        <v>slaapkamer 3</v>
      </c>
      <c r="D205" s="831">
        <f>SUMPRODUCT(($AE$1:$AE$27974)*($L$1:$L$27974=C205))</f>
        <v>6</v>
      </c>
      <c r="E205" s="831"/>
      <c r="F205" s="811">
        <v>1</v>
      </c>
      <c r="G205" s="811"/>
      <c r="H205" s="841">
        <f t="shared" ref="H205:H210" si="45">IF(F205=0,"",IF(F205=1,0.1,0.4))</f>
        <v>0.1</v>
      </c>
      <c r="I205" s="841"/>
      <c r="J205" s="842" t="s">
        <v>245</v>
      </c>
      <c r="K205" s="842"/>
      <c r="L205" s="404"/>
      <c r="M205" s="666">
        <f>verzamelblad!$S$7*D205/H205/1000</f>
        <v>0.18</v>
      </c>
      <c r="N205" s="735"/>
      <c r="O205" s="856">
        <f>M205</f>
        <v>0.18</v>
      </c>
      <c r="P205" s="856"/>
      <c r="Q205" s="403" t="str">
        <f>IF(D205=0,"verbergen","")</f>
        <v/>
      </c>
      <c r="R205" s="404"/>
      <c r="S205" s="404"/>
      <c r="T205" s="392"/>
      <c r="U205" s="392"/>
      <c r="V205" s="392"/>
      <c r="W205" s="547">
        <f>W204+1</f>
        <v>4</v>
      </c>
      <c r="X205" s="392"/>
      <c r="Y205" s="392"/>
      <c r="Z205" s="392"/>
      <c r="AA205" s="404"/>
      <c r="AB205" s="516"/>
      <c r="AC205" s="516"/>
      <c r="AD205" s="516"/>
      <c r="AE205" s="516"/>
      <c r="AF205" s="516"/>
      <c r="AG205" s="516"/>
      <c r="AH205" s="516"/>
    </row>
    <row r="206" spans="1:34" s="541" customFormat="1" ht="12" hidden="1" customHeight="1">
      <c r="A206" s="543"/>
      <c r="B206" s="543"/>
      <c r="C206" s="640" t="s">
        <v>140</v>
      </c>
      <c r="D206" s="831">
        <f>SUMPRODUCT(($AE$1:$AE$27974)*($L$1:$L$27974=C206))</f>
        <v>0</v>
      </c>
      <c r="E206" s="831"/>
      <c r="F206" s="811">
        <v>2</v>
      </c>
      <c r="G206" s="811"/>
      <c r="H206" s="841">
        <f t="shared" si="45"/>
        <v>0.4</v>
      </c>
      <c r="I206" s="841"/>
      <c r="J206" s="842" t="s">
        <v>245</v>
      </c>
      <c r="K206" s="842"/>
      <c r="L206" s="404"/>
      <c r="M206" s="666">
        <f>verzamelblad!$S$7*D206/H206/1000</f>
        <v>0</v>
      </c>
      <c r="N206" s="735"/>
      <c r="O206" s="856">
        <f t="shared" ref="O206:O210" si="46">M206</f>
        <v>0</v>
      </c>
      <c r="P206" s="856"/>
      <c r="Q206" s="403" t="str">
        <f t="shared" ref="Q206:Q210" si="47">IF(D206=0,"verbergen","")</f>
        <v>verbergen</v>
      </c>
      <c r="R206" s="404"/>
      <c r="S206" s="404"/>
      <c r="T206" s="392"/>
      <c r="U206" s="392"/>
      <c r="V206" s="392"/>
      <c r="W206" s="547">
        <f t="shared" ref="W206:W211" si="48">W205</f>
        <v>4</v>
      </c>
      <c r="X206" s="392"/>
      <c r="Y206" s="392"/>
      <c r="Z206" s="392"/>
      <c r="AA206" s="404"/>
      <c r="AB206" s="516"/>
      <c r="AC206" s="516"/>
      <c r="AD206" s="516"/>
      <c r="AE206" s="516"/>
      <c r="AF206" s="516"/>
      <c r="AG206" s="516"/>
      <c r="AH206" s="516"/>
    </row>
    <row r="207" spans="1:34" s="541" customFormat="1" ht="12" hidden="1" customHeight="1">
      <c r="A207" s="543"/>
      <c r="B207" s="543"/>
      <c r="C207" s="640" t="s">
        <v>140</v>
      </c>
      <c r="D207" s="831">
        <f>SUMPRODUCT(($AE$1:$AE$27974)*($L$1:$L$27974=C207))</f>
        <v>0</v>
      </c>
      <c r="E207" s="831"/>
      <c r="F207" s="811">
        <v>2</v>
      </c>
      <c r="G207" s="811"/>
      <c r="H207" s="841">
        <f t="shared" si="45"/>
        <v>0.4</v>
      </c>
      <c r="I207" s="841"/>
      <c r="J207" s="842" t="s">
        <v>245</v>
      </c>
      <c r="K207" s="842"/>
      <c r="L207" s="404"/>
      <c r="M207" s="666">
        <f>verzamelblad!$S$7*D207/H207/1000</f>
        <v>0</v>
      </c>
      <c r="N207" s="735"/>
      <c r="O207" s="856">
        <f t="shared" si="46"/>
        <v>0</v>
      </c>
      <c r="P207" s="856"/>
      <c r="Q207" s="403" t="str">
        <f t="shared" si="47"/>
        <v>verbergen</v>
      </c>
      <c r="R207" s="404"/>
      <c r="S207" s="404"/>
      <c r="T207" s="392"/>
      <c r="U207" s="392"/>
      <c r="V207" s="392"/>
      <c r="W207" s="547">
        <f t="shared" si="48"/>
        <v>4</v>
      </c>
      <c r="X207" s="392"/>
      <c r="Y207" s="392"/>
      <c r="Z207" s="392"/>
      <c r="AA207" s="404"/>
      <c r="AB207" s="516"/>
      <c r="AC207" s="516"/>
      <c r="AD207" s="516"/>
      <c r="AE207" s="516"/>
      <c r="AF207" s="516"/>
      <c r="AG207" s="516"/>
      <c r="AH207" s="516"/>
    </row>
    <row r="208" spans="1:34" s="541" customFormat="1" ht="12" hidden="1" customHeight="1">
      <c r="A208" s="543"/>
      <c r="B208" s="543"/>
      <c r="C208" s="640" t="s">
        <v>140</v>
      </c>
      <c r="D208" s="831">
        <f>SUMPRODUCT(($AE$1:$AE$27974)*($L$1:$L$27974=C208))</f>
        <v>0</v>
      </c>
      <c r="E208" s="831"/>
      <c r="F208" s="811">
        <v>2</v>
      </c>
      <c r="G208" s="811"/>
      <c r="H208" s="841">
        <f t="shared" si="45"/>
        <v>0.4</v>
      </c>
      <c r="I208" s="841"/>
      <c r="J208" s="842" t="s">
        <v>245</v>
      </c>
      <c r="K208" s="842"/>
      <c r="L208" s="404"/>
      <c r="M208" s="666">
        <f>verzamelblad!$S$7*D208/H208/1000</f>
        <v>0</v>
      </c>
      <c r="N208" s="735"/>
      <c r="O208" s="856">
        <f t="shared" si="46"/>
        <v>0</v>
      </c>
      <c r="P208" s="856"/>
      <c r="Q208" s="403" t="str">
        <f t="shared" si="47"/>
        <v>verbergen</v>
      </c>
      <c r="R208" s="404"/>
      <c r="S208" s="404"/>
      <c r="T208" s="392"/>
      <c r="U208" s="392"/>
      <c r="V208" s="392"/>
      <c r="W208" s="547">
        <f t="shared" si="48"/>
        <v>4</v>
      </c>
      <c r="X208" s="392"/>
      <c r="Y208" s="392"/>
      <c r="Z208" s="392"/>
      <c r="AA208" s="404"/>
      <c r="AB208" s="516"/>
      <c r="AC208" s="516"/>
      <c r="AD208" s="516"/>
      <c r="AE208" s="516"/>
      <c r="AF208" s="516"/>
      <c r="AG208" s="516"/>
      <c r="AH208" s="516"/>
    </row>
    <row r="209" spans="1:34" s="541" customFormat="1" ht="12" hidden="1" customHeight="1">
      <c r="A209" s="543"/>
      <c r="B209" s="543"/>
      <c r="C209" s="667" t="s">
        <v>140</v>
      </c>
      <c r="D209" s="847">
        <f>SUMPRODUCT(($AE$1:$AE$27974)*($L$1:$L$27974=C209))</f>
        <v>0</v>
      </c>
      <c r="E209" s="847"/>
      <c r="F209" s="812">
        <v>2</v>
      </c>
      <c r="G209" s="812"/>
      <c r="H209" s="848">
        <f t="shared" si="45"/>
        <v>0.4</v>
      </c>
      <c r="I209" s="848"/>
      <c r="J209" s="849" t="s">
        <v>245</v>
      </c>
      <c r="K209" s="849"/>
      <c r="L209" s="628"/>
      <c r="M209" s="668">
        <f>verzamelblad!$S$7*D209/H209/1000</f>
        <v>0</v>
      </c>
      <c r="N209" s="738"/>
      <c r="O209" s="857">
        <f t="shared" si="46"/>
        <v>0</v>
      </c>
      <c r="P209" s="857"/>
      <c r="Q209" s="403" t="str">
        <f>IF(D209=0,"verbergen","")</f>
        <v>verbergen</v>
      </c>
      <c r="R209" s="404"/>
      <c r="S209" s="404"/>
      <c r="T209" s="392"/>
      <c r="U209" s="392"/>
      <c r="V209" s="392"/>
      <c r="W209" s="547">
        <f t="shared" si="48"/>
        <v>4</v>
      </c>
      <c r="X209" s="392"/>
      <c r="Y209" s="392"/>
      <c r="Z209" s="392"/>
      <c r="AA209" s="404"/>
      <c r="AB209" s="516"/>
      <c r="AC209" s="516"/>
      <c r="AD209" s="516"/>
      <c r="AE209" s="516"/>
      <c r="AF209" s="516"/>
      <c r="AG209" s="516"/>
      <c r="AH209" s="516"/>
    </row>
    <row r="210" spans="1:34" s="541" customFormat="1" ht="12" customHeight="1">
      <c r="A210" s="543"/>
      <c r="B210" s="556">
        <f>B203+1</f>
        <v>4</v>
      </c>
      <c r="C210" s="480">
        <f>B210</f>
        <v>4</v>
      </c>
      <c r="D210" s="851">
        <f>SUMPRODUCT(($AD$1:$AD$50000)*($AC$1:$AC$50000=B210))</f>
        <v>9.31</v>
      </c>
      <c r="E210" s="851"/>
      <c r="F210" s="852">
        <v>2</v>
      </c>
      <c r="G210" s="852"/>
      <c r="H210" s="853">
        <f t="shared" si="45"/>
        <v>0.4</v>
      </c>
      <c r="I210" s="853"/>
      <c r="J210" s="854" t="s">
        <v>245</v>
      </c>
      <c r="K210" s="854"/>
      <c r="L210" s="592"/>
      <c r="M210" s="669">
        <f>verzamelblad!$R$7*D210/H210/1000</f>
        <v>0.13964999999999997</v>
      </c>
      <c r="N210" s="739"/>
      <c r="O210" s="858">
        <f t="shared" si="46"/>
        <v>0.13964999999999997</v>
      </c>
      <c r="P210" s="858"/>
      <c r="Q210" s="403" t="str">
        <f t="shared" si="47"/>
        <v/>
      </c>
      <c r="R210" s="404"/>
      <c r="S210" s="404"/>
      <c r="T210" s="392"/>
      <c r="U210" s="392"/>
      <c r="V210" s="392"/>
      <c r="W210" s="547">
        <f t="shared" si="48"/>
        <v>4</v>
      </c>
      <c r="X210" s="392"/>
      <c r="Y210" s="392"/>
      <c r="Z210" s="392"/>
      <c r="AA210" s="404"/>
      <c r="AB210" s="516"/>
      <c r="AC210" s="516"/>
      <c r="AD210" s="516"/>
      <c r="AE210" s="516"/>
      <c r="AF210" s="516"/>
      <c r="AG210" s="516"/>
      <c r="AH210" s="516"/>
    </row>
    <row r="211" spans="1:34" s="493" customFormat="1" ht="12" customHeight="1">
      <c r="A211" s="560"/>
      <c r="B211" s="560"/>
      <c r="C211" s="463"/>
      <c r="D211" s="463"/>
      <c r="E211" s="463"/>
      <c r="F211" s="463"/>
      <c r="G211" s="463"/>
      <c r="H211" s="456"/>
      <c r="I211" s="456"/>
      <c r="J211" s="456"/>
      <c r="K211" s="456"/>
      <c r="L211" s="456"/>
      <c r="M211" s="456"/>
      <c r="N211" s="456"/>
      <c r="O211" s="456"/>
      <c r="P211" s="456"/>
      <c r="Q211" s="451"/>
      <c r="R211" s="451"/>
      <c r="S211" s="451"/>
      <c r="T211" s="561"/>
      <c r="U211" s="547"/>
      <c r="V211" s="547"/>
      <c r="W211" s="547">
        <f t="shared" si="48"/>
        <v>4</v>
      </c>
      <c r="X211" s="547"/>
      <c r="Y211" s="547"/>
      <c r="Z211" s="547"/>
      <c r="AA211" s="451"/>
      <c r="AB211" s="507"/>
      <c r="AC211" s="507"/>
      <c r="AD211" s="507"/>
      <c r="AE211" s="507"/>
      <c r="AF211" s="507"/>
      <c r="AG211" s="507"/>
      <c r="AH211" s="507"/>
    </row>
    <row r="212" spans="1:34" ht="12" customHeight="1"/>
  </sheetData>
  <sheetProtection algorithmName="SHA-512" hashValue="9OmmeSY9UVzYpRQ+xPLcj3DNDJI4XuEOGAeuHIcMyvmkR+//goLgwVy/Mg3mWcJryDpqZCj1DRDZFxDgp36LyQ==" saltValue="iWRiGGv6HdEMZtRica4J+Q==" spinCount="100000"/>
  <dataConsolidate/>
  <mergeCells count="360">
    <mergeCell ref="D210:E210"/>
    <mergeCell ref="F210:G210"/>
    <mergeCell ref="H210:I210"/>
    <mergeCell ref="J210:K210"/>
    <mergeCell ref="O210:P210"/>
    <mergeCell ref="D208:E208"/>
    <mergeCell ref="F208:G208"/>
    <mergeCell ref="H208:I208"/>
    <mergeCell ref="J208:K208"/>
    <mergeCell ref="O208:P208"/>
    <mergeCell ref="D209:E209"/>
    <mergeCell ref="F209:G209"/>
    <mergeCell ref="H209:I209"/>
    <mergeCell ref="J209:K209"/>
    <mergeCell ref="O209:P209"/>
    <mergeCell ref="D206:E206"/>
    <mergeCell ref="F206:G206"/>
    <mergeCell ref="H206:I206"/>
    <mergeCell ref="J206:K206"/>
    <mergeCell ref="O206:P206"/>
    <mergeCell ref="D207:E207"/>
    <mergeCell ref="F207:G207"/>
    <mergeCell ref="H207:I207"/>
    <mergeCell ref="J207:K207"/>
    <mergeCell ref="O207:P207"/>
    <mergeCell ref="D203:E203"/>
    <mergeCell ref="F203:G203"/>
    <mergeCell ref="H203:I203"/>
    <mergeCell ref="J203:K203"/>
    <mergeCell ref="O203:P203"/>
    <mergeCell ref="D205:E205"/>
    <mergeCell ref="F205:G205"/>
    <mergeCell ref="H205:I205"/>
    <mergeCell ref="J205:K205"/>
    <mergeCell ref="O205:P205"/>
    <mergeCell ref="D201:E201"/>
    <mergeCell ref="F201:G201"/>
    <mergeCell ref="H201:I201"/>
    <mergeCell ref="J201:K201"/>
    <mergeCell ref="O201:P201"/>
    <mergeCell ref="D202:E202"/>
    <mergeCell ref="F202:G202"/>
    <mergeCell ref="H202:I202"/>
    <mergeCell ref="J202:K202"/>
    <mergeCell ref="O202:P202"/>
    <mergeCell ref="D199:E199"/>
    <mergeCell ref="F199:G199"/>
    <mergeCell ref="H199:I199"/>
    <mergeCell ref="J199:K199"/>
    <mergeCell ref="O199:P199"/>
    <mergeCell ref="D200:E200"/>
    <mergeCell ref="F200:G200"/>
    <mergeCell ref="H200:I200"/>
    <mergeCell ref="J200:K200"/>
    <mergeCell ref="O200:P200"/>
    <mergeCell ref="D196:E196"/>
    <mergeCell ref="F196:G196"/>
    <mergeCell ref="H196:I196"/>
    <mergeCell ref="J196:K196"/>
    <mergeCell ref="O196:P196"/>
    <mergeCell ref="D198:E198"/>
    <mergeCell ref="F198:G198"/>
    <mergeCell ref="H198:I198"/>
    <mergeCell ref="J198:K198"/>
    <mergeCell ref="O198:P198"/>
    <mergeCell ref="D194:E194"/>
    <mergeCell ref="F194:G194"/>
    <mergeCell ref="H194:I194"/>
    <mergeCell ref="J194:K194"/>
    <mergeCell ref="O194:P194"/>
    <mergeCell ref="D195:E195"/>
    <mergeCell ref="F195:G195"/>
    <mergeCell ref="H195:I195"/>
    <mergeCell ref="J195:K195"/>
    <mergeCell ref="O195:P195"/>
    <mergeCell ref="D192:E192"/>
    <mergeCell ref="F192:G192"/>
    <mergeCell ref="H192:I192"/>
    <mergeCell ref="J192:K192"/>
    <mergeCell ref="O192:P192"/>
    <mergeCell ref="D193:E193"/>
    <mergeCell ref="F193:G193"/>
    <mergeCell ref="H193:I193"/>
    <mergeCell ref="J193:K193"/>
    <mergeCell ref="O193:P193"/>
    <mergeCell ref="D189:E189"/>
    <mergeCell ref="F189:G189"/>
    <mergeCell ref="H189:I189"/>
    <mergeCell ref="J189:K189"/>
    <mergeCell ref="O189:P189"/>
    <mergeCell ref="D191:E191"/>
    <mergeCell ref="F191:G191"/>
    <mergeCell ref="H191:I191"/>
    <mergeCell ref="J191:K191"/>
    <mergeCell ref="O191:P191"/>
    <mergeCell ref="D187:E187"/>
    <mergeCell ref="F187:G187"/>
    <mergeCell ref="H187:I187"/>
    <mergeCell ref="J187:K187"/>
    <mergeCell ref="O187:P187"/>
    <mergeCell ref="D188:E188"/>
    <mergeCell ref="F188:G188"/>
    <mergeCell ref="H188:I188"/>
    <mergeCell ref="J188:K188"/>
    <mergeCell ref="O188:P188"/>
    <mergeCell ref="D185:E185"/>
    <mergeCell ref="F185:G185"/>
    <mergeCell ref="H185:I185"/>
    <mergeCell ref="J185:K185"/>
    <mergeCell ref="O185:P185"/>
    <mergeCell ref="D186:E186"/>
    <mergeCell ref="F186:G186"/>
    <mergeCell ref="H186:I186"/>
    <mergeCell ref="J186:K186"/>
    <mergeCell ref="O186:P186"/>
    <mergeCell ref="O182:P182"/>
    <mergeCell ref="D184:E184"/>
    <mergeCell ref="F184:G184"/>
    <mergeCell ref="H184:I184"/>
    <mergeCell ref="J184:K184"/>
    <mergeCell ref="O184:P184"/>
    <mergeCell ref="I175:J175"/>
    <mergeCell ref="K175:P175"/>
    <mergeCell ref="I176:J176"/>
    <mergeCell ref="K176:P176"/>
    <mergeCell ref="K177:P177"/>
    <mergeCell ref="D182:E182"/>
    <mergeCell ref="F182:G182"/>
    <mergeCell ref="H182:I182"/>
    <mergeCell ref="J182:K182"/>
    <mergeCell ref="M182:N182"/>
    <mergeCell ref="I172:J172"/>
    <mergeCell ref="K172:P172"/>
    <mergeCell ref="I173:J173"/>
    <mergeCell ref="K173:P173"/>
    <mergeCell ref="I174:J174"/>
    <mergeCell ref="K174:P174"/>
    <mergeCell ref="I168:J168"/>
    <mergeCell ref="K168:P168"/>
    <mergeCell ref="I169:J169"/>
    <mergeCell ref="K169:P169"/>
    <mergeCell ref="K170:P170"/>
    <mergeCell ref="K171:L171"/>
    <mergeCell ref="M171:N171"/>
    <mergeCell ref="O171:P171"/>
    <mergeCell ref="I165:J165"/>
    <mergeCell ref="K165:P165"/>
    <mergeCell ref="I166:J166"/>
    <mergeCell ref="K166:P166"/>
    <mergeCell ref="I167:J167"/>
    <mergeCell ref="K167:P167"/>
    <mergeCell ref="I161:J161"/>
    <mergeCell ref="K161:P161"/>
    <mergeCell ref="I162:J162"/>
    <mergeCell ref="K162:P162"/>
    <mergeCell ref="K163:P163"/>
    <mergeCell ref="K164:L164"/>
    <mergeCell ref="M164:N164"/>
    <mergeCell ref="O164:P164"/>
    <mergeCell ref="I158:J158"/>
    <mergeCell ref="K158:P158"/>
    <mergeCell ref="I159:J159"/>
    <mergeCell ref="K159:P159"/>
    <mergeCell ref="I160:J160"/>
    <mergeCell ref="K160:P160"/>
    <mergeCell ref="I154:J154"/>
    <mergeCell ref="K154:P154"/>
    <mergeCell ref="I155:J155"/>
    <mergeCell ref="K155:P155"/>
    <mergeCell ref="K156:P156"/>
    <mergeCell ref="K157:L157"/>
    <mergeCell ref="M157:N157"/>
    <mergeCell ref="O157:P157"/>
    <mergeCell ref="I151:J151"/>
    <mergeCell ref="K151:P151"/>
    <mergeCell ref="I152:J152"/>
    <mergeCell ref="K152:P152"/>
    <mergeCell ref="I153:J153"/>
    <mergeCell ref="K153:P153"/>
    <mergeCell ref="I147:J147"/>
    <mergeCell ref="K147:P147"/>
    <mergeCell ref="I148:J148"/>
    <mergeCell ref="K148:P148"/>
    <mergeCell ref="K149:P149"/>
    <mergeCell ref="K150:L150"/>
    <mergeCell ref="M150:N150"/>
    <mergeCell ref="O150:P150"/>
    <mergeCell ref="I144:J144"/>
    <mergeCell ref="K144:P144"/>
    <mergeCell ref="I145:J145"/>
    <mergeCell ref="K145:P145"/>
    <mergeCell ref="I146:J146"/>
    <mergeCell ref="K146:P146"/>
    <mergeCell ref="K137:P137"/>
    <mergeCell ref="K138:P138"/>
    <mergeCell ref="M139:P139"/>
    <mergeCell ref="D140:E140"/>
    <mergeCell ref="M140:N140"/>
    <mergeCell ref="I143:J143"/>
    <mergeCell ref="D128:E128"/>
    <mergeCell ref="M128:N128"/>
    <mergeCell ref="K133:P133"/>
    <mergeCell ref="K134:P134"/>
    <mergeCell ref="K135:P135"/>
    <mergeCell ref="K136:P136"/>
    <mergeCell ref="K122:P122"/>
    <mergeCell ref="K123:P123"/>
    <mergeCell ref="K124:P124"/>
    <mergeCell ref="K125:P125"/>
    <mergeCell ref="K126:P126"/>
    <mergeCell ref="M127:P127"/>
    <mergeCell ref="I116:J116"/>
    <mergeCell ref="L116:M116"/>
    <mergeCell ref="N116:O116"/>
    <mergeCell ref="F117:H117"/>
    <mergeCell ref="M117:N117"/>
    <mergeCell ref="K121:P121"/>
    <mergeCell ref="I114:J114"/>
    <mergeCell ref="L114:M114"/>
    <mergeCell ref="N114:O114"/>
    <mergeCell ref="I115:J115"/>
    <mergeCell ref="L115:M115"/>
    <mergeCell ref="N115:O115"/>
    <mergeCell ref="I109:J109"/>
    <mergeCell ref="L109:M109"/>
    <mergeCell ref="N109:O109"/>
    <mergeCell ref="F110:H110"/>
    <mergeCell ref="M110:N110"/>
    <mergeCell ref="I113:J113"/>
    <mergeCell ref="L113:M113"/>
    <mergeCell ref="N113:O113"/>
    <mergeCell ref="I107:J107"/>
    <mergeCell ref="L107:M107"/>
    <mergeCell ref="N107:O107"/>
    <mergeCell ref="I108:J108"/>
    <mergeCell ref="L108:M108"/>
    <mergeCell ref="N108:O108"/>
    <mergeCell ref="F103:H103"/>
    <mergeCell ref="M103:N103"/>
    <mergeCell ref="I105:J105"/>
    <mergeCell ref="L105:M105"/>
    <mergeCell ref="N105:O105"/>
    <mergeCell ref="I106:J106"/>
    <mergeCell ref="L106:M106"/>
    <mergeCell ref="N106:O106"/>
    <mergeCell ref="I101:J101"/>
    <mergeCell ref="L101:M101"/>
    <mergeCell ref="N101:O101"/>
    <mergeCell ref="I102:J102"/>
    <mergeCell ref="L102:M102"/>
    <mergeCell ref="N102:O102"/>
    <mergeCell ref="I99:J99"/>
    <mergeCell ref="L99:M99"/>
    <mergeCell ref="N99:O99"/>
    <mergeCell ref="I100:J100"/>
    <mergeCell ref="L100:M100"/>
    <mergeCell ref="N100:O100"/>
    <mergeCell ref="I95:J95"/>
    <mergeCell ref="L95:M95"/>
    <mergeCell ref="N95:O95"/>
    <mergeCell ref="F96:H96"/>
    <mergeCell ref="M96:N96"/>
    <mergeCell ref="I98:J98"/>
    <mergeCell ref="L98:M98"/>
    <mergeCell ref="N98:O98"/>
    <mergeCell ref="I93:J93"/>
    <mergeCell ref="L93:M93"/>
    <mergeCell ref="N93:O93"/>
    <mergeCell ref="I94:J94"/>
    <mergeCell ref="L94:M94"/>
    <mergeCell ref="N94:O94"/>
    <mergeCell ref="F89:H89"/>
    <mergeCell ref="M89:N89"/>
    <mergeCell ref="I91:J91"/>
    <mergeCell ref="L91:M91"/>
    <mergeCell ref="N91:O91"/>
    <mergeCell ref="I92:J92"/>
    <mergeCell ref="L92:M92"/>
    <mergeCell ref="N92:O92"/>
    <mergeCell ref="AJ85:AL88"/>
    <mergeCell ref="I86:J86"/>
    <mergeCell ref="N86:O86"/>
    <mergeCell ref="I87:J87"/>
    <mergeCell ref="N87:O87"/>
    <mergeCell ref="I88:J88"/>
    <mergeCell ref="N88:O88"/>
    <mergeCell ref="L83:M83"/>
    <mergeCell ref="I84:J84"/>
    <mergeCell ref="L84:M84"/>
    <mergeCell ref="N84:O84"/>
    <mergeCell ref="I85:J85"/>
    <mergeCell ref="N85:O85"/>
    <mergeCell ref="D72:G72"/>
    <mergeCell ref="D74:G74"/>
    <mergeCell ref="D75:G75"/>
    <mergeCell ref="F81:H81"/>
    <mergeCell ref="F83:H83"/>
    <mergeCell ref="I83:J83"/>
    <mergeCell ref="D63:E63"/>
    <mergeCell ref="D64:E64"/>
    <mergeCell ref="D65:E65"/>
    <mergeCell ref="D66:E66"/>
    <mergeCell ref="D67:E67"/>
    <mergeCell ref="E68:G68"/>
    <mergeCell ref="D56:E56"/>
    <mergeCell ref="D57:E57"/>
    <mergeCell ref="D58:E58"/>
    <mergeCell ref="D59:E59"/>
    <mergeCell ref="D60:E60"/>
    <mergeCell ref="E61:G61"/>
    <mergeCell ref="D49:E49"/>
    <mergeCell ref="D50:E50"/>
    <mergeCell ref="D51:E51"/>
    <mergeCell ref="D52:E52"/>
    <mergeCell ref="D53:E53"/>
    <mergeCell ref="E54:G54"/>
    <mergeCell ref="D42:E42"/>
    <mergeCell ref="D43:E43"/>
    <mergeCell ref="D44:E44"/>
    <mergeCell ref="D45:E45"/>
    <mergeCell ref="D46:E46"/>
    <mergeCell ref="E47:G47"/>
    <mergeCell ref="F34:G34"/>
    <mergeCell ref="J34:K34"/>
    <mergeCell ref="N34:O34"/>
    <mergeCell ref="F36:G36"/>
    <mergeCell ref="D40:E40"/>
    <mergeCell ref="D41:F41"/>
    <mergeCell ref="F32:G32"/>
    <mergeCell ref="J32:K32"/>
    <mergeCell ref="N32:O32"/>
    <mergeCell ref="F33:G33"/>
    <mergeCell ref="J33:K33"/>
    <mergeCell ref="N33:O33"/>
    <mergeCell ref="F30:G30"/>
    <mergeCell ref="J30:K30"/>
    <mergeCell ref="N30:O30"/>
    <mergeCell ref="F31:G31"/>
    <mergeCell ref="J31:K31"/>
    <mergeCell ref="N31:O31"/>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s>
  <conditionalFormatting sqref="F20">
    <cfRule type="expression" dxfId="343" priority="179" stopIfTrue="1">
      <formula>F19&lt;18</formula>
    </cfRule>
    <cfRule type="expression" dxfId="342" priority="180" stopIfTrue="1">
      <formula>F19&lt;F18</formula>
    </cfRule>
  </conditionalFormatting>
  <conditionalFormatting sqref="H22:I23">
    <cfRule type="expression" dxfId="341" priority="178" stopIfTrue="1">
      <formula>H22&lt;F22</formula>
    </cfRule>
  </conditionalFormatting>
  <conditionalFormatting sqref="I15 K15:P15 H8:P11">
    <cfRule type="cellIs" dxfId="340" priority="181" stopIfTrue="1" operator="equal">
      <formula>"&lt;PROJECTNUMMER&gt;"</formula>
    </cfRule>
  </conditionalFormatting>
  <conditionalFormatting sqref="L16:L20">
    <cfRule type="expression" dxfId="339" priority="177">
      <formula>L16=0</formula>
    </cfRule>
  </conditionalFormatting>
  <conditionalFormatting sqref="F28:F29">
    <cfRule type="expression" dxfId="338" priority="176" stopIfTrue="1">
      <formula>D28-E28&lt;5</formula>
    </cfRule>
  </conditionalFormatting>
  <conditionalFormatting sqref="D28:D29">
    <cfRule type="expression" dxfId="337" priority="182" stopIfTrue="1">
      <formula>C28=""</formula>
    </cfRule>
  </conditionalFormatting>
  <conditionalFormatting sqref="I86:P88 I85:K85 AJ85 M85:P85 I84:P84">
    <cfRule type="expression" dxfId="336" priority="175">
      <formula>$S$16&lt;&gt;1</formula>
    </cfRule>
  </conditionalFormatting>
  <conditionalFormatting sqref="N84:P88">
    <cfRule type="expression" dxfId="335" priority="174">
      <formula>$S$12="nader te bepalen"</formula>
    </cfRule>
  </conditionalFormatting>
  <conditionalFormatting sqref="H16">
    <cfRule type="expression" dxfId="334" priority="171">
      <formula>AND(SUM(L16:L20)&gt;=10,SUM(L16:L20)&lt;100)</formula>
    </cfRule>
    <cfRule type="expression" dxfId="333" priority="172">
      <formula>SUM(L16:L20)&gt;=100</formula>
    </cfRule>
    <cfRule type="expression" dxfId="332" priority="173">
      <formula>SUM(L16:L20)&lt;10</formula>
    </cfRule>
  </conditionalFormatting>
  <conditionalFormatting sqref="F17">
    <cfRule type="expression" dxfId="331" priority="168">
      <formula>F17&lt;10</formula>
    </cfRule>
    <cfRule type="expression" dxfId="330" priority="169">
      <formula>AND(F17&gt;=10,F17&lt;100)</formula>
    </cfRule>
    <cfRule type="expression" dxfId="329" priority="170">
      <formula>F17&gt;=100</formula>
    </cfRule>
  </conditionalFormatting>
  <conditionalFormatting sqref="F18">
    <cfRule type="expression" dxfId="328" priority="165">
      <formula>F18&lt;10</formula>
    </cfRule>
    <cfRule type="expression" dxfId="327" priority="166">
      <formula>AND(F18&gt;=10,F18&lt;100)</formula>
    </cfRule>
    <cfRule type="expression" dxfId="326" priority="167">
      <formula>F18&gt;=100</formula>
    </cfRule>
  </conditionalFormatting>
  <conditionalFormatting sqref="F19">
    <cfRule type="expression" dxfId="325" priority="162">
      <formula>F19&lt;10</formula>
    </cfRule>
    <cfRule type="expression" dxfId="324" priority="163">
      <formula>AND(F19&gt;=10,F19&lt;100)</formula>
    </cfRule>
    <cfRule type="expression" dxfId="323" priority="164">
      <formula>F19&gt;=100</formula>
    </cfRule>
  </conditionalFormatting>
  <conditionalFormatting sqref="K47">
    <cfRule type="expression" dxfId="322" priority="161" stopIfTrue="1">
      <formula>A47="nee"</formula>
    </cfRule>
  </conditionalFormatting>
  <conditionalFormatting sqref="K47">
    <cfRule type="expression" dxfId="321" priority="160" stopIfTrue="1">
      <formula>A47="nee"</formula>
    </cfRule>
  </conditionalFormatting>
  <conditionalFormatting sqref="E47">
    <cfRule type="cellIs" dxfId="320" priority="159" stopIfTrue="1" operator="equal">
      <formula>"voldoet niet"</formula>
    </cfRule>
  </conditionalFormatting>
  <conditionalFormatting sqref="K47">
    <cfRule type="expression" dxfId="319" priority="158" stopIfTrue="1">
      <formula>A47="nee"</formula>
    </cfRule>
  </conditionalFormatting>
  <conditionalFormatting sqref="K47">
    <cfRule type="expression" dxfId="318" priority="157" stopIfTrue="1">
      <formula>A47="nee"</formula>
    </cfRule>
  </conditionalFormatting>
  <conditionalFormatting sqref="F84:H89">
    <cfRule type="expression" dxfId="317" priority="156">
      <formula>$S$16=3</formula>
    </cfRule>
  </conditionalFormatting>
  <conditionalFormatting sqref="H121:P128">
    <cfRule type="expression" dxfId="316" priority="155">
      <formula>$S$16=3</formula>
    </cfRule>
  </conditionalFormatting>
  <conditionalFormatting sqref="H133:P140">
    <cfRule type="expression" dxfId="315" priority="154">
      <formula>$S$16=3</formula>
    </cfRule>
  </conditionalFormatting>
  <conditionalFormatting sqref="F116:H117">
    <cfRule type="expression" dxfId="314" priority="124">
      <formula>$S$16=3</formula>
    </cfRule>
  </conditionalFormatting>
  <conditionalFormatting sqref="I113:P115">
    <cfRule type="expression" dxfId="313" priority="151">
      <formula>$S$16&lt;&gt;1</formula>
    </cfRule>
  </conditionalFormatting>
  <conditionalFormatting sqref="N113:P115">
    <cfRule type="expression" dxfId="312" priority="150">
      <formula>$S$12="nader te bepalen"</formula>
    </cfRule>
  </conditionalFormatting>
  <conditionalFormatting sqref="I113:P115">
    <cfRule type="expression" dxfId="311" priority="145">
      <formula>$S$16&lt;&gt;1</formula>
    </cfRule>
  </conditionalFormatting>
  <conditionalFormatting sqref="N113:P115">
    <cfRule type="expression" dxfId="310" priority="144">
      <formula>$S$12="nader te bepalen"</formula>
    </cfRule>
  </conditionalFormatting>
  <conditionalFormatting sqref="I113:P115">
    <cfRule type="expression" dxfId="309" priority="153">
      <formula>$S$16&lt;&gt;1</formula>
    </cfRule>
  </conditionalFormatting>
  <conditionalFormatting sqref="I113:P115">
    <cfRule type="expression" dxfId="308" priority="152">
      <formula>$S$16&lt;&gt;1</formula>
    </cfRule>
  </conditionalFormatting>
  <conditionalFormatting sqref="I113:P115">
    <cfRule type="expression" dxfId="307" priority="149">
      <formula>$S$16&lt;&gt;1</formula>
    </cfRule>
  </conditionalFormatting>
  <conditionalFormatting sqref="N113:P115">
    <cfRule type="expression" dxfId="306" priority="148">
      <formula>$S$12="nader te bepalen"</formula>
    </cfRule>
  </conditionalFormatting>
  <conditionalFormatting sqref="I113:P115">
    <cfRule type="expression" dxfId="305" priority="147">
      <formula>$S$16&lt;&gt;1</formula>
    </cfRule>
  </conditionalFormatting>
  <conditionalFormatting sqref="I113:P115">
    <cfRule type="expression" dxfId="304" priority="146">
      <formula>$S$16&lt;&gt;1</formula>
    </cfRule>
  </conditionalFormatting>
  <conditionalFormatting sqref="I113:P115">
    <cfRule type="expression" dxfId="303" priority="143">
      <formula>$S$16&lt;&gt;1</formula>
    </cfRule>
  </conditionalFormatting>
  <conditionalFormatting sqref="N113:P115">
    <cfRule type="expression" dxfId="302" priority="142">
      <formula>$S$12="nader te bepalen"</formula>
    </cfRule>
  </conditionalFormatting>
  <conditionalFormatting sqref="I113:P115">
    <cfRule type="expression" dxfId="301" priority="141">
      <formula>$S$16&lt;&gt;1</formula>
    </cfRule>
  </conditionalFormatting>
  <conditionalFormatting sqref="N113:P115">
    <cfRule type="expression" dxfId="300" priority="140">
      <formula>$S$12="nader te bepalen"</formula>
    </cfRule>
  </conditionalFormatting>
  <conditionalFormatting sqref="F113:H115">
    <cfRule type="expression" dxfId="299" priority="139">
      <formula>$S$16=3</formula>
    </cfRule>
  </conditionalFormatting>
  <conditionalFormatting sqref="I116:P116">
    <cfRule type="expression" dxfId="298" priority="136">
      <formula>$S$16&lt;&gt;1</formula>
    </cfRule>
  </conditionalFormatting>
  <conditionalFormatting sqref="N116:P116">
    <cfRule type="expression" dxfId="297" priority="135">
      <formula>$S$12="nader te bepalen"</formula>
    </cfRule>
  </conditionalFormatting>
  <conditionalFormatting sqref="I116:P116">
    <cfRule type="expression" dxfId="296" priority="130">
      <formula>$S$16&lt;&gt;1</formula>
    </cfRule>
  </conditionalFormatting>
  <conditionalFormatting sqref="N116:P116">
    <cfRule type="expression" dxfId="295" priority="129">
      <formula>$S$12="nader te bepalen"</formula>
    </cfRule>
  </conditionalFormatting>
  <conditionalFormatting sqref="I116:P116">
    <cfRule type="expression" dxfId="294" priority="138">
      <formula>$S$16&lt;&gt;1</formula>
    </cfRule>
  </conditionalFormatting>
  <conditionalFormatting sqref="I116:P116">
    <cfRule type="expression" dxfId="293" priority="137">
      <formula>$S$16&lt;&gt;1</formula>
    </cfRule>
  </conditionalFormatting>
  <conditionalFormatting sqref="I116:P116">
    <cfRule type="expression" dxfId="292" priority="134">
      <formula>$S$16&lt;&gt;1</formula>
    </cfRule>
  </conditionalFormatting>
  <conditionalFormatting sqref="N116:P116">
    <cfRule type="expression" dxfId="291" priority="133">
      <formula>$S$12="nader te bepalen"</formula>
    </cfRule>
  </conditionalFormatting>
  <conditionalFormatting sqref="I116:P116">
    <cfRule type="expression" dxfId="290" priority="132">
      <formula>$S$16&lt;&gt;1</formula>
    </cfRule>
  </conditionalFormatting>
  <conditionalFormatting sqref="I116:P116">
    <cfRule type="expression" dxfId="289" priority="131">
      <formula>$S$16&lt;&gt;1</formula>
    </cfRule>
  </conditionalFormatting>
  <conditionalFormatting sqref="I116:P116">
    <cfRule type="expression" dxfId="288" priority="128">
      <formula>$S$16&lt;&gt;1</formula>
    </cfRule>
  </conditionalFormatting>
  <conditionalFormatting sqref="N116:P116">
    <cfRule type="expression" dxfId="287" priority="127">
      <formula>$S$12="nader te bepalen"</formula>
    </cfRule>
  </conditionalFormatting>
  <conditionalFormatting sqref="I116:P116">
    <cfRule type="expression" dxfId="286" priority="126">
      <formula>$S$16&lt;&gt;1</formula>
    </cfRule>
  </conditionalFormatting>
  <conditionalFormatting sqref="N116:P116">
    <cfRule type="expression" dxfId="285" priority="125">
      <formula>$S$12="nader te bepalen"</formula>
    </cfRule>
  </conditionalFormatting>
  <conditionalFormatting sqref="P85">
    <cfRule type="expression" dxfId="284" priority="115" stopIfTrue="1">
      <formula>P85="-"</formula>
    </cfRule>
    <cfRule type="expression" dxfId="283" priority="120" stopIfTrue="1">
      <formula>P85&lt;H85</formula>
    </cfRule>
  </conditionalFormatting>
  <conditionalFormatting sqref="P86">
    <cfRule type="expression" dxfId="282" priority="116" stopIfTrue="1">
      <formula>P86="-"</formula>
    </cfRule>
    <cfRule type="expression" dxfId="281" priority="121" stopIfTrue="1">
      <formula>P86&lt;H86</formula>
    </cfRule>
  </conditionalFormatting>
  <conditionalFormatting sqref="P87">
    <cfRule type="expression" dxfId="280" priority="117" stopIfTrue="1">
      <formula>P87="-"</formula>
    </cfRule>
    <cfRule type="expression" dxfId="279" priority="122" stopIfTrue="1">
      <formula>P87&lt;H87</formula>
    </cfRule>
  </conditionalFormatting>
  <conditionalFormatting sqref="P88">
    <cfRule type="expression" dxfId="278" priority="118" stopIfTrue="1">
      <formula>P88="-"</formula>
    </cfRule>
    <cfRule type="expression" dxfId="277" priority="123" stopIfTrue="1">
      <formula>P88&lt;H88</formula>
    </cfRule>
  </conditionalFormatting>
  <conditionalFormatting sqref="P84">
    <cfRule type="expression" dxfId="276" priority="114" stopIfTrue="1">
      <formula>P84="-"</formula>
    </cfRule>
    <cfRule type="expression" dxfId="275" priority="119" stopIfTrue="1">
      <formula>P84&lt;H84</formula>
    </cfRule>
  </conditionalFormatting>
  <conditionalFormatting sqref="P113">
    <cfRule type="expression" dxfId="274" priority="106" stopIfTrue="1">
      <formula>P113="-"</formula>
    </cfRule>
    <cfRule type="expression" dxfId="273" priority="110" stopIfTrue="1">
      <formula>P113&lt;H113</formula>
    </cfRule>
  </conditionalFormatting>
  <conditionalFormatting sqref="P114">
    <cfRule type="expression" dxfId="272" priority="107" stopIfTrue="1">
      <formula>P114="-"</formula>
    </cfRule>
    <cfRule type="expression" dxfId="271" priority="111" stopIfTrue="1">
      <formula>P114&lt;H114</formula>
    </cfRule>
  </conditionalFormatting>
  <conditionalFormatting sqref="P115">
    <cfRule type="expression" dxfId="270" priority="108" stopIfTrue="1">
      <formula>P115="-"</formula>
    </cfRule>
    <cfRule type="expression" dxfId="269" priority="112" stopIfTrue="1">
      <formula>P115&lt;H115</formula>
    </cfRule>
  </conditionalFormatting>
  <conditionalFormatting sqref="P116">
    <cfRule type="expression" dxfId="268" priority="109" stopIfTrue="1">
      <formula>P116="-"</formula>
    </cfRule>
    <cfRule type="expression" dxfId="267" priority="113" stopIfTrue="1">
      <formula>P116&lt;H116</formula>
    </cfRule>
  </conditionalFormatting>
  <conditionalFormatting sqref="F89:H89">
    <cfRule type="containsText" dxfId="266" priority="105" operator="containsText" text="voldoet niet op VG-niveau">
      <formula>NOT(ISERROR(SEARCH("voldoet niet op VG-niveau",F89)))</formula>
    </cfRule>
  </conditionalFormatting>
  <conditionalFormatting sqref="K54">
    <cfRule type="expression" dxfId="265" priority="104" stopIfTrue="1">
      <formula>A54="nee"</formula>
    </cfRule>
  </conditionalFormatting>
  <conditionalFormatting sqref="K54">
    <cfRule type="expression" dxfId="264" priority="103" stopIfTrue="1">
      <formula>A54="nee"</formula>
    </cfRule>
  </conditionalFormatting>
  <conditionalFormatting sqref="E54">
    <cfRule type="cellIs" dxfId="263" priority="102" stopIfTrue="1" operator="equal">
      <formula>"voldoet niet"</formula>
    </cfRule>
  </conditionalFormatting>
  <conditionalFormatting sqref="K54">
    <cfRule type="expression" dxfId="262" priority="101" stopIfTrue="1">
      <formula>A54="nee"</formula>
    </cfRule>
  </conditionalFormatting>
  <conditionalFormatting sqref="K54">
    <cfRule type="expression" dxfId="261" priority="100" stopIfTrue="1">
      <formula>A54="nee"</formula>
    </cfRule>
  </conditionalFormatting>
  <conditionalFormatting sqref="I91:P95">
    <cfRule type="expression" dxfId="260" priority="99">
      <formula>$S$16&lt;&gt;1</formula>
    </cfRule>
  </conditionalFormatting>
  <conditionalFormatting sqref="N91:P95">
    <cfRule type="expression" dxfId="259" priority="98">
      <formula>$S$12="nader te bepalen"</formula>
    </cfRule>
  </conditionalFormatting>
  <conditionalFormatting sqref="F91:H96">
    <cfRule type="expression" dxfId="258" priority="97">
      <formula>$S$16=3</formula>
    </cfRule>
  </conditionalFormatting>
  <conditionalFormatting sqref="Q91:Q95">
    <cfRule type="expression" dxfId="257" priority="96">
      <formula>SUM(Q87:Q91)&lt;E92</formula>
    </cfRule>
  </conditionalFormatting>
  <conditionalFormatting sqref="P91">
    <cfRule type="expression" dxfId="256" priority="86" stopIfTrue="1">
      <formula>P91="-"</formula>
    </cfRule>
    <cfRule type="expression" dxfId="255" priority="91" stopIfTrue="1">
      <formula>P91&lt;H91</formula>
    </cfRule>
  </conditionalFormatting>
  <conditionalFormatting sqref="P92">
    <cfRule type="expression" dxfId="254" priority="87" stopIfTrue="1">
      <formula>P92="-"</formula>
    </cfRule>
    <cfRule type="expression" dxfId="253" priority="92" stopIfTrue="1">
      <formula>P92&lt;H92</formula>
    </cfRule>
  </conditionalFormatting>
  <conditionalFormatting sqref="P93">
    <cfRule type="expression" dxfId="252" priority="88" stopIfTrue="1">
      <formula>P93="-"</formula>
    </cfRule>
    <cfRule type="expression" dxfId="251" priority="93" stopIfTrue="1">
      <formula>P93&lt;H93</formula>
    </cfRule>
  </conditionalFormatting>
  <conditionalFormatting sqref="P94">
    <cfRule type="expression" dxfId="250" priority="89" stopIfTrue="1">
      <formula>P94="-"</formula>
    </cfRule>
    <cfRule type="expression" dxfId="249" priority="94" stopIfTrue="1">
      <formula>P94&lt;H94</formula>
    </cfRule>
  </conditionalFormatting>
  <conditionalFormatting sqref="P95">
    <cfRule type="expression" dxfId="248" priority="90" stopIfTrue="1">
      <formula>P95="-"</formula>
    </cfRule>
    <cfRule type="expression" dxfId="247" priority="95" stopIfTrue="1">
      <formula>P95&lt;H95</formula>
    </cfRule>
  </conditionalFormatting>
  <conditionalFormatting sqref="F96:H96">
    <cfRule type="containsText" dxfId="246" priority="85" operator="containsText" text="voldoet niet op VG-niveau">
      <formula>NOT(ISERROR(SEARCH("voldoet niet op VG-niveau",F96)))</formula>
    </cfRule>
  </conditionalFormatting>
  <conditionalFormatting sqref="G8:G10">
    <cfRule type="cellIs" dxfId="245" priority="84" stopIfTrue="1" operator="equal">
      <formula>"&lt;PROJECTNUMMER&gt;"</formula>
    </cfRule>
  </conditionalFormatting>
  <conditionalFormatting sqref="D8">
    <cfRule type="cellIs" dxfId="244" priority="83" stopIfTrue="1" operator="equal">
      <formula>"&lt;PROJECTNUMMER&gt;"</formula>
    </cfRule>
  </conditionalFormatting>
  <conditionalFormatting sqref="D9">
    <cfRule type="cellIs" dxfId="243" priority="82" stopIfTrue="1" operator="equal">
      <formula>"&lt;PROJECTNUMMER&gt;"</formula>
    </cfRule>
  </conditionalFormatting>
  <conditionalFormatting sqref="D10">
    <cfRule type="cellIs" dxfId="242" priority="81" stopIfTrue="1" operator="equal">
      <formula>"&lt;PROJECTNUMMER&gt;"</formula>
    </cfRule>
  </conditionalFormatting>
  <conditionalFormatting sqref="F30">
    <cfRule type="expression" dxfId="241" priority="78" stopIfTrue="1">
      <formula>D30-E30&lt;5</formula>
    </cfRule>
  </conditionalFormatting>
  <conditionalFormatting sqref="F30">
    <cfRule type="expression" dxfId="240" priority="77" stopIfTrue="1">
      <formula>D30-E30&lt;5</formula>
    </cfRule>
  </conditionalFormatting>
  <conditionalFormatting sqref="F30">
    <cfRule type="expression" dxfId="239" priority="74" stopIfTrue="1">
      <formula>D30-E30&lt;5</formula>
    </cfRule>
  </conditionalFormatting>
  <conditionalFormatting sqref="D30">
    <cfRule type="expression" dxfId="238" priority="73" stopIfTrue="1">
      <formula>C30=""</formula>
    </cfRule>
  </conditionalFormatting>
  <conditionalFormatting sqref="F30">
    <cfRule type="expression" dxfId="237" priority="80" stopIfTrue="1">
      <formula>D30=""</formula>
    </cfRule>
  </conditionalFormatting>
  <conditionalFormatting sqref="F30">
    <cfRule type="expression" dxfId="236" priority="79" stopIfTrue="1">
      <formula>D30=""</formula>
    </cfRule>
  </conditionalFormatting>
  <conditionalFormatting sqref="D30">
    <cfRule type="expression" dxfId="235" priority="76" stopIfTrue="1">
      <formula>C30=""</formula>
    </cfRule>
  </conditionalFormatting>
  <conditionalFormatting sqref="F30">
    <cfRule type="expression" dxfId="234" priority="75" stopIfTrue="1">
      <formula>D30-E30&lt;5</formula>
    </cfRule>
  </conditionalFormatting>
  <conditionalFormatting sqref="F31">
    <cfRule type="expression" dxfId="233" priority="70" stopIfTrue="1">
      <formula>D31-E31&lt;5</formula>
    </cfRule>
  </conditionalFormatting>
  <conditionalFormatting sqref="F31">
    <cfRule type="expression" dxfId="232" priority="69" stopIfTrue="1">
      <formula>D31-E31&lt;5</formula>
    </cfRule>
  </conditionalFormatting>
  <conditionalFormatting sqref="F31">
    <cfRule type="expression" dxfId="231" priority="66" stopIfTrue="1">
      <formula>D31-E31&lt;5</formula>
    </cfRule>
  </conditionalFormatting>
  <conditionalFormatting sqref="D31">
    <cfRule type="expression" dxfId="230" priority="65" stopIfTrue="1">
      <formula>C31=""</formula>
    </cfRule>
  </conditionalFormatting>
  <conditionalFormatting sqref="F31">
    <cfRule type="expression" dxfId="229" priority="72" stopIfTrue="1">
      <formula>D31=""</formula>
    </cfRule>
  </conditionalFormatting>
  <conditionalFormatting sqref="F31">
    <cfRule type="expression" dxfId="228" priority="71" stopIfTrue="1">
      <formula>D31=""</formula>
    </cfRule>
  </conditionalFormatting>
  <conditionalFormatting sqref="D31">
    <cfRule type="expression" dxfId="227" priority="68" stopIfTrue="1">
      <formula>C31=""</formula>
    </cfRule>
  </conditionalFormatting>
  <conditionalFormatting sqref="F31">
    <cfRule type="expression" dxfId="226" priority="67" stopIfTrue="1">
      <formula>D31-E31&lt;5</formula>
    </cfRule>
  </conditionalFormatting>
  <conditionalFormatting sqref="F32">
    <cfRule type="expression" dxfId="225" priority="62" stopIfTrue="1">
      <formula>D32-E32&lt;5</formula>
    </cfRule>
  </conditionalFormatting>
  <conditionalFormatting sqref="F32">
    <cfRule type="expression" dxfId="224" priority="61" stopIfTrue="1">
      <formula>D32-E32&lt;5</formula>
    </cfRule>
  </conditionalFormatting>
  <conditionalFormatting sqref="F32">
    <cfRule type="expression" dxfId="223" priority="58" stopIfTrue="1">
      <formula>D32-E32&lt;5</formula>
    </cfRule>
  </conditionalFormatting>
  <conditionalFormatting sqref="D32">
    <cfRule type="expression" dxfId="222" priority="57" stopIfTrue="1">
      <formula>C32=""</formula>
    </cfRule>
  </conditionalFormatting>
  <conditionalFormatting sqref="F32">
    <cfRule type="expression" dxfId="221" priority="64" stopIfTrue="1">
      <formula>D32=""</formula>
    </cfRule>
  </conditionalFormatting>
  <conditionalFormatting sqref="F32">
    <cfRule type="expression" dxfId="220" priority="63" stopIfTrue="1">
      <formula>D32=""</formula>
    </cfRule>
  </conditionalFormatting>
  <conditionalFormatting sqref="D32">
    <cfRule type="expression" dxfId="219" priority="60" stopIfTrue="1">
      <formula>C32=""</formula>
    </cfRule>
  </conditionalFormatting>
  <conditionalFormatting sqref="F32">
    <cfRule type="expression" dxfId="218" priority="59" stopIfTrue="1">
      <formula>D32-E32&lt;5</formula>
    </cfRule>
  </conditionalFormatting>
  <conditionalFormatting sqref="F33">
    <cfRule type="expression" dxfId="217" priority="54" stopIfTrue="1">
      <formula>D33-E33&lt;5</formula>
    </cfRule>
  </conditionalFormatting>
  <conditionalFormatting sqref="F33">
    <cfRule type="expression" dxfId="216" priority="53" stopIfTrue="1">
      <formula>D33-E33&lt;5</formula>
    </cfRule>
  </conditionalFormatting>
  <conditionalFormatting sqref="F33">
    <cfRule type="expression" dxfId="215" priority="50" stopIfTrue="1">
      <formula>D33-E33&lt;5</formula>
    </cfRule>
  </conditionalFormatting>
  <conditionalFormatting sqref="D33">
    <cfRule type="expression" dxfId="214" priority="49" stopIfTrue="1">
      <formula>C33=""</formula>
    </cfRule>
  </conditionalFormatting>
  <conditionalFormatting sqref="F33">
    <cfRule type="expression" dxfId="213" priority="56" stopIfTrue="1">
      <formula>D33=""</formula>
    </cfRule>
  </conditionalFormatting>
  <conditionalFormatting sqref="F33">
    <cfRule type="expression" dxfId="212" priority="55" stopIfTrue="1">
      <formula>D33=""</formula>
    </cfRule>
  </conditionalFormatting>
  <conditionalFormatting sqref="D33">
    <cfRule type="expression" dxfId="211" priority="52" stopIfTrue="1">
      <formula>C33=""</formula>
    </cfRule>
  </conditionalFormatting>
  <conditionalFormatting sqref="F33">
    <cfRule type="expression" dxfId="210" priority="51" stopIfTrue="1">
      <formula>D33-E33&lt;5</formula>
    </cfRule>
  </conditionalFormatting>
  <conditionalFormatting sqref="F34">
    <cfRule type="expression" dxfId="209" priority="46" stopIfTrue="1">
      <formula>D34-E34&lt;5</formula>
    </cfRule>
  </conditionalFormatting>
  <conditionalFormatting sqref="F34">
    <cfRule type="expression" dxfId="208" priority="45" stopIfTrue="1">
      <formula>D34-E34&lt;5</formula>
    </cfRule>
  </conditionalFormatting>
  <conditionalFormatting sqref="F34">
    <cfRule type="expression" dxfId="207" priority="42" stopIfTrue="1">
      <formula>D34-E34&lt;5</formula>
    </cfRule>
  </conditionalFormatting>
  <conditionalFormatting sqref="D34">
    <cfRule type="expression" dxfId="206" priority="41" stopIfTrue="1">
      <formula>C34=""</formula>
    </cfRule>
  </conditionalFormatting>
  <conditionalFormatting sqref="F34">
    <cfRule type="expression" dxfId="205" priority="48" stopIfTrue="1">
      <formula>D34=""</formula>
    </cfRule>
  </conditionalFormatting>
  <conditionalFormatting sqref="F34">
    <cfRule type="expression" dxfId="204" priority="47" stopIfTrue="1">
      <formula>D34=""</formula>
    </cfRule>
  </conditionalFormatting>
  <conditionalFormatting sqref="D34">
    <cfRule type="expression" dxfId="203" priority="44" stopIfTrue="1">
      <formula>C34=""</formula>
    </cfRule>
  </conditionalFormatting>
  <conditionalFormatting sqref="F34">
    <cfRule type="expression" dxfId="202" priority="43" stopIfTrue="1">
      <formula>D34-E34&lt;5</formula>
    </cfRule>
  </conditionalFormatting>
  <conditionalFormatting sqref="K61">
    <cfRule type="expression" dxfId="201" priority="40" stopIfTrue="1">
      <formula>A61="nee"</formula>
    </cfRule>
  </conditionalFormatting>
  <conditionalFormatting sqref="K61">
    <cfRule type="expression" dxfId="200" priority="39" stopIfTrue="1">
      <formula>A61="nee"</formula>
    </cfRule>
  </conditionalFormatting>
  <conditionalFormatting sqref="E61">
    <cfRule type="cellIs" dxfId="199" priority="38" stopIfTrue="1" operator="equal">
      <formula>"voldoet niet"</formula>
    </cfRule>
  </conditionalFormatting>
  <conditionalFormatting sqref="K61">
    <cfRule type="expression" dxfId="198" priority="37" stopIfTrue="1">
      <formula>A61="nee"</formula>
    </cfRule>
  </conditionalFormatting>
  <conditionalFormatting sqref="K61">
    <cfRule type="expression" dxfId="197" priority="36" stopIfTrue="1">
      <formula>A61="nee"</formula>
    </cfRule>
  </conditionalFormatting>
  <conditionalFormatting sqref="I98:P102">
    <cfRule type="expression" dxfId="196" priority="35">
      <formula>$S$16&lt;&gt;1</formula>
    </cfRule>
  </conditionalFormatting>
  <conditionalFormatting sqref="N98:P102">
    <cfRule type="expression" dxfId="195" priority="34">
      <formula>$S$12="nader te bepalen"</formula>
    </cfRule>
  </conditionalFormatting>
  <conditionalFormatting sqref="F98:H103">
    <cfRule type="expression" dxfId="194" priority="33">
      <formula>$S$16=3</formula>
    </cfRule>
  </conditionalFormatting>
  <conditionalFormatting sqref="Q98:Q102">
    <cfRule type="expression" dxfId="193" priority="32">
      <formula>SUM(Q94:Q98)&lt;E99</formula>
    </cfRule>
  </conditionalFormatting>
  <conditionalFormatting sqref="P98">
    <cfRule type="expression" dxfId="192" priority="22" stopIfTrue="1">
      <formula>P98="-"</formula>
    </cfRule>
    <cfRule type="expression" dxfId="191" priority="27" stopIfTrue="1">
      <formula>P98&lt;H98</formula>
    </cfRule>
  </conditionalFormatting>
  <conditionalFormatting sqref="P99">
    <cfRule type="expression" dxfId="190" priority="23" stopIfTrue="1">
      <formula>P99="-"</formula>
    </cfRule>
    <cfRule type="expression" dxfId="189" priority="28" stopIfTrue="1">
      <formula>P99&lt;H99</formula>
    </cfRule>
  </conditionalFormatting>
  <conditionalFormatting sqref="P100">
    <cfRule type="expression" dxfId="188" priority="24" stopIfTrue="1">
      <formula>P100="-"</formula>
    </cfRule>
    <cfRule type="expression" dxfId="187" priority="29" stopIfTrue="1">
      <formula>P100&lt;H100</formula>
    </cfRule>
  </conditionalFormatting>
  <conditionalFormatting sqref="P101">
    <cfRule type="expression" dxfId="186" priority="25" stopIfTrue="1">
      <formula>P101="-"</formula>
    </cfRule>
    <cfRule type="expression" dxfId="185" priority="30" stopIfTrue="1">
      <formula>P101&lt;H101</formula>
    </cfRule>
  </conditionalFormatting>
  <conditionalFormatting sqref="P102">
    <cfRule type="expression" dxfId="184" priority="26" stopIfTrue="1">
      <formula>P102="-"</formula>
    </cfRule>
    <cfRule type="expression" dxfId="183" priority="31" stopIfTrue="1">
      <formula>P102&lt;H102</formula>
    </cfRule>
  </conditionalFormatting>
  <conditionalFormatting sqref="F103:H103">
    <cfRule type="containsText" dxfId="182" priority="21" operator="containsText" text="voldoet niet op VG-niveau">
      <formula>NOT(ISERROR(SEARCH("voldoet niet op VG-niveau",F103)))</formula>
    </cfRule>
  </conditionalFormatting>
  <conditionalFormatting sqref="K68">
    <cfRule type="expression" dxfId="181" priority="20" stopIfTrue="1">
      <formula>A68="nee"</formula>
    </cfRule>
  </conditionalFormatting>
  <conditionalFormatting sqref="K68">
    <cfRule type="expression" dxfId="180" priority="19" stopIfTrue="1">
      <formula>A68="nee"</formula>
    </cfRule>
  </conditionalFormatting>
  <conditionalFormatting sqref="E68">
    <cfRule type="cellIs" dxfId="179" priority="18" stopIfTrue="1" operator="equal">
      <formula>"voldoet niet"</formula>
    </cfRule>
  </conditionalFormatting>
  <conditionalFormatting sqref="K68">
    <cfRule type="expression" dxfId="178" priority="17" stopIfTrue="1">
      <formula>A68="nee"</formula>
    </cfRule>
  </conditionalFormatting>
  <conditionalFormatting sqref="K68">
    <cfRule type="expression" dxfId="177" priority="16" stopIfTrue="1">
      <formula>A68="nee"</formula>
    </cfRule>
  </conditionalFormatting>
  <conditionalFormatting sqref="I105:P109">
    <cfRule type="expression" dxfId="176" priority="15">
      <formula>$S$16&lt;&gt;1</formula>
    </cfRule>
  </conditionalFormatting>
  <conditionalFormatting sqref="N105:P109">
    <cfRule type="expression" dxfId="175" priority="14">
      <formula>$S$12="nader te bepalen"</formula>
    </cfRule>
  </conditionalFormatting>
  <conditionalFormatting sqref="F105:H110">
    <cfRule type="expression" dxfId="174" priority="13">
      <formula>$S$16=3</formula>
    </cfRule>
  </conditionalFormatting>
  <conditionalFormatting sqref="Q105:Q109">
    <cfRule type="expression" dxfId="173" priority="12">
      <formula>SUM(Q101:Q105)&lt;E106</formula>
    </cfRule>
  </conditionalFormatting>
  <conditionalFormatting sqref="P105">
    <cfRule type="expression" dxfId="172" priority="2" stopIfTrue="1">
      <formula>P105="-"</formula>
    </cfRule>
    <cfRule type="expression" dxfId="171" priority="7" stopIfTrue="1">
      <formula>P105&lt;H105</formula>
    </cfRule>
  </conditionalFormatting>
  <conditionalFormatting sqref="P106">
    <cfRule type="expression" dxfId="170" priority="3" stopIfTrue="1">
      <formula>P106="-"</formula>
    </cfRule>
    <cfRule type="expression" dxfId="169" priority="8" stopIfTrue="1">
      <formula>P106&lt;H106</formula>
    </cfRule>
  </conditionalFormatting>
  <conditionalFormatting sqref="P107">
    <cfRule type="expression" dxfId="168" priority="4" stopIfTrue="1">
      <formula>P107="-"</formula>
    </cfRule>
    <cfRule type="expression" dxfId="167" priority="9" stopIfTrue="1">
      <formula>P107&lt;H107</formula>
    </cfRule>
  </conditionalFormatting>
  <conditionalFormatting sqref="P108">
    <cfRule type="expression" dxfId="166" priority="5" stopIfTrue="1">
      <formula>P108="-"</formula>
    </cfRule>
    <cfRule type="expression" dxfId="165" priority="10" stopIfTrue="1">
      <formula>P108&lt;H108</formula>
    </cfRule>
  </conditionalFormatting>
  <conditionalFormatting sqref="P109">
    <cfRule type="expression" dxfId="164" priority="6" stopIfTrue="1">
      <formula>P109="-"</formula>
    </cfRule>
    <cfRule type="expression" dxfId="163" priority="11" stopIfTrue="1">
      <formula>P109&lt;H109</formula>
    </cfRule>
  </conditionalFormatting>
  <conditionalFormatting sqref="F110:H110">
    <cfRule type="containsText" dxfId="162" priority="1" operator="containsText" text="voldoet niet op VG-niveau">
      <formula>NOT(ISERROR(SEARCH("voldoet niet op VG-niveau",F110)))</formula>
    </cfRule>
  </conditionalFormatting>
  <dataValidations disablePrompts="1" count="7">
    <dataValidation type="list" allowBlank="1" showInputMessage="1" showErrorMessage="1" sqref="N113:O116 N84:O88 N91:O95 N98:O102 N105:O109" xr:uid="{0406567C-03FE-4F0C-8840-43961B1DD971}">
      <formula1>INDIRECT($S$12)</formula1>
    </dataValidation>
    <dataValidation type="list" allowBlank="1" showInputMessage="1" showErrorMessage="1" sqref="F113:F116 F84:F88 F91:F95 F98:F102 F105:F109" xr:uid="{051AFA7A-71CB-47D0-A8EF-DCBA60DD7822}">
      <formula1>$T$16:$T$18</formula1>
    </dataValidation>
    <dataValidation type="list" allowBlank="1" showInputMessage="1" showErrorMessage="1" sqref="D74:G74" xr:uid="{72B23AE7-5961-4670-B3F2-D89EB115EF3F}">
      <formula1>PD_TypeVentilatie</formula1>
    </dataValidation>
    <dataValidation type="list" allowBlank="1" showInputMessage="1" showErrorMessage="1" sqref="D75:G75" xr:uid="{B1353D68-31F5-4435-A310-3047E93D855A}">
      <formula1>PD_RoosterFabrikant</formula1>
    </dataValidation>
    <dataValidation type="list" allowBlank="1" showInputMessage="1" showErrorMessage="1" sqref="D72:G72" xr:uid="{AE63C744-A1FC-413D-BF4B-0C06A58E30DD}">
      <formula1>PD_Uitgangspunten</formula1>
    </dataValidation>
    <dataValidation type="list" allowBlank="1" showInputMessage="1" showErrorMessage="1" sqref="H72:M72" xr:uid="{A58051EC-EB90-4AA0-84A1-6C14A2C86A0B}">
      <formula1>PD_70procent</formula1>
    </dataValidation>
    <dataValidation type="whole" operator="greaterThan" allowBlank="1" showInputMessage="1" showErrorMessage="1" errorTitle="Getal invoeren" error="Voer een getal in om het verblijfsgebied aan te geven." sqref="C29:C34" xr:uid="{1249FBE3-FEAC-4A6C-8291-2C379817E961}">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70"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2753"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202754"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202755" r:id="rId7" name="Button 9">
              <controlPr defaultSize="0" print="0" autoFill="0" autoPict="0" macro="[0]!daglichtad1">
                <anchor moveWithCells="1" sizeWithCells="1">
                  <from>
                    <xdr:col>14</xdr:col>
                    <xdr:colOff>182880</xdr:colOff>
                    <xdr:row>37</xdr:row>
                    <xdr:rowOff>7620</xdr:rowOff>
                  </from>
                  <to>
                    <xdr:col>15</xdr:col>
                    <xdr:colOff>792480</xdr:colOff>
                    <xdr:row>38</xdr:row>
                    <xdr:rowOff>0</xdr:rowOff>
                  </to>
                </anchor>
              </controlPr>
            </control>
          </mc:Choice>
        </mc:AlternateContent>
        <mc:AlternateContent xmlns:mc="http://schemas.openxmlformats.org/markup-compatibility/2006">
          <mc:Choice Requires="x14">
            <control shapeId="202756" r:id="rId8" name="Button 11">
              <controlPr defaultSize="0" print="0" autoFill="0" autoPict="0" macro="[0]!spuiad1">
                <anchor moveWithCells="1" sizeWithCells="1">
                  <from>
                    <xdr:col>14</xdr:col>
                    <xdr:colOff>137160</xdr:colOff>
                    <xdr:row>179</xdr:row>
                    <xdr:rowOff>7620</xdr:rowOff>
                  </from>
                  <to>
                    <xdr:col>15</xdr:col>
                    <xdr:colOff>746760</xdr:colOff>
                    <xdr:row>180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D3EAC-591D-4099-8AB4-3EFA1B510D0A}">
  <sheetPr codeName="Blad25">
    <tabColor indexed="11"/>
    <pageSetUpPr fitToPage="1"/>
  </sheetPr>
  <dimension ref="A1:AQ184"/>
  <sheetViews>
    <sheetView view="pageBreakPreview" topLeftCell="C4" zoomScale="85" zoomScaleNormal="100" zoomScaleSheetLayoutView="85" workbookViewId="0">
      <selection activeCell="D36" sqref="D36"/>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697</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1 grote dakkapel achter</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7</v>
      </c>
      <c r="T7" s="519"/>
      <c r="U7" s="516"/>
      <c r="V7" s="517"/>
      <c r="W7" s="517"/>
      <c r="X7" s="517"/>
      <c r="AC7" s="500"/>
      <c r="AF7" s="498"/>
    </row>
    <row r="8" spans="1:34" s="518" customFormat="1" ht="12" customHeight="1">
      <c r="A8" s="515"/>
      <c r="B8" s="515"/>
      <c r="C8" s="387" t="s">
        <v>691</v>
      </c>
      <c r="D8" s="796" t="s">
        <v>1143</v>
      </c>
      <c r="E8" s="796"/>
      <c r="F8" s="796"/>
      <c r="G8" s="389"/>
      <c r="H8" s="390"/>
      <c r="I8" s="390"/>
      <c r="J8" s="390"/>
      <c r="K8" s="391"/>
      <c r="L8" s="391"/>
      <c r="M8" s="391"/>
      <c r="N8" s="391"/>
      <c r="O8" s="391"/>
      <c r="P8" s="391"/>
      <c r="Q8" s="516"/>
      <c r="R8" s="516" t="s">
        <v>254</v>
      </c>
      <c r="S8" s="512">
        <f>COUNTA(X:X)</f>
        <v>7</v>
      </c>
      <c r="T8" s="519"/>
      <c r="U8" s="516"/>
      <c r="V8" s="517"/>
      <c r="W8" s="517"/>
      <c r="X8" s="517"/>
      <c r="AC8" s="500"/>
      <c r="AF8" s="498"/>
    </row>
    <row r="9" spans="1:34" s="518" customFormat="1" ht="12" customHeight="1">
      <c r="A9" s="515"/>
      <c r="B9" s="515"/>
      <c r="C9" s="387" t="s">
        <v>692</v>
      </c>
      <c r="D9" s="396" t="s">
        <v>1129</v>
      </c>
      <c r="E9" s="388"/>
      <c r="F9" s="388"/>
      <c r="G9" s="392" t="s">
        <v>1041</v>
      </c>
      <c r="H9" s="393"/>
      <c r="I9" s="784">
        <v>45028</v>
      </c>
      <c r="J9" s="390"/>
      <c r="K9" s="391"/>
      <c r="L9" s="391"/>
      <c r="M9" s="391"/>
      <c r="N9" s="391"/>
      <c r="O9" s="391"/>
      <c r="P9" s="391"/>
      <c r="Q9" s="516"/>
      <c r="R9" s="516" t="s">
        <v>253</v>
      </c>
      <c r="S9" s="520">
        <f>COUNTA(C28:C37)-1</f>
        <v>3</v>
      </c>
      <c r="T9" s="519"/>
      <c r="U9" s="516"/>
      <c r="V9" s="517"/>
      <c r="W9" s="517"/>
      <c r="X9" s="517"/>
      <c r="AC9" s="500"/>
      <c r="AF9" s="498"/>
    </row>
    <row r="10" spans="1:34" s="518" customFormat="1" ht="12" customHeight="1">
      <c r="A10" s="515"/>
      <c r="B10" s="515"/>
      <c r="C10" s="387" t="s">
        <v>693</v>
      </c>
      <c r="D10" s="396" t="s">
        <v>1145</v>
      </c>
      <c r="E10" s="388"/>
      <c r="F10" s="388"/>
      <c r="G10" s="395"/>
      <c r="H10" s="393"/>
      <c r="I10" s="396" t="s">
        <v>1144</v>
      </c>
      <c r="J10" s="390"/>
      <c r="K10" s="391"/>
      <c r="L10" s="391"/>
      <c r="M10" s="391"/>
      <c r="N10" s="391"/>
      <c r="O10" s="391"/>
      <c r="P10" s="391"/>
      <c r="Q10" s="516"/>
      <c r="R10" s="516" t="s">
        <v>253</v>
      </c>
      <c r="S10" s="512">
        <f>MAX(U:W)</f>
        <v>3</v>
      </c>
      <c r="T10" s="519"/>
      <c r="U10" s="516"/>
      <c r="V10" s="517"/>
      <c r="W10" s="517"/>
      <c r="X10" s="517"/>
      <c r="AC10" s="500"/>
      <c r="AF10" s="498"/>
    </row>
    <row r="11" spans="1:34" s="518" customFormat="1" ht="12" customHeight="1">
      <c r="A11" s="515"/>
      <c r="B11" s="515"/>
      <c r="C11" s="387" t="s">
        <v>694</v>
      </c>
      <c r="D11" s="797">
        <v>45028</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D68</f>
        <v>nader te bepalen</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1146</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10.81</v>
      </c>
      <c r="M16" s="411"/>
      <c r="N16" s="409"/>
      <c r="O16" s="412"/>
      <c r="P16" s="412"/>
      <c r="Q16" s="525"/>
      <c r="R16" s="526"/>
      <c r="S16" s="527">
        <f>IF(D65="berekening op basis van minimale capaciteit",3,IF(D67="systeem A - natuurlijke toevoer &amp;  afvoer",1,IF(D67="systeem C - natuurlijke toevoer &amp; mechanische afvoer",1,2)))</f>
        <v>2</v>
      </c>
      <c r="T16" s="516" t="str">
        <f>IF(S16=1,"NT","MT")</f>
        <v>MT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156.73000000000002</v>
      </c>
      <c r="G17" s="403"/>
      <c r="H17" s="414"/>
      <c r="I17" s="404"/>
      <c r="J17" s="408" t="s">
        <v>687</v>
      </c>
      <c r="K17" s="409"/>
      <c r="L17" s="410">
        <v>68.98</v>
      </c>
      <c r="M17" s="415"/>
      <c r="N17" s="409"/>
      <c r="O17" s="404"/>
      <c r="P17" s="416"/>
      <c r="Q17" s="525"/>
      <c r="R17" s="526"/>
      <c r="S17" s="527">
        <f>IF(D68="nader te bepalen",1,2)</f>
        <v>1</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86.20150000000001</v>
      </c>
      <c r="G18" s="417"/>
      <c r="H18" s="418"/>
      <c r="I18" s="419"/>
      <c r="J18" s="408" t="s">
        <v>688</v>
      </c>
      <c r="K18" s="409"/>
      <c r="L18" s="410">
        <v>76.94</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F36</f>
        <v>87.949999999999989</v>
      </c>
      <c r="G19" s="420" t="s">
        <v>661</v>
      </c>
      <c r="H19" s="421">
        <f>IF(OR(F17=0,F19=0),0,F19/F17)</f>
        <v>0.56115612837363604</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ja, &gt;=55% &amp; VG &gt;= 18m²</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2</v>
      </c>
      <c r="I22" s="805"/>
      <c r="J22" s="427" t="str">
        <f>IF(H22&lt;F22,"voldoet niet","")</f>
        <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1</v>
      </c>
      <c r="I23" s="805"/>
      <c r="J23" s="427" t="str">
        <f>IF(H23&lt;F23,"voldoet niet","")</f>
        <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28.45</v>
      </c>
      <c r="E28" s="433">
        <f>IF(C28="","",SUMPRODUCT(($Y$1:$Y$28047)*($U$1:$U$28047=C28)))</f>
        <v>0</v>
      </c>
      <c r="F28" s="799">
        <f>IF(E28="","",IF(SUMPRODUCT(($AD$1:$AD$28102)*($AC$1:$AC$28102=C28))-E28&lt;verzamelblad!$AG$7,"&lt; " &amp; verzamelblad!$AG$7 &amp; " m², geen VG",SUMPRODUCT(($AD$1:$AD$28102)*($AC$1:$AC$28102=C28))-E28))</f>
        <v>28.45</v>
      </c>
      <c r="G28" s="799"/>
      <c r="H28" s="434">
        <f>IF(C28="","",0)</f>
        <v>0</v>
      </c>
      <c r="I28" s="435"/>
      <c r="J28" s="800">
        <f t="shared" ref="J28:J34" si="0">A28</f>
        <v>1</v>
      </c>
      <c r="K28" s="800"/>
      <c r="L28" s="436" t="s">
        <v>1147</v>
      </c>
      <c r="M28" s="436"/>
      <c r="N28" s="801">
        <v>28.45</v>
      </c>
      <c r="O28" s="801"/>
      <c r="P28" s="437"/>
      <c r="Q28" s="392"/>
      <c r="R28" s="516"/>
      <c r="S28" s="516"/>
      <c r="T28" s="521"/>
      <c r="U28" s="516"/>
      <c r="V28" s="517"/>
      <c r="W28" s="517"/>
      <c r="X28" s="536">
        <f t="shared" ref="X28:X34" si="1">A28</f>
        <v>1</v>
      </c>
      <c r="Y28" s="517"/>
      <c r="Z28" s="517"/>
      <c r="AA28" s="517"/>
      <c r="AB28" s="517"/>
      <c r="AC28" s="537">
        <f t="shared" ref="AC28" si="2">IF(C28&lt;&gt;"",C28,AC27)</f>
        <v>1</v>
      </c>
      <c r="AD28" s="538">
        <f>IF(C28&lt;&gt;"",D28+H28,0)</f>
        <v>28.45</v>
      </c>
      <c r="AE28" s="539">
        <f t="shared" ref="AE28:AE34" si="3">N28</f>
        <v>28.45</v>
      </c>
      <c r="AF28" s="540"/>
      <c r="AG28" s="517"/>
      <c r="AH28" s="535"/>
    </row>
    <row r="29" spans="1:34" s="518" customFormat="1" ht="12" customHeight="1">
      <c r="A29" s="527">
        <f t="shared" ref="A29:A34" si="4">A28+1</f>
        <v>2</v>
      </c>
      <c r="B29" s="515" t="s">
        <v>258</v>
      </c>
      <c r="C29" s="438">
        <v>2</v>
      </c>
      <c r="D29" s="432">
        <v>22.4</v>
      </c>
      <c r="E29" s="725">
        <f>IF(C29="","",SUMPRODUCT(($Y$1:$Y$28153)*($U$1:$U$28153=C29)))</f>
        <v>0</v>
      </c>
      <c r="F29" s="802">
        <f>IF(E29="","",IF(SUMPRODUCT(($AD$1:$AD$28153)*($AC$1:$AC$28153=C29))-E29&lt;verzamelblad!$AG$7,"&lt; " &amp; verzamelblad!$AG$7 &amp; " m², geen VG",SUMPRODUCT(($AD$1:$AD$28153)*($AC$1:$AC$28153=C29))-E29))</f>
        <v>22.4</v>
      </c>
      <c r="G29" s="802"/>
      <c r="H29" s="434">
        <f t="shared" ref="H29:H34" si="5">IF(C29="","",0)</f>
        <v>0</v>
      </c>
      <c r="I29" s="439"/>
      <c r="J29" s="803">
        <f t="shared" si="0"/>
        <v>2</v>
      </c>
      <c r="K29" s="803"/>
      <c r="L29" s="440" t="s">
        <v>727</v>
      </c>
      <c r="M29" s="440"/>
      <c r="N29" s="804">
        <v>15.1</v>
      </c>
      <c r="O29" s="804"/>
      <c r="P29" s="441"/>
      <c r="Q29" s="404"/>
      <c r="R29" s="541"/>
      <c r="S29" s="541"/>
      <c r="T29" s="521"/>
      <c r="U29" s="516"/>
      <c r="V29" s="517"/>
      <c r="W29" s="517"/>
      <c r="X29" s="536">
        <f t="shared" si="1"/>
        <v>2</v>
      </c>
      <c r="Y29" s="517"/>
      <c r="Z29" s="517"/>
      <c r="AA29" s="517"/>
      <c r="AB29" s="517"/>
      <c r="AC29" s="537">
        <f>IF(C29&lt;&gt;"",C29,AC28)</f>
        <v>2</v>
      </c>
      <c r="AD29" s="538">
        <f t="shared" ref="AD29:AD34" si="6">IF(C29&lt;&gt;"",D29+H29,0)</f>
        <v>22.4</v>
      </c>
      <c r="AE29" s="539">
        <f t="shared" si="3"/>
        <v>15.1</v>
      </c>
      <c r="AF29" s="540"/>
      <c r="AG29" s="517"/>
      <c r="AH29" s="535"/>
    </row>
    <row r="30" spans="1:34" s="518" customFormat="1" ht="12" customHeight="1">
      <c r="A30" s="542">
        <f t="shared" si="4"/>
        <v>3</v>
      </c>
      <c r="B30" s="543" t="s">
        <v>258</v>
      </c>
      <c r="C30" s="438"/>
      <c r="D30" s="740">
        <v>0</v>
      </c>
      <c r="E30" s="725" t="str">
        <f>IF(C30="","",SUMPRODUCT(($Y$1:$Y$28212)*($U$1:$U$28212=C30)))</f>
        <v/>
      </c>
      <c r="F30" s="802" t="str">
        <f>IF(E30="","",IF(SUMPRODUCT(($AD$1:$AD$28212)*($AC$1:$AC$28212=C30))-E30&lt;verzamelblad!$AG$7,"&lt; " &amp; verzamelblad!$AG$7 &amp; " m², geen VG",SUMPRODUCT(($AD$1:$AD$28212)*($AC$1:$AC$28212=C30))-E30))</f>
        <v/>
      </c>
      <c r="G30" s="802"/>
      <c r="H30" s="756" t="str">
        <f t="shared" si="5"/>
        <v/>
      </c>
      <c r="I30" s="439"/>
      <c r="J30" s="803">
        <f t="shared" si="0"/>
        <v>3</v>
      </c>
      <c r="K30" s="803"/>
      <c r="L30" s="440" t="s">
        <v>1149</v>
      </c>
      <c r="M30" s="440"/>
      <c r="N30" s="804">
        <v>5.96</v>
      </c>
      <c r="O30" s="804"/>
      <c r="P30" s="441"/>
      <c r="Q30" s="404"/>
      <c r="R30" s="404"/>
      <c r="S30" s="404"/>
      <c r="T30" s="544"/>
      <c r="U30" s="392"/>
      <c r="V30" s="545"/>
      <c r="W30" s="545"/>
      <c r="X30" s="757">
        <f t="shared" si="1"/>
        <v>3</v>
      </c>
      <c r="Y30" s="545"/>
      <c r="Z30" s="545"/>
      <c r="AA30" s="546"/>
      <c r="AB30" s="517"/>
      <c r="AC30" s="537">
        <f t="shared" ref="AC30:AC34" si="7">IF(C30&lt;&gt;"",C30,AC29)</f>
        <v>2</v>
      </c>
      <c r="AD30" s="538">
        <f t="shared" si="6"/>
        <v>0</v>
      </c>
      <c r="AE30" s="539">
        <f t="shared" si="3"/>
        <v>5.96</v>
      </c>
      <c r="AF30" s="517"/>
      <c r="AG30" s="517">
        <f>IF(P30="ja",1,0)</f>
        <v>0</v>
      </c>
      <c r="AH30" s="535"/>
    </row>
    <row r="31" spans="1:34" s="518" customFormat="1" ht="12" customHeight="1">
      <c r="A31" s="542">
        <f t="shared" si="4"/>
        <v>4</v>
      </c>
      <c r="B31" s="543" t="s">
        <v>258</v>
      </c>
      <c r="C31" s="438">
        <v>3</v>
      </c>
      <c r="D31" s="740">
        <v>37.1</v>
      </c>
      <c r="E31" s="725">
        <f>IF(C31="","",SUMPRODUCT(($Y$1:$Y$28211)*($U$1:$U$28211=C31)))</f>
        <v>0</v>
      </c>
      <c r="F31" s="802">
        <f>IF(E31="","",IF(SUMPRODUCT(($AD$1:$AD$28211)*($AC$1:$AC$28211=C31))-E31&lt;verzamelblad!$AG$7,"&lt; " &amp; verzamelblad!$AG$7 &amp; " m², geen VG",SUMPRODUCT(($AD$1:$AD$28211)*($AC$1:$AC$28211=C31))-E31))</f>
        <v>37.1</v>
      </c>
      <c r="G31" s="802"/>
      <c r="H31" s="756">
        <f t="shared" si="5"/>
        <v>0</v>
      </c>
      <c r="I31" s="439"/>
      <c r="J31" s="803">
        <f t="shared" si="0"/>
        <v>4</v>
      </c>
      <c r="K31" s="803"/>
      <c r="L31" s="440" t="s">
        <v>742</v>
      </c>
      <c r="M31" s="440"/>
      <c r="N31" s="804">
        <v>15.87</v>
      </c>
      <c r="O31" s="804"/>
      <c r="P31" s="441"/>
      <c r="Q31" s="404"/>
      <c r="R31" s="404"/>
      <c r="S31" s="404"/>
      <c r="T31" s="544"/>
      <c r="U31" s="392"/>
      <c r="V31" s="545"/>
      <c r="W31" s="545"/>
      <c r="X31" s="757">
        <f t="shared" si="1"/>
        <v>4</v>
      </c>
      <c r="Y31" s="545"/>
      <c r="Z31" s="545"/>
      <c r="AA31" s="546"/>
      <c r="AB31" s="517"/>
      <c r="AC31" s="537">
        <f t="shared" si="7"/>
        <v>3</v>
      </c>
      <c r="AD31" s="538">
        <f t="shared" si="6"/>
        <v>37.1</v>
      </c>
      <c r="AE31" s="539">
        <f t="shared" si="3"/>
        <v>15.87</v>
      </c>
      <c r="AF31" s="517"/>
      <c r="AG31" s="517">
        <f>IF(P31="ja",1,0)</f>
        <v>0</v>
      </c>
      <c r="AH31" s="535"/>
    </row>
    <row r="32" spans="1:34" s="518" customFormat="1" ht="12" customHeight="1">
      <c r="A32" s="542">
        <f t="shared" si="4"/>
        <v>5</v>
      </c>
      <c r="B32" s="543" t="s">
        <v>258</v>
      </c>
      <c r="C32" s="438"/>
      <c r="D32" s="740">
        <v>0</v>
      </c>
      <c r="E32" s="725" t="str">
        <f>IF(C32="","",SUMPRODUCT(($Y$1:$Y$28224)*($U$1:$U$28224=C32)))</f>
        <v/>
      </c>
      <c r="F32" s="802" t="str">
        <f>IF(E32="","",IF(SUMPRODUCT(($AD$1:$AD$28224)*($AC$1:$AC$28224=C32))-E32&lt;verzamelblad!$AG$7,"&lt; " &amp; verzamelblad!$AG$7 &amp; " m², geen VG",SUMPRODUCT(($AD$1:$AD$28224)*($AC$1:$AC$28224=C32))-E32))</f>
        <v/>
      </c>
      <c r="G32" s="802"/>
      <c r="H32" s="756" t="str">
        <f t="shared" si="5"/>
        <v/>
      </c>
      <c r="I32" s="439"/>
      <c r="J32" s="803">
        <f t="shared" si="0"/>
        <v>5</v>
      </c>
      <c r="K32" s="803"/>
      <c r="L32" s="440" t="s">
        <v>1131</v>
      </c>
      <c r="M32" s="440"/>
      <c r="N32" s="804">
        <v>7.47</v>
      </c>
      <c r="O32" s="804"/>
      <c r="P32" s="441"/>
      <c r="Q32" s="404"/>
      <c r="R32" s="404"/>
      <c r="S32" s="404"/>
      <c r="T32" s="544"/>
      <c r="U32" s="392"/>
      <c r="V32" s="545"/>
      <c r="W32" s="545"/>
      <c r="X32" s="757">
        <f t="shared" si="1"/>
        <v>5</v>
      </c>
      <c r="Y32" s="545"/>
      <c r="Z32" s="545"/>
      <c r="AA32" s="546"/>
      <c r="AB32" s="517"/>
      <c r="AC32" s="537">
        <f t="shared" si="7"/>
        <v>3</v>
      </c>
      <c r="AD32" s="538">
        <f t="shared" si="6"/>
        <v>0</v>
      </c>
      <c r="AE32" s="539">
        <f t="shared" si="3"/>
        <v>7.47</v>
      </c>
      <c r="AF32" s="517"/>
      <c r="AG32" s="517">
        <f>IF(P32="ja",1,0)</f>
        <v>0</v>
      </c>
      <c r="AH32" s="535"/>
    </row>
    <row r="33" spans="1:34" s="518" customFormat="1" ht="12" customHeight="1">
      <c r="A33" s="542">
        <f t="shared" si="4"/>
        <v>6</v>
      </c>
      <c r="B33" s="543" t="s">
        <v>258</v>
      </c>
      <c r="C33" s="438"/>
      <c r="D33" s="740">
        <v>0</v>
      </c>
      <c r="E33" s="725" t="str">
        <f>IF(C33="","",SUMPRODUCT(($Y$1:$Y$28223)*($U$1:$U$28223=C33)))</f>
        <v/>
      </c>
      <c r="F33" s="802" t="str">
        <f>IF(E33="","",IF(SUMPRODUCT(($AD$1:$AD$28223)*($AC$1:$AC$28223=C33))-E33&lt;verzamelblad!$AG$7,"&lt; " &amp; verzamelblad!$AG$7 &amp; " m², geen VG",SUMPRODUCT(($AD$1:$AD$28223)*($AC$1:$AC$28223=C33))-E33))</f>
        <v/>
      </c>
      <c r="G33" s="802"/>
      <c r="H33" s="756" t="str">
        <f t="shared" si="5"/>
        <v/>
      </c>
      <c r="I33" s="439"/>
      <c r="J33" s="803">
        <f t="shared" si="0"/>
        <v>6</v>
      </c>
      <c r="K33" s="803"/>
      <c r="L33" s="440" t="s">
        <v>1148</v>
      </c>
      <c r="M33" s="440"/>
      <c r="N33" s="804">
        <v>3.66</v>
      </c>
      <c r="O33" s="804"/>
      <c r="P33" s="441"/>
      <c r="Q33" s="404"/>
      <c r="R33" s="404"/>
      <c r="S33" s="404"/>
      <c r="T33" s="544"/>
      <c r="U33" s="392"/>
      <c r="V33" s="545"/>
      <c r="W33" s="545"/>
      <c r="X33" s="757">
        <f t="shared" si="1"/>
        <v>6</v>
      </c>
      <c r="Y33" s="545"/>
      <c r="Z33" s="545"/>
      <c r="AA33" s="546"/>
      <c r="AB33" s="517"/>
      <c r="AC33" s="537">
        <f t="shared" si="7"/>
        <v>3</v>
      </c>
      <c r="AD33" s="538">
        <f t="shared" si="6"/>
        <v>0</v>
      </c>
      <c r="AE33" s="539">
        <f t="shared" si="3"/>
        <v>3.66</v>
      </c>
      <c r="AF33" s="517"/>
      <c r="AG33" s="517">
        <f>IF(P33="ja",1,0)</f>
        <v>0</v>
      </c>
      <c r="AH33" s="535"/>
    </row>
    <row r="34" spans="1:34" s="518" customFormat="1" ht="12" customHeight="1">
      <c r="A34" s="542">
        <f t="shared" si="4"/>
        <v>7</v>
      </c>
      <c r="B34" s="543" t="s">
        <v>258</v>
      </c>
      <c r="C34" s="438"/>
      <c r="D34" s="740">
        <v>6</v>
      </c>
      <c r="E34" s="725" t="str">
        <f>IF(C34="","",SUMPRODUCT(($Y$1:$Y$28222)*($U$1:$U$28222=C34)))</f>
        <v/>
      </c>
      <c r="F34" s="802" t="str">
        <f>IF(E34="","",IF(SUMPRODUCT(($AD$1:$AD$28222)*($AC$1:$AC$28222=C34))-E34&lt;verzamelblad!$AG$7,"&lt; " &amp; verzamelblad!$AG$7 &amp; " m², geen VG",SUMPRODUCT(($AD$1:$AD$28222)*($AC$1:$AC$28222=C34))-E34))</f>
        <v/>
      </c>
      <c r="G34" s="802"/>
      <c r="H34" s="756" t="str">
        <f t="shared" si="5"/>
        <v/>
      </c>
      <c r="I34" s="439"/>
      <c r="J34" s="803">
        <f t="shared" si="0"/>
        <v>7</v>
      </c>
      <c r="K34" s="803"/>
      <c r="L34" s="440" t="s">
        <v>1132</v>
      </c>
      <c r="M34" s="440"/>
      <c r="N34" s="804">
        <v>9.34</v>
      </c>
      <c r="O34" s="804"/>
      <c r="P34" s="441"/>
      <c r="Q34" s="404"/>
      <c r="R34" s="404"/>
      <c r="S34" s="404"/>
      <c r="T34" s="544"/>
      <c r="U34" s="392"/>
      <c r="V34" s="545"/>
      <c r="W34" s="545"/>
      <c r="X34" s="757">
        <f t="shared" si="1"/>
        <v>7</v>
      </c>
      <c r="Y34" s="545"/>
      <c r="Z34" s="545"/>
      <c r="AA34" s="546"/>
      <c r="AB34" s="517"/>
      <c r="AC34" s="537">
        <f t="shared" si="7"/>
        <v>3</v>
      </c>
      <c r="AD34" s="538">
        <f t="shared" si="6"/>
        <v>0</v>
      </c>
      <c r="AE34" s="539">
        <f t="shared" si="3"/>
        <v>9.34</v>
      </c>
      <c r="AF34" s="517"/>
      <c r="AG34" s="517">
        <f>IF(P34="ja",1,0)</f>
        <v>0</v>
      </c>
      <c r="AH34" s="535"/>
    </row>
    <row r="35" spans="1:34" ht="12" customHeight="1">
      <c r="A35" s="492"/>
      <c r="B35" s="492"/>
      <c r="C35" s="442"/>
      <c r="D35" s="443"/>
      <c r="E35" s="443"/>
      <c r="F35" s="443"/>
      <c r="G35" s="444"/>
      <c r="H35" s="444"/>
      <c r="I35" s="444"/>
      <c r="J35" s="444"/>
      <c r="K35" s="445"/>
      <c r="L35" s="445"/>
      <c r="M35" s="445"/>
      <c r="N35" s="445"/>
      <c r="O35" s="445"/>
      <c r="P35" s="445"/>
      <c r="Q35" s="547"/>
      <c r="R35" s="516"/>
      <c r="S35" s="515"/>
      <c r="T35" s="532"/>
      <c r="U35" s="507"/>
      <c r="V35" s="508"/>
      <c r="W35" s="508"/>
      <c r="X35" s="508"/>
      <c r="Y35" s="508"/>
      <c r="Z35" s="508"/>
      <c r="AA35" s="508"/>
      <c r="AB35" s="508"/>
      <c r="AC35" s="524"/>
      <c r="AD35" s="508"/>
      <c r="AE35" s="517"/>
      <c r="AF35" s="508"/>
      <c r="AG35" s="508"/>
    </row>
    <row r="36" spans="1:34" ht="12" customHeight="1">
      <c r="A36" s="492"/>
      <c r="B36" s="492"/>
      <c r="C36" s="446" t="s">
        <v>16</v>
      </c>
      <c r="D36" s="728">
        <f>SUM(D24:D35)</f>
        <v>93.949999999999989</v>
      </c>
      <c r="E36" s="447"/>
      <c r="F36" s="808">
        <f>SUM(F24:F35)</f>
        <v>87.949999999999989</v>
      </c>
      <c r="G36" s="808"/>
      <c r="H36" s="448"/>
      <c r="I36" s="448"/>
      <c r="J36" s="728"/>
      <c r="K36" s="449"/>
      <c r="L36" s="450"/>
      <c r="M36" s="404"/>
      <c r="N36" s="728">
        <f>SUM(N24:N35)</f>
        <v>85.85</v>
      </c>
      <c r="O36" s="451"/>
      <c r="P36" s="452"/>
      <c r="Q36" s="452"/>
      <c r="R36" s="516"/>
      <c r="S36" s="515"/>
      <c r="T36" s="532"/>
      <c r="U36" s="507"/>
      <c r="V36" s="508"/>
      <c r="W36" s="508"/>
      <c r="X36" s="508"/>
      <c r="Y36" s="508"/>
      <c r="Z36" s="508"/>
      <c r="AA36" s="508"/>
      <c r="AB36" s="508"/>
      <c r="AC36" s="524"/>
      <c r="AD36" s="508"/>
      <c r="AE36" s="517"/>
      <c r="AF36" s="508"/>
      <c r="AG36" s="508"/>
      <c r="AH36" s="508"/>
    </row>
    <row r="37" spans="1:34" ht="12" customHeight="1">
      <c r="A37" s="492"/>
      <c r="B37" s="492"/>
      <c r="C37" s="453"/>
      <c r="D37" s="454"/>
      <c r="E37" s="454"/>
      <c r="F37" s="454"/>
      <c r="G37" s="455"/>
      <c r="H37" s="455"/>
      <c r="I37" s="455"/>
      <c r="J37" s="455"/>
      <c r="K37" s="456"/>
      <c r="L37" s="456"/>
      <c r="M37" s="456"/>
      <c r="N37" s="456"/>
      <c r="O37" s="456"/>
      <c r="P37" s="456"/>
      <c r="Q37" s="547"/>
      <c r="R37" s="516"/>
      <c r="S37" s="515"/>
      <c r="T37" s="532"/>
      <c r="U37" s="507"/>
      <c r="V37" s="508"/>
      <c r="W37" s="508"/>
      <c r="X37" s="508"/>
      <c r="Y37" s="508"/>
      <c r="Z37" s="508"/>
      <c r="AA37" s="508"/>
      <c r="AB37" s="508"/>
      <c r="AC37" s="524"/>
      <c r="AD37" s="508"/>
      <c r="AE37" s="517"/>
      <c r="AF37" s="508"/>
      <c r="AG37" s="508"/>
    </row>
    <row r="38" spans="1:34" s="518" customFormat="1" ht="15" customHeight="1">
      <c r="A38" s="515"/>
      <c r="B38" s="515"/>
      <c r="C38" s="457" t="s">
        <v>1083</v>
      </c>
      <c r="D38" s="457"/>
      <c r="E38" s="457"/>
      <c r="F38" s="457"/>
      <c r="G38" s="457"/>
      <c r="H38" s="457"/>
      <c r="I38" s="457"/>
      <c r="J38" s="457"/>
      <c r="K38" s="457"/>
      <c r="L38" s="457"/>
      <c r="M38" s="457"/>
      <c r="N38" s="457"/>
      <c r="O38" s="457"/>
      <c r="P38" s="457"/>
      <c r="Q38" s="522"/>
      <c r="R38" s="516"/>
      <c r="S38" s="516"/>
      <c r="T38" s="516"/>
      <c r="U38" s="516"/>
      <c r="V38" s="517"/>
      <c r="W38" s="548"/>
      <c r="X38" s="548"/>
      <c r="Y38" s="548"/>
      <c r="Z38" s="517"/>
      <c r="AA38" s="517"/>
      <c r="AB38" s="517"/>
      <c r="AC38" s="524"/>
      <c r="AD38" s="517"/>
      <c r="AE38" s="517"/>
      <c r="AF38" s="517"/>
      <c r="AG38" s="517"/>
    </row>
    <row r="39" spans="1:34" s="518" customFormat="1" ht="12.75" hidden="1" customHeight="1">
      <c r="A39" s="515"/>
      <c r="B39" s="515"/>
      <c r="C39" s="458"/>
      <c r="D39" s="458"/>
      <c r="E39" s="458"/>
      <c r="F39" s="458"/>
      <c r="G39" s="458"/>
      <c r="H39" s="459"/>
      <c r="I39" s="459"/>
      <c r="J39" s="459"/>
      <c r="K39" s="459"/>
      <c r="L39" s="459"/>
      <c r="M39" s="459"/>
      <c r="N39" s="459"/>
      <c r="O39" s="459"/>
      <c r="P39" s="459"/>
      <c r="Q39" s="522"/>
      <c r="R39" s="516"/>
      <c r="S39" s="516"/>
      <c r="T39" s="516"/>
      <c r="U39" s="516"/>
      <c r="V39" s="548"/>
      <c r="W39" s="548"/>
      <c r="X39" s="548"/>
      <c r="Y39" s="548"/>
      <c r="Z39" s="517"/>
      <c r="AA39" s="517"/>
      <c r="AB39" s="517"/>
      <c r="AC39" s="524"/>
      <c r="AD39" s="517"/>
      <c r="AE39" s="517"/>
      <c r="AF39" s="517"/>
      <c r="AG39" s="517"/>
      <c r="AH39" s="517"/>
    </row>
    <row r="40" spans="1:34" ht="15" customHeight="1">
      <c r="A40" s="492"/>
      <c r="B40" s="492"/>
      <c r="C40" s="736" t="s">
        <v>133</v>
      </c>
      <c r="D40" s="809" t="s">
        <v>134</v>
      </c>
      <c r="E40" s="809"/>
      <c r="F40" s="460" t="s">
        <v>135</v>
      </c>
      <c r="G40" s="460" t="s">
        <v>1101</v>
      </c>
      <c r="H40" s="460" t="s">
        <v>655</v>
      </c>
      <c r="I40" s="460" t="s">
        <v>1094</v>
      </c>
      <c r="J40" s="460" t="s">
        <v>1095</v>
      </c>
      <c r="K40" s="461" t="s">
        <v>1102</v>
      </c>
      <c r="L40" s="460" t="s">
        <v>1103</v>
      </c>
      <c r="M40" s="460" t="s">
        <v>1104</v>
      </c>
      <c r="N40" s="460" t="s">
        <v>1105</v>
      </c>
      <c r="O40" s="460" t="s">
        <v>16</v>
      </c>
      <c r="P40" s="460" t="s">
        <v>662</v>
      </c>
      <c r="Q40" s="507"/>
      <c r="R40" s="507"/>
      <c r="S40" s="507"/>
      <c r="T40" s="507"/>
      <c r="U40" s="507"/>
      <c r="V40" s="508"/>
      <c r="W40" s="508"/>
      <c r="X40" s="508"/>
      <c r="Y40" s="508"/>
      <c r="Z40" s="508"/>
      <c r="AA40" s="508"/>
      <c r="AB40" s="508"/>
      <c r="AC40" s="534"/>
      <c r="AD40" s="508"/>
      <c r="AE40" s="508"/>
      <c r="AF40" s="508"/>
      <c r="AG40" s="508"/>
      <c r="AH40" s="508"/>
    </row>
    <row r="41" spans="1:34" ht="12.75" customHeight="1">
      <c r="A41" s="492"/>
      <c r="B41" s="492"/>
      <c r="C41" s="462"/>
      <c r="D41" s="810"/>
      <c r="E41" s="810"/>
      <c r="F41" s="810"/>
      <c r="G41" s="456"/>
      <c r="H41" s="463"/>
      <c r="I41" s="463"/>
      <c r="J41" s="456"/>
      <c r="K41" s="456"/>
      <c r="L41" s="456"/>
      <c r="M41" s="456"/>
      <c r="N41" s="456"/>
      <c r="O41" s="456"/>
      <c r="P41" s="456"/>
      <c r="Q41" s="507"/>
      <c r="R41" s="507"/>
      <c r="S41" s="507"/>
      <c r="T41" s="507" t="str">
        <f>IF($B41&gt;0,$B41,"")</f>
        <v/>
      </c>
      <c r="U41" s="507"/>
      <c r="V41" s="508"/>
      <c r="W41" s="508"/>
      <c r="X41" s="508"/>
      <c r="Y41" s="508"/>
      <c r="Z41" s="508"/>
      <c r="AA41" s="508"/>
      <c r="AB41" s="508"/>
      <c r="AC41" s="524"/>
      <c r="AD41" s="508"/>
      <c r="AE41" s="517"/>
      <c r="AF41" s="508"/>
      <c r="AG41" s="508"/>
      <c r="AH41" s="508"/>
    </row>
    <row r="42" spans="1:34" s="518" customFormat="1" ht="12" customHeight="1">
      <c r="A42" s="515"/>
      <c r="B42" s="515"/>
      <c r="C42" s="464" t="str">
        <f>L28</f>
        <v>woonkamer / eetkamer</v>
      </c>
      <c r="D42" s="811" t="s">
        <v>1150</v>
      </c>
      <c r="E42" s="811"/>
      <c r="F42" s="657">
        <v>1</v>
      </c>
      <c r="G42" s="465">
        <v>2.4900000000000002</v>
      </c>
      <c r="H42" s="466">
        <v>90</v>
      </c>
      <c r="I42" s="466">
        <v>20</v>
      </c>
      <c r="J42" s="466">
        <v>25</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9">
        <f>ROUND(F42*G42*L42*M42,2)</f>
        <v>1.92</v>
      </c>
      <c r="O42" s="470"/>
      <c r="P42" s="404"/>
      <c r="Q42" s="525" t="str">
        <f t="shared" ref="Q42:Q46" si="8">IF(G42=0,"verbergen","")</f>
        <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49"/>
      <c r="B43" s="515"/>
      <c r="C43" s="464" t="str">
        <f>L28</f>
        <v>woonkamer / eetkamer</v>
      </c>
      <c r="D43" s="811" t="s">
        <v>1151</v>
      </c>
      <c r="E43" s="811"/>
      <c r="F43" s="657">
        <v>2</v>
      </c>
      <c r="G43" s="465">
        <v>0.89</v>
      </c>
      <c r="H43" s="466">
        <v>90</v>
      </c>
      <c r="I43" s="466">
        <v>31</v>
      </c>
      <c r="J43" s="466">
        <v>30</v>
      </c>
      <c r="K43" s="467" t="s">
        <v>737</v>
      </c>
      <c r="L43" s="467">
        <v>1</v>
      </c>
      <c r="M43" s="468">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0.67</v>
      </c>
      <c r="N43" s="469">
        <f>ROUND(F43*G43*L43*M43,2)</f>
        <v>1.19</v>
      </c>
      <c r="O43" s="470"/>
      <c r="P43" s="471"/>
      <c r="Q43" s="525" t="str">
        <f t="shared" si="8"/>
        <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20"/>
      <c r="B44" s="515"/>
      <c r="C44" s="464" t="str">
        <f>L28</f>
        <v>woonkamer / eetkamer</v>
      </c>
      <c r="D44" s="811" t="s">
        <v>1152</v>
      </c>
      <c r="E44" s="811"/>
      <c r="F44" s="657">
        <v>2</v>
      </c>
      <c r="G44" s="465">
        <v>0.89</v>
      </c>
      <c r="H44" s="466">
        <v>90</v>
      </c>
      <c r="I44" s="466">
        <v>31</v>
      </c>
      <c r="J44" s="466">
        <v>30</v>
      </c>
      <c r="K44" s="467" t="s">
        <v>737</v>
      </c>
      <c r="L44" s="467">
        <v>1</v>
      </c>
      <c r="M44" s="468">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0.67</v>
      </c>
      <c r="N44" s="469">
        <f>ROUND(F44*G44*L44*M44,2)</f>
        <v>1.19</v>
      </c>
      <c r="O44" s="470"/>
      <c r="P44" s="471"/>
      <c r="Q44" s="525" t="str">
        <f t="shared" si="8"/>
        <v/>
      </c>
      <c r="R44" s="516"/>
      <c r="S44" s="516"/>
      <c r="T44" s="507"/>
      <c r="U44" s="507">
        <v>1</v>
      </c>
      <c r="V44" s="508"/>
      <c r="W44" s="508"/>
      <c r="X44" s="508"/>
      <c r="Y44" s="508"/>
      <c r="Z44" s="508"/>
      <c r="AA44" s="508"/>
      <c r="AB44" s="508"/>
      <c r="AC44" s="524"/>
      <c r="AD44" s="517"/>
      <c r="AE44" s="517"/>
      <c r="AF44" s="517"/>
      <c r="AG44" s="517"/>
      <c r="AH44" s="517"/>
    </row>
    <row r="45" spans="1:34" s="518" customFormat="1" ht="12" customHeight="1">
      <c r="A45" s="520"/>
      <c r="B45" s="515"/>
      <c r="C45" s="464" t="s">
        <v>252</v>
      </c>
      <c r="D45" s="811" t="s">
        <v>251</v>
      </c>
      <c r="E45" s="811"/>
      <c r="F45" s="657">
        <v>1</v>
      </c>
      <c r="G45" s="465">
        <v>0</v>
      </c>
      <c r="H45" s="466">
        <v>90</v>
      </c>
      <c r="I45" s="466">
        <v>20</v>
      </c>
      <c r="J45" s="466">
        <v>0</v>
      </c>
      <c r="K45" s="467" t="s">
        <v>737</v>
      </c>
      <c r="L45" s="467">
        <v>1</v>
      </c>
      <c r="M45" s="468">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69">
        <f>ROUND(F45*G45*L45*M45,2)</f>
        <v>0</v>
      </c>
      <c r="O45" s="470"/>
      <c r="P45" s="471"/>
      <c r="Q45" s="525" t="str">
        <f t="shared" si="8"/>
        <v>verbergen</v>
      </c>
      <c r="R45" s="516"/>
      <c r="S45" s="516"/>
      <c r="T45" s="507"/>
      <c r="U45" s="507">
        <v>1</v>
      </c>
      <c r="V45" s="508"/>
      <c r="W45" s="508"/>
      <c r="X45" s="508"/>
      <c r="Y45" s="508"/>
      <c r="Z45" s="508"/>
      <c r="AA45" s="508"/>
      <c r="AB45" s="508"/>
      <c r="AC45" s="524"/>
      <c r="AD45" s="517"/>
      <c r="AE45" s="517"/>
      <c r="AF45" s="517"/>
      <c r="AG45" s="517"/>
      <c r="AH45" s="517"/>
    </row>
    <row r="46" spans="1:34" s="518" customFormat="1" ht="12" customHeight="1">
      <c r="A46" s="550"/>
      <c r="B46" s="551"/>
      <c r="C46" s="472" t="s">
        <v>252</v>
      </c>
      <c r="D46" s="812" t="s">
        <v>251</v>
      </c>
      <c r="E46" s="812"/>
      <c r="F46" s="727">
        <v>1</v>
      </c>
      <c r="G46" s="473">
        <v>0</v>
      </c>
      <c r="H46" s="474">
        <v>90</v>
      </c>
      <c r="I46" s="474">
        <v>20</v>
      </c>
      <c r="J46" s="474">
        <v>0</v>
      </c>
      <c r="K46" s="475" t="s">
        <v>737</v>
      </c>
      <c r="L46" s="475">
        <v>1</v>
      </c>
      <c r="M46" s="476">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77">
        <f>ROUND(F46*G46*L46*M46,2)</f>
        <v>0</v>
      </c>
      <c r="O46" s="478"/>
      <c r="P46" s="479"/>
      <c r="Q46" s="525" t="str">
        <f t="shared" si="8"/>
        <v>verbergen</v>
      </c>
      <c r="R46" s="516"/>
      <c r="S46" s="516"/>
      <c r="T46" s="507"/>
      <c r="U46" s="507">
        <v>1</v>
      </c>
      <c r="V46" s="508"/>
      <c r="W46" s="508"/>
      <c r="X46" s="508"/>
      <c r="Y46" s="508"/>
      <c r="Z46" s="508"/>
      <c r="AA46" s="508"/>
      <c r="AB46" s="508"/>
      <c r="AC46" s="524"/>
      <c r="AD46" s="517"/>
      <c r="AE46" s="517"/>
      <c r="AF46" s="517"/>
      <c r="AG46" s="517"/>
      <c r="AH46" s="517"/>
    </row>
    <row r="47" spans="1:34" s="518" customFormat="1" ht="12" customHeight="1">
      <c r="A47" s="552"/>
      <c r="B47" s="553">
        <v>1</v>
      </c>
      <c r="C47" s="480">
        <f>B47</f>
        <v>1</v>
      </c>
      <c r="D47" s="481">
        <f>IF(O47&gt;P47,P47*10,O47*10)</f>
        <v>28.450000000000003</v>
      </c>
      <c r="E47" s="813" t="str">
        <f>IF(O47&lt;P47,(P47*10)-(O47*10),"(voldoet)")</f>
        <v>(voldoet)</v>
      </c>
      <c r="F47" s="813"/>
      <c r="G47" s="813"/>
      <c r="H47" s="482"/>
      <c r="I47" s="482"/>
      <c r="J47" s="483"/>
      <c r="K47" s="484"/>
      <c r="L47" s="485"/>
      <c r="M47" s="485"/>
      <c r="N47" s="485"/>
      <c r="O47" s="486">
        <f>SUM(N42:N47)</f>
        <v>4.3</v>
      </c>
      <c r="P47" s="486">
        <f>SUMPRODUCT(($AD$1:$AD$28204)*($AC$1:$AC$28204=B47))*verzamelblad!$Y$7/100</f>
        <v>2.8450000000000002</v>
      </c>
      <c r="Q47" s="554"/>
      <c r="R47" s="554"/>
      <c r="S47" s="554"/>
      <c r="T47" s="554"/>
      <c r="U47" s="507">
        <v>1</v>
      </c>
      <c r="V47" s="508"/>
      <c r="W47" s="508"/>
      <c r="X47" s="508"/>
      <c r="Y47" s="555">
        <f>IF(E47="(voldoet)",0,IF(E47="(voldoet niet)",D47,E47))</f>
        <v>0</v>
      </c>
      <c r="Z47" s="508"/>
      <c r="AA47" s="508"/>
      <c r="AB47" s="508"/>
      <c r="AC47" s="517"/>
      <c r="AD47" s="517"/>
      <c r="AE47" s="508"/>
      <c r="AF47" s="517"/>
      <c r="AG47" s="517"/>
      <c r="AH47" s="517"/>
    </row>
    <row r="48" spans="1:34" ht="12" customHeight="1">
      <c r="A48" s="492"/>
      <c r="B48" s="492"/>
      <c r="C48" s="487"/>
      <c r="D48" s="487"/>
      <c r="E48" s="487"/>
      <c r="F48" s="463"/>
      <c r="G48" s="463"/>
      <c r="H48" s="456"/>
      <c r="I48" s="456"/>
      <c r="J48" s="456"/>
      <c r="K48" s="456"/>
      <c r="L48" s="456"/>
      <c r="M48" s="456"/>
      <c r="N48" s="456"/>
      <c r="O48" s="488"/>
      <c r="P48" s="489"/>
      <c r="Q48" s="507"/>
      <c r="R48" s="507"/>
      <c r="S48" s="507"/>
      <c r="T48" s="507"/>
      <c r="U48" s="507">
        <v>1</v>
      </c>
      <c r="V48" s="508"/>
      <c r="W48" s="508"/>
      <c r="X48" s="508"/>
      <c r="Y48" s="508"/>
      <c r="Z48" s="508"/>
      <c r="AA48" s="508"/>
      <c r="AB48" s="508"/>
      <c r="AC48" s="524"/>
      <c r="AD48" s="508"/>
      <c r="AE48" s="508"/>
      <c r="AF48" s="508"/>
      <c r="AG48" s="508"/>
      <c r="AH48" s="508"/>
    </row>
    <row r="49" spans="1:34" s="541" customFormat="1" ht="12" customHeight="1">
      <c r="A49" s="543"/>
      <c r="B49" s="543"/>
      <c r="C49" s="464" t="str">
        <f>L29</f>
        <v>keuken</v>
      </c>
      <c r="D49" s="811" t="s">
        <v>1153</v>
      </c>
      <c r="E49" s="811"/>
      <c r="F49" s="657">
        <v>1</v>
      </c>
      <c r="G49" s="465">
        <v>4.95</v>
      </c>
      <c r="H49" s="466">
        <v>90</v>
      </c>
      <c r="I49" s="466">
        <v>20</v>
      </c>
      <c r="J49" s="466">
        <v>66</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0.39</v>
      </c>
      <c r="N49" s="469">
        <f>ROUND(F49*G49*L49*M49,2)</f>
        <v>1.93</v>
      </c>
      <c r="O49" s="470"/>
      <c r="P49" s="404"/>
      <c r="Q49" s="729" t="str">
        <f>IF(G49=0,"verbergen","")</f>
        <v/>
      </c>
      <c r="R49" s="404"/>
      <c r="S49" s="404"/>
      <c r="T49" s="392"/>
      <c r="U49" s="547">
        <f>U48+1</f>
        <v>2</v>
      </c>
      <c r="V49" s="547"/>
      <c r="W49" s="547"/>
      <c r="X49" s="547"/>
      <c r="Y49" s="547"/>
      <c r="Z49" s="547"/>
      <c r="AA49" s="404"/>
      <c r="AB49" s="507"/>
      <c r="AC49" s="516"/>
      <c r="AD49" s="516"/>
      <c r="AE49" s="516"/>
      <c r="AF49" s="507"/>
      <c r="AG49" s="516"/>
      <c r="AH49" s="516"/>
    </row>
    <row r="50" spans="1:34" s="541" customFormat="1" ht="12" customHeight="1">
      <c r="A50" s="543"/>
      <c r="B50" s="543"/>
      <c r="C50" s="464" t="str">
        <f>L29</f>
        <v>keuken</v>
      </c>
      <c r="D50" s="811" t="s">
        <v>1154</v>
      </c>
      <c r="E50" s="811"/>
      <c r="F50" s="657">
        <v>1</v>
      </c>
      <c r="G50" s="465">
        <v>1.01</v>
      </c>
      <c r="H50" s="466">
        <v>90</v>
      </c>
      <c r="I50" s="466">
        <v>20</v>
      </c>
      <c r="J50" s="466">
        <v>39</v>
      </c>
      <c r="K50" s="467" t="s">
        <v>737</v>
      </c>
      <c r="L50" s="467">
        <v>1</v>
      </c>
      <c r="M50" s="468">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0.71</v>
      </c>
      <c r="N50" s="469">
        <f>ROUND(F50*G50*L50*M50,2)</f>
        <v>0.72</v>
      </c>
      <c r="O50" s="470"/>
      <c r="P50" s="471"/>
      <c r="Q50" s="729" t="str">
        <f>IF(G50=0,"verbergen","")</f>
        <v/>
      </c>
      <c r="R50" s="404"/>
      <c r="S50" s="404"/>
      <c r="T50" s="392"/>
      <c r="U50" s="547">
        <f t="shared" ref="U50:U55" si="9">U49</f>
        <v>2</v>
      </c>
      <c r="V50" s="547"/>
      <c r="W50" s="547"/>
      <c r="X50" s="547"/>
      <c r="Y50" s="547"/>
      <c r="Z50" s="547"/>
      <c r="AA50" s="404"/>
      <c r="AB50" s="507"/>
      <c r="AC50" s="516"/>
      <c r="AD50" s="516"/>
      <c r="AE50" s="516"/>
      <c r="AF50" s="507"/>
      <c r="AG50" s="516"/>
      <c r="AH50" s="516"/>
    </row>
    <row r="51" spans="1:34" s="541" customFormat="1" ht="12" customHeight="1">
      <c r="A51" s="543"/>
      <c r="B51" s="543"/>
      <c r="C51" s="464" t="str">
        <f>L30</f>
        <v>bijkeuken</v>
      </c>
      <c r="D51" s="811" t="s">
        <v>1152</v>
      </c>
      <c r="E51" s="811"/>
      <c r="F51" s="657">
        <v>2</v>
      </c>
      <c r="G51" s="465">
        <v>0.89</v>
      </c>
      <c r="H51" s="466">
        <v>90</v>
      </c>
      <c r="I51" s="466">
        <v>31</v>
      </c>
      <c r="J51" s="466">
        <v>30</v>
      </c>
      <c r="K51" s="467" t="s">
        <v>737</v>
      </c>
      <c r="L51" s="467">
        <v>1</v>
      </c>
      <c r="M51" s="468">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0.67</v>
      </c>
      <c r="N51" s="469">
        <f>ROUND(F51*G51*L51*M51,2)</f>
        <v>1.19</v>
      </c>
      <c r="O51" s="470"/>
      <c r="P51" s="471"/>
      <c r="Q51" s="729" t="str">
        <f>IF(G51=0,"verbergen","")</f>
        <v/>
      </c>
      <c r="R51" s="404"/>
      <c r="S51" s="404"/>
      <c r="T51" s="392"/>
      <c r="U51" s="547">
        <f t="shared" si="9"/>
        <v>2</v>
      </c>
      <c r="V51" s="547"/>
      <c r="W51" s="547"/>
      <c r="X51" s="547"/>
      <c r="Y51" s="547"/>
      <c r="Z51" s="547"/>
      <c r="AA51" s="404"/>
      <c r="AB51" s="507"/>
      <c r="AC51" s="516"/>
      <c r="AD51" s="516"/>
      <c r="AE51" s="516"/>
      <c r="AF51" s="507"/>
      <c r="AG51" s="516"/>
      <c r="AH51" s="516"/>
    </row>
    <row r="52" spans="1:34" s="541" customFormat="1" ht="12" customHeight="1">
      <c r="A52" s="543"/>
      <c r="B52" s="543"/>
      <c r="C52" s="464" t="s">
        <v>252</v>
      </c>
      <c r="D52" s="811" t="s">
        <v>251</v>
      </c>
      <c r="E52" s="811"/>
      <c r="F52" s="657">
        <v>1</v>
      </c>
      <c r="G52" s="465">
        <v>0</v>
      </c>
      <c r="H52" s="466">
        <v>90</v>
      </c>
      <c r="I52" s="466">
        <v>20</v>
      </c>
      <c r="J52" s="466">
        <v>0</v>
      </c>
      <c r="K52" s="467" t="s">
        <v>737</v>
      </c>
      <c r="L52" s="467">
        <v>1</v>
      </c>
      <c r="M52" s="468">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69">
        <f>ROUND(F52*G52*L52*M52,2)</f>
        <v>0</v>
      </c>
      <c r="O52" s="470"/>
      <c r="P52" s="471"/>
      <c r="Q52" s="729" t="str">
        <f>IF(G52=0,"verbergen","")</f>
        <v>verbergen</v>
      </c>
      <c r="R52" s="404"/>
      <c r="S52" s="404"/>
      <c r="T52" s="392"/>
      <c r="U52" s="547">
        <f t="shared" si="9"/>
        <v>2</v>
      </c>
      <c r="V52" s="547"/>
      <c r="W52" s="547"/>
      <c r="X52" s="547"/>
      <c r="Y52" s="547"/>
      <c r="Z52" s="547"/>
      <c r="AA52" s="404"/>
      <c r="AB52" s="507"/>
      <c r="AC52" s="516"/>
      <c r="AD52" s="516"/>
      <c r="AE52" s="516"/>
      <c r="AF52" s="507"/>
      <c r="AG52" s="516"/>
      <c r="AH52" s="516"/>
    </row>
    <row r="53" spans="1:34" s="541" customFormat="1" ht="12" customHeight="1">
      <c r="A53" s="543"/>
      <c r="B53" s="543"/>
      <c r="C53" s="464" t="s">
        <v>252</v>
      </c>
      <c r="D53" s="812" t="s">
        <v>251</v>
      </c>
      <c r="E53" s="812"/>
      <c r="F53" s="727">
        <v>1</v>
      </c>
      <c r="G53" s="473">
        <v>0</v>
      </c>
      <c r="H53" s="474">
        <v>90</v>
      </c>
      <c r="I53" s="474">
        <v>20</v>
      </c>
      <c r="J53" s="474">
        <v>0</v>
      </c>
      <c r="K53" s="475" t="s">
        <v>737</v>
      </c>
      <c r="L53" s="475">
        <v>1</v>
      </c>
      <c r="M53" s="476">
        <f>IF(H53&gt;80,(IF(J53&gt;75,0,IF(I53&gt;80,0,INDEX(verzamelblad!$A$81:$BK$158, MATCH((CEILING(IF(J53&gt;=75,75,J53),1)),verzamelblad!$A$81:$A$158,), MATCH((CEILING(IF(I53&lt;=20,20,IF(I53&gt;=80,80,I53)),1)),verzamelblad!$A$81:$BK$81,))))),IF(I53&gt;75,0,INDEX(verzamelblad!$A$164:$BM$245, MATCH((CEILING(IF(H53&gt;=80,80,H53),1)),verzamelblad!$A$164:$A$245,), MATCH((CEILING(IF(I53&lt;=1,1,IF(I53&gt;=75,75,I53)),1)),verzamelblad!$A$164:$BM$164,))))</f>
        <v>0.8</v>
      </c>
      <c r="N53" s="477">
        <f>ROUND(F53*G53*L53*M53,2)</f>
        <v>0</v>
      </c>
      <c r="O53" s="478"/>
      <c r="P53" s="479"/>
      <c r="Q53" s="729" t="str">
        <f>IF(G53=0,"verbergen","")</f>
        <v>verbergen</v>
      </c>
      <c r="R53" s="404"/>
      <c r="S53" s="404"/>
      <c r="T53" s="392"/>
      <c r="U53" s="547">
        <f t="shared" si="9"/>
        <v>2</v>
      </c>
      <c r="V53" s="547"/>
      <c r="W53" s="547"/>
      <c r="X53" s="547"/>
      <c r="Y53" s="547"/>
      <c r="Z53" s="547"/>
      <c r="AA53" s="404"/>
      <c r="AB53" s="507"/>
      <c r="AC53" s="516"/>
      <c r="AD53" s="516"/>
      <c r="AE53" s="516"/>
      <c r="AF53" s="507"/>
      <c r="AG53" s="516"/>
      <c r="AH53" s="516"/>
    </row>
    <row r="54" spans="1:34" s="404" customFormat="1" ht="12" customHeight="1">
      <c r="A54" s="542"/>
      <c r="B54" s="556">
        <f>B47+1</f>
        <v>2</v>
      </c>
      <c r="C54" s="480">
        <f>B54</f>
        <v>2</v>
      </c>
      <c r="D54" s="481">
        <f>IF(O54&gt;P54,P54*10,O54*10)</f>
        <v>22.400000000000002</v>
      </c>
      <c r="E54" s="813" t="str">
        <f>IF(O54&lt;P54,(P54*10)-(O54*10),"(voldoet)")</f>
        <v>(voldoet)</v>
      </c>
      <c r="F54" s="813"/>
      <c r="G54" s="813"/>
      <c r="H54" s="482"/>
      <c r="I54" s="482"/>
      <c r="J54" s="483"/>
      <c r="K54" s="484"/>
      <c r="L54" s="485"/>
      <c r="M54" s="485"/>
      <c r="N54" s="485"/>
      <c r="O54" s="486">
        <f>SUM(N49:N54)</f>
        <v>3.84</v>
      </c>
      <c r="P54" s="486">
        <f>SUMPRODUCT(($AD$1:$AD$28194)*($AC$1:$AC$28194=B54))*verzamelblad!$Y$7/100</f>
        <v>2.2400000000000002</v>
      </c>
      <c r="Q54" s="557"/>
      <c r="R54" s="557"/>
      <c r="S54" s="557"/>
      <c r="T54" s="558"/>
      <c r="U54" s="547">
        <f t="shared" si="9"/>
        <v>2</v>
      </c>
      <c r="V54" s="547"/>
      <c r="W54" s="547"/>
      <c r="X54" s="547"/>
      <c r="Y54" s="559">
        <f>IF(E54="(voldoet)",0,IF(E54="(voldoet niet)",D54,E54))</f>
        <v>0</v>
      </c>
      <c r="Z54" s="547"/>
      <c r="AB54" s="547"/>
      <c r="AC54" s="392"/>
      <c r="AD54" s="392"/>
      <c r="AE54" s="392"/>
      <c r="AF54" s="547"/>
      <c r="AG54" s="392"/>
      <c r="AH54" s="392"/>
    </row>
    <row r="55" spans="1:34" s="493" customFormat="1" ht="12" customHeight="1">
      <c r="A55" s="560"/>
      <c r="B55" s="560"/>
      <c r="C55" s="487"/>
      <c r="D55" s="487"/>
      <c r="E55" s="487"/>
      <c r="F55" s="463"/>
      <c r="G55" s="463"/>
      <c r="H55" s="456"/>
      <c r="I55" s="456"/>
      <c r="J55" s="456"/>
      <c r="K55" s="456"/>
      <c r="L55" s="456"/>
      <c r="M55" s="456"/>
      <c r="N55" s="456"/>
      <c r="O55" s="488"/>
      <c r="P55" s="489"/>
      <c r="Q55" s="451"/>
      <c r="R55" s="451"/>
      <c r="S55" s="451"/>
      <c r="T55" s="561"/>
      <c r="U55" s="547">
        <f t="shared" si="9"/>
        <v>2</v>
      </c>
      <c r="V55" s="547"/>
      <c r="W55" s="547"/>
      <c r="X55" s="547"/>
      <c r="Y55" s="547"/>
      <c r="Z55" s="547"/>
      <c r="AA55" s="451"/>
      <c r="AB55" s="507"/>
      <c r="AC55" s="507"/>
      <c r="AD55" s="507"/>
      <c r="AE55" s="507"/>
      <c r="AF55" s="507"/>
      <c r="AG55" s="507"/>
      <c r="AH55" s="507"/>
    </row>
    <row r="56" spans="1:34" s="541" customFormat="1" ht="12" customHeight="1">
      <c r="A56" s="543"/>
      <c r="B56" s="543"/>
      <c r="C56" s="464" t="str">
        <f>L31</f>
        <v>slaapkamer 1</v>
      </c>
      <c r="D56" s="811" t="s">
        <v>1155</v>
      </c>
      <c r="E56" s="811"/>
      <c r="F56" s="657">
        <v>1</v>
      </c>
      <c r="G56" s="465">
        <v>1.39</v>
      </c>
      <c r="H56" s="466">
        <v>90</v>
      </c>
      <c r="I56" s="466">
        <v>20</v>
      </c>
      <c r="J56" s="466">
        <v>33</v>
      </c>
      <c r="K56" s="467" t="s">
        <v>737</v>
      </c>
      <c r="L56" s="467">
        <v>1</v>
      </c>
      <c r="M56" s="468">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0.74</v>
      </c>
      <c r="N56" s="469">
        <f>ROUND(F56*G56*L56*M56,2)</f>
        <v>1.03</v>
      </c>
      <c r="O56" s="470"/>
      <c r="P56" s="404"/>
      <c r="Q56" s="729" t="str">
        <f>IF(G56=0,"verbergen","")</f>
        <v/>
      </c>
      <c r="R56" s="404"/>
      <c r="S56" s="404"/>
      <c r="T56" s="392"/>
      <c r="U56" s="547">
        <f>U55+1</f>
        <v>3</v>
      </c>
      <c r="V56" s="547"/>
      <c r="W56" s="547"/>
      <c r="X56" s="547"/>
      <c r="Y56" s="547"/>
      <c r="Z56" s="547"/>
      <c r="AA56" s="404"/>
      <c r="AB56" s="507"/>
      <c r="AC56" s="516"/>
      <c r="AD56" s="516"/>
      <c r="AE56" s="516"/>
      <c r="AF56" s="507"/>
      <c r="AG56" s="516"/>
      <c r="AH56" s="516"/>
    </row>
    <row r="57" spans="1:34" s="541" customFormat="1" ht="12" customHeight="1">
      <c r="A57" s="543"/>
      <c r="B57" s="543"/>
      <c r="C57" s="464" t="str">
        <f>L32</f>
        <v>slaapkamer 2</v>
      </c>
      <c r="D57" s="811" t="s">
        <v>1156</v>
      </c>
      <c r="E57" s="811"/>
      <c r="F57" s="657">
        <v>1</v>
      </c>
      <c r="G57" s="465">
        <v>1.36</v>
      </c>
      <c r="H57" s="466">
        <v>90</v>
      </c>
      <c r="I57" s="466">
        <v>20</v>
      </c>
      <c r="J57" s="466">
        <v>33</v>
      </c>
      <c r="K57" s="467" t="s">
        <v>737</v>
      </c>
      <c r="L57" s="467">
        <v>1</v>
      </c>
      <c r="M57" s="468">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0.74</v>
      </c>
      <c r="N57" s="469">
        <f>ROUND(F57*G57*L57*M57,2)</f>
        <v>1.01</v>
      </c>
      <c r="O57" s="470"/>
      <c r="P57" s="471"/>
      <c r="Q57" s="729" t="str">
        <f>IF(G57=0,"verbergen","")</f>
        <v/>
      </c>
      <c r="R57" s="404"/>
      <c r="S57" s="404"/>
      <c r="T57" s="392"/>
      <c r="U57" s="547">
        <f t="shared" ref="U57:U62" si="10">U56</f>
        <v>3</v>
      </c>
      <c r="V57" s="547"/>
      <c r="W57" s="547"/>
      <c r="X57" s="547"/>
      <c r="Y57" s="547"/>
      <c r="Z57" s="547"/>
      <c r="AA57" s="404"/>
      <c r="AB57" s="507"/>
      <c r="AC57" s="516"/>
      <c r="AD57" s="516"/>
      <c r="AE57" s="516"/>
      <c r="AF57" s="507"/>
      <c r="AG57" s="516"/>
      <c r="AH57" s="516"/>
    </row>
    <row r="58" spans="1:34" s="541" customFormat="1" ht="12" customHeight="1">
      <c r="A58" s="543"/>
      <c r="B58" s="543"/>
      <c r="C58" s="464" t="str">
        <f>L33</f>
        <v>studeerkamer</v>
      </c>
      <c r="D58" s="811" t="s">
        <v>1157</v>
      </c>
      <c r="E58" s="811"/>
      <c r="F58" s="657">
        <v>1</v>
      </c>
      <c r="G58" s="465">
        <v>1.59</v>
      </c>
      <c r="H58" s="466">
        <v>90</v>
      </c>
      <c r="I58" s="466">
        <v>20</v>
      </c>
      <c r="J58" s="466">
        <v>39</v>
      </c>
      <c r="K58" s="467" t="s">
        <v>737</v>
      </c>
      <c r="L58" s="467">
        <v>1</v>
      </c>
      <c r="M58" s="468">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0.71</v>
      </c>
      <c r="N58" s="469">
        <f>ROUND(F58*G58*L58*M58,2)</f>
        <v>1.1299999999999999</v>
      </c>
      <c r="O58" s="470"/>
      <c r="P58" s="471"/>
      <c r="Q58" s="729" t="str">
        <f>IF(G58=0,"verbergen","")</f>
        <v/>
      </c>
      <c r="R58" s="404"/>
      <c r="S58" s="404"/>
      <c r="T58" s="392"/>
      <c r="U58" s="547">
        <f t="shared" si="10"/>
        <v>3</v>
      </c>
      <c r="V58" s="547"/>
      <c r="W58" s="547"/>
      <c r="X58" s="547"/>
      <c r="Y58" s="547"/>
      <c r="Z58" s="547"/>
      <c r="AA58" s="404"/>
      <c r="AB58" s="507"/>
      <c r="AC58" s="516"/>
      <c r="AD58" s="516"/>
      <c r="AE58" s="516"/>
      <c r="AF58" s="507"/>
      <c r="AG58" s="516"/>
      <c r="AH58" s="516"/>
    </row>
    <row r="59" spans="1:34" s="541" customFormat="1" ht="12" customHeight="1">
      <c r="A59" s="543"/>
      <c r="B59" s="543"/>
      <c r="C59" s="464" t="str">
        <f>L34</f>
        <v>slaapkamer 3</v>
      </c>
      <c r="D59" s="811" t="s">
        <v>1155</v>
      </c>
      <c r="E59" s="811"/>
      <c r="F59" s="657">
        <v>1</v>
      </c>
      <c r="G59" s="465">
        <v>1.39</v>
      </c>
      <c r="H59" s="466">
        <v>90</v>
      </c>
      <c r="I59" s="466">
        <v>20</v>
      </c>
      <c r="J59" s="466">
        <v>33</v>
      </c>
      <c r="K59" s="467" t="s">
        <v>737</v>
      </c>
      <c r="L59" s="467">
        <v>1</v>
      </c>
      <c r="M59" s="468">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0.74</v>
      </c>
      <c r="N59" s="469">
        <f>ROUND(F59*G59*L59*M59,2)</f>
        <v>1.03</v>
      </c>
      <c r="O59" s="470"/>
      <c r="P59" s="471"/>
      <c r="Q59" s="729" t="str">
        <f>IF(G59=0,"verbergen","")</f>
        <v/>
      </c>
      <c r="R59" s="404"/>
      <c r="S59" s="404"/>
      <c r="T59" s="392"/>
      <c r="U59" s="547">
        <f t="shared" si="10"/>
        <v>3</v>
      </c>
      <c r="V59" s="547"/>
      <c r="W59" s="547"/>
      <c r="X59" s="547"/>
      <c r="Y59" s="547"/>
      <c r="Z59" s="547"/>
      <c r="AA59" s="404"/>
      <c r="AB59" s="507"/>
      <c r="AC59" s="516"/>
      <c r="AD59" s="516"/>
      <c r="AE59" s="516"/>
      <c r="AF59" s="507"/>
      <c r="AG59" s="516"/>
      <c r="AH59" s="516"/>
    </row>
    <row r="60" spans="1:34" s="541" customFormat="1" ht="12" customHeight="1">
      <c r="A60" s="543"/>
      <c r="B60" s="543"/>
      <c r="C60" s="472" t="s">
        <v>252</v>
      </c>
      <c r="D60" s="812" t="s">
        <v>251</v>
      </c>
      <c r="E60" s="812"/>
      <c r="F60" s="727">
        <v>1</v>
      </c>
      <c r="G60" s="473">
        <v>0</v>
      </c>
      <c r="H60" s="474">
        <v>90</v>
      </c>
      <c r="I60" s="474">
        <v>20</v>
      </c>
      <c r="J60" s="474">
        <v>0</v>
      </c>
      <c r="K60" s="475" t="s">
        <v>737</v>
      </c>
      <c r="L60" s="475">
        <v>1</v>
      </c>
      <c r="M60" s="476">
        <f>IF(H60&gt;80,(IF(J60&gt;75,0,IF(I60&gt;80,0,INDEX(verzamelblad!$A$81:$BK$158, MATCH((CEILING(IF(J60&gt;=75,75,J60),1)),verzamelblad!$A$81:$A$158,), MATCH((CEILING(IF(I60&lt;=20,20,IF(I60&gt;=80,80,I60)),1)),verzamelblad!$A$81:$BK$81,))))),IF(I60&gt;75,0,INDEX(verzamelblad!$A$164:$BM$245, MATCH((CEILING(IF(H60&gt;=80,80,H60),1)),verzamelblad!$A$164:$A$245,), MATCH((CEILING(IF(I60&lt;=1,1,IF(I60&gt;=75,75,I60)),1)),verzamelblad!$A$164:$BM$164,))))</f>
        <v>0.8</v>
      </c>
      <c r="N60" s="477">
        <f>ROUND(F60*G60*L60*M60,2)</f>
        <v>0</v>
      </c>
      <c r="O60" s="478"/>
      <c r="P60" s="479"/>
      <c r="Q60" s="729" t="str">
        <f>IF(G60=0,"verbergen","")</f>
        <v>verbergen</v>
      </c>
      <c r="R60" s="404"/>
      <c r="S60" s="404"/>
      <c r="T60" s="392"/>
      <c r="U60" s="547">
        <f t="shared" si="10"/>
        <v>3</v>
      </c>
      <c r="V60" s="547"/>
      <c r="W60" s="547"/>
      <c r="X60" s="547"/>
      <c r="Y60" s="547"/>
      <c r="Z60" s="547"/>
      <c r="AA60" s="404"/>
      <c r="AB60" s="507"/>
      <c r="AC60" s="516"/>
      <c r="AD60" s="516"/>
      <c r="AE60" s="516"/>
      <c r="AF60" s="507"/>
      <c r="AG60" s="516"/>
      <c r="AH60" s="516"/>
    </row>
    <row r="61" spans="1:34" s="404" customFormat="1" ht="12" customHeight="1">
      <c r="A61" s="542"/>
      <c r="B61" s="556">
        <f>B54+1</f>
        <v>3</v>
      </c>
      <c r="C61" s="480">
        <f>B61</f>
        <v>3</v>
      </c>
      <c r="D61" s="481">
        <f>IF(O61&gt;P61,P61*10,O61*10)</f>
        <v>37.1</v>
      </c>
      <c r="E61" s="813" t="str">
        <f>IF(O61&lt;P61,(P61*10)-(O61*10),"(voldoet)")</f>
        <v>(voldoet)</v>
      </c>
      <c r="F61" s="813"/>
      <c r="G61" s="813"/>
      <c r="H61" s="482"/>
      <c r="I61" s="482"/>
      <c r="J61" s="483"/>
      <c r="K61" s="484"/>
      <c r="L61" s="485"/>
      <c r="M61" s="485"/>
      <c r="N61" s="485"/>
      <c r="O61" s="486">
        <f>SUM(N56:N61)</f>
        <v>4.2</v>
      </c>
      <c r="P61" s="486">
        <f>SUMPRODUCT(($AD$1:$AD$28178)*($AC$1:$AC$28178=B61))*verzamelblad!$Y$7/100</f>
        <v>3.71</v>
      </c>
      <c r="Q61" s="557"/>
      <c r="R61" s="557"/>
      <c r="S61" s="557"/>
      <c r="T61" s="558"/>
      <c r="U61" s="547">
        <f t="shared" si="10"/>
        <v>3</v>
      </c>
      <c r="V61" s="547"/>
      <c r="W61" s="547"/>
      <c r="X61" s="547"/>
      <c r="Y61" s="559">
        <f>IF(E61="(voldoet)",0,IF(E61="(voldoet niet)",D61,E61))</f>
        <v>0</v>
      </c>
      <c r="Z61" s="547"/>
      <c r="AB61" s="547"/>
      <c r="AC61" s="392"/>
      <c r="AD61" s="392"/>
      <c r="AE61" s="392"/>
      <c r="AF61" s="547"/>
      <c r="AG61" s="392"/>
      <c r="AH61" s="392"/>
    </row>
    <row r="62" spans="1:34" s="493" customFormat="1" ht="12" customHeight="1">
      <c r="A62" s="560"/>
      <c r="B62" s="560"/>
      <c r="C62" s="487"/>
      <c r="D62" s="487"/>
      <c r="E62" s="487"/>
      <c r="F62" s="463"/>
      <c r="G62" s="463"/>
      <c r="H62" s="456"/>
      <c r="I62" s="456"/>
      <c r="J62" s="456"/>
      <c r="K62" s="456"/>
      <c r="L62" s="456"/>
      <c r="M62" s="456"/>
      <c r="N62" s="456"/>
      <c r="O62" s="488"/>
      <c r="P62" s="489"/>
      <c r="Q62" s="451"/>
      <c r="R62" s="451"/>
      <c r="S62" s="451"/>
      <c r="T62" s="561"/>
      <c r="U62" s="547">
        <f t="shared" si="10"/>
        <v>3</v>
      </c>
      <c r="V62" s="547"/>
      <c r="W62" s="547"/>
      <c r="X62" s="547"/>
      <c r="Y62" s="547"/>
      <c r="Z62" s="547"/>
      <c r="AA62" s="451"/>
      <c r="AB62" s="507"/>
      <c r="AC62" s="507"/>
      <c r="AD62" s="507"/>
      <c r="AE62" s="507"/>
      <c r="AF62" s="507"/>
      <c r="AG62" s="507"/>
      <c r="AH62" s="507"/>
    </row>
    <row r="63" spans="1:34" ht="12" customHeight="1">
      <c r="A63" s="492"/>
      <c r="B63" s="492"/>
      <c r="C63" s="463"/>
      <c r="D63" s="463"/>
      <c r="E63" s="451"/>
      <c r="F63" s="463"/>
      <c r="G63" s="463"/>
      <c r="H63" s="456"/>
      <c r="I63" s="456"/>
      <c r="J63" s="456"/>
      <c r="K63" s="490"/>
      <c r="L63" s="491"/>
      <c r="M63" s="456"/>
      <c r="N63" s="456"/>
      <c r="O63" s="488"/>
      <c r="P63" s="489"/>
      <c r="Q63" s="507"/>
      <c r="R63" s="507"/>
      <c r="S63" s="507"/>
      <c r="T63" s="507"/>
      <c r="U63" s="507"/>
      <c r="V63" s="508"/>
      <c r="W63" s="508"/>
      <c r="X63" s="508"/>
      <c r="Y63" s="508"/>
      <c r="Z63" s="508"/>
      <c r="AA63" s="508"/>
      <c r="AB63" s="508"/>
      <c r="AC63" s="524"/>
      <c r="AD63" s="508"/>
      <c r="AE63" s="508"/>
      <c r="AF63" s="508"/>
      <c r="AG63" s="508"/>
      <c r="AH63" s="508"/>
    </row>
    <row r="64" spans="1:34" s="518" customFormat="1" ht="15" customHeight="1">
      <c r="A64" s="515"/>
      <c r="B64" s="515"/>
      <c r="C64" s="457" t="s">
        <v>1084</v>
      </c>
      <c r="D64" s="457"/>
      <c r="E64" s="457"/>
      <c r="F64" s="457"/>
      <c r="G64" s="457"/>
      <c r="H64" s="457"/>
      <c r="I64" s="457"/>
      <c r="J64" s="457"/>
      <c r="K64" s="457"/>
      <c r="L64" s="457"/>
      <c r="M64" s="457"/>
      <c r="N64" s="457"/>
      <c r="O64" s="457"/>
      <c r="P64" s="457"/>
      <c r="Q64" s="522"/>
      <c r="R64" s="562"/>
      <c r="S64" s="516"/>
      <c r="T64" s="521"/>
      <c r="U64" s="516"/>
      <c r="V64" s="548"/>
      <c r="W64" s="548"/>
      <c r="X64" s="548"/>
      <c r="Y64" s="548"/>
      <c r="Z64" s="517"/>
      <c r="AA64" s="517"/>
      <c r="AB64" s="517"/>
      <c r="AC64" s="524"/>
      <c r="AD64" s="517"/>
      <c r="AE64" s="517"/>
      <c r="AF64" s="517"/>
      <c r="AG64" s="517"/>
      <c r="AH64" s="517"/>
    </row>
    <row r="65" spans="1:43" s="518" customFormat="1" ht="12" customHeight="1">
      <c r="A65" s="543"/>
      <c r="B65" s="543"/>
      <c r="C65" s="563" t="s">
        <v>1019</v>
      </c>
      <c r="D65" s="814" t="s">
        <v>743</v>
      </c>
      <c r="E65" s="814"/>
      <c r="F65" s="814"/>
      <c r="G65" s="814"/>
      <c r="H65" s="566"/>
      <c r="I65" s="566"/>
      <c r="J65" s="566"/>
      <c r="K65" s="566"/>
      <c r="L65" s="566"/>
      <c r="M65" s="566"/>
      <c r="N65" s="566"/>
      <c r="O65" s="566"/>
      <c r="P65" s="566"/>
      <c r="Q65" s="459"/>
      <c r="Y65" s="517"/>
      <c r="Z65" s="517"/>
      <c r="AA65" s="517"/>
      <c r="AB65" s="517"/>
      <c r="AC65" s="517"/>
      <c r="AD65" s="517"/>
      <c r="AE65" s="517"/>
      <c r="AF65" s="517"/>
      <c r="AG65" s="517"/>
      <c r="AH65" s="517"/>
    </row>
    <row r="66" spans="1:43" s="518" customFormat="1" ht="12" customHeight="1">
      <c r="A66" s="543"/>
      <c r="B66" s="543"/>
      <c r="C66" s="563"/>
      <c r="D66" s="464"/>
      <c r="E66" s="464"/>
      <c r="F66" s="464"/>
      <c r="G66" s="464"/>
      <c r="H66" s="566"/>
      <c r="I66" s="566"/>
      <c r="J66" s="566"/>
      <c r="K66" s="566"/>
      <c r="L66" s="566"/>
      <c r="M66" s="566"/>
      <c r="N66" s="566"/>
      <c r="O66" s="566"/>
      <c r="P66" s="566"/>
      <c r="Q66" s="459"/>
      <c r="Y66" s="517"/>
      <c r="Z66" s="517"/>
      <c r="AA66" s="517"/>
      <c r="AB66" s="517"/>
      <c r="AC66" s="517"/>
      <c r="AD66" s="517"/>
      <c r="AE66" s="517"/>
      <c r="AF66" s="517"/>
      <c r="AG66" s="517"/>
      <c r="AH66" s="517"/>
    </row>
    <row r="67" spans="1:43" s="518" customFormat="1" ht="12" customHeight="1">
      <c r="A67" s="543"/>
      <c r="B67" s="546"/>
      <c r="C67" s="563" t="s">
        <v>726</v>
      </c>
      <c r="D67" s="814" t="s">
        <v>724</v>
      </c>
      <c r="E67" s="814"/>
      <c r="F67" s="814"/>
      <c r="G67" s="814"/>
      <c r="H67" s="566"/>
      <c r="I67" s="566"/>
      <c r="J67" s="566"/>
      <c r="K67" s="566"/>
      <c r="L67" s="566"/>
      <c r="M67" s="566"/>
      <c r="N67" s="566"/>
      <c r="O67" s="566"/>
      <c r="P67" s="566"/>
      <c r="Q67" s="459"/>
      <c r="Y67" s="517"/>
      <c r="Z67" s="517"/>
      <c r="AA67" s="517"/>
      <c r="AB67" s="517"/>
      <c r="AC67" s="517"/>
      <c r="AD67" s="517"/>
      <c r="AE67" s="517"/>
      <c r="AF67" s="517"/>
      <c r="AG67" s="517"/>
      <c r="AH67" s="517"/>
    </row>
    <row r="68" spans="1:43" s="518" customFormat="1" ht="12" customHeight="1">
      <c r="A68" s="543"/>
      <c r="B68" s="546"/>
      <c r="C68" s="563" t="s">
        <v>718</v>
      </c>
      <c r="D68" s="814" t="s">
        <v>720</v>
      </c>
      <c r="E68" s="814"/>
      <c r="F68" s="814"/>
      <c r="G68" s="814"/>
      <c r="H68" s="566"/>
      <c r="I68" s="566"/>
      <c r="J68" s="566"/>
      <c r="K68" s="566"/>
      <c r="L68" s="566"/>
      <c r="M68" s="566"/>
      <c r="N68" s="566"/>
      <c r="O68" s="566"/>
      <c r="P68" s="566"/>
      <c r="Q68" s="459" t="str">
        <f>IF(D67="systeem D - mechanische toevoer &amp; afvoer","verbergen","")</f>
        <v>verbergen</v>
      </c>
      <c r="Y68" s="517"/>
      <c r="Z68" s="517"/>
      <c r="AA68" s="517"/>
      <c r="AB68" s="517"/>
      <c r="AC68" s="517"/>
      <c r="AD68" s="517"/>
      <c r="AE68" s="517"/>
      <c r="AF68" s="517"/>
      <c r="AG68" s="517"/>
      <c r="AH68" s="517"/>
      <c r="AQ68" s="517"/>
    </row>
    <row r="69" spans="1:43" s="518" customFormat="1" ht="12" customHeight="1">
      <c r="A69" s="543"/>
      <c r="B69" s="546"/>
      <c r="C69" s="563"/>
      <c r="D69" s="730"/>
      <c r="E69" s="730"/>
      <c r="F69" s="730"/>
      <c r="G69" s="730"/>
      <c r="H69" s="566"/>
      <c r="I69" s="566"/>
      <c r="J69" s="566"/>
      <c r="K69" s="566"/>
      <c r="L69" s="566"/>
      <c r="M69" s="566"/>
      <c r="N69" s="566"/>
      <c r="O69" s="567"/>
      <c r="P69" s="564"/>
      <c r="Q69" s="459"/>
      <c r="Y69" s="517"/>
      <c r="Z69" s="517"/>
      <c r="AA69" s="517"/>
      <c r="AB69" s="517"/>
      <c r="AC69" s="517"/>
      <c r="AD69" s="517"/>
      <c r="AE69" s="517"/>
      <c r="AF69" s="517"/>
      <c r="AG69" s="517"/>
      <c r="AH69" s="517"/>
      <c r="AQ69" s="517"/>
    </row>
    <row r="70" spans="1:43" s="518" customFormat="1" ht="12" customHeight="1">
      <c r="A70" s="543"/>
      <c r="B70" s="546"/>
      <c r="C70" s="563" t="s">
        <v>746</v>
      </c>
      <c r="D70" s="730" t="s">
        <v>737</v>
      </c>
      <c r="E70" s="730"/>
      <c r="F70" s="730"/>
      <c r="G70" s="730"/>
      <c r="H70" s="568" t="str">
        <f>IF(D70="n.v.t.","","minimale luchtverversing, privaatrechterlijke eisen in 'hoogstand':")</f>
        <v/>
      </c>
      <c r="I70" s="546"/>
      <c r="J70" s="773"/>
      <c r="K70" s="569"/>
      <c r="L70" s="570"/>
      <c r="M70" s="404"/>
      <c r="N70" s="566" t="str">
        <f>IF(D70="n.v.t.","",N67+G125)</f>
        <v/>
      </c>
      <c r="O70" s="567" t="str">
        <f>IF(D70="n.v.t.","",N70*3.6)</f>
        <v/>
      </c>
      <c r="P70" s="564"/>
      <c r="Q70" s="459"/>
      <c r="Y70" s="517"/>
      <c r="Z70" s="517"/>
      <c r="AA70" s="517"/>
      <c r="AB70" s="517"/>
      <c r="AC70" s="517"/>
      <c r="AD70" s="517"/>
      <c r="AE70" s="517"/>
      <c r="AF70" s="517"/>
      <c r="AG70" s="517"/>
      <c r="AH70" s="517"/>
      <c r="AQ70" s="517"/>
    </row>
    <row r="71" spans="1:43" s="518" customFormat="1" ht="12" customHeight="1">
      <c r="A71" s="543"/>
      <c r="B71" s="546"/>
      <c r="C71" s="563"/>
      <c r="D71" s="730"/>
      <c r="E71" s="730"/>
      <c r="F71" s="730"/>
      <c r="G71" s="730"/>
      <c r="H71" s="766" t="s">
        <v>1133</v>
      </c>
      <c r="I71" s="774"/>
      <c r="J71" s="767"/>
      <c r="K71" s="767"/>
      <c r="L71" s="768"/>
      <c r="M71" s="769"/>
      <c r="N71" s="770"/>
      <c r="O71" s="771"/>
      <c r="P71" s="772"/>
      <c r="Q71" s="459"/>
      <c r="Y71" s="517"/>
      <c r="Z71" s="517"/>
      <c r="AA71" s="517"/>
      <c r="AB71" s="517"/>
      <c r="AC71" s="517"/>
      <c r="AD71" s="517"/>
      <c r="AE71" s="517"/>
      <c r="AF71" s="517"/>
      <c r="AG71" s="517"/>
      <c r="AH71" s="517"/>
      <c r="AQ71" s="517"/>
    </row>
    <row r="72" spans="1:43" s="518" customFormat="1" ht="12" customHeight="1">
      <c r="A72" s="543"/>
      <c r="B72" s="546"/>
      <c r="C72" s="563"/>
      <c r="D72" s="730"/>
      <c r="E72" s="730"/>
      <c r="F72" s="730"/>
      <c r="G72" s="730"/>
      <c r="H72" s="766" t="s">
        <v>1134</v>
      </c>
      <c r="I72" s="774"/>
      <c r="J72" s="775"/>
      <c r="K72" s="775"/>
      <c r="L72" s="768"/>
      <c r="M72" s="769"/>
      <c r="N72" s="770"/>
      <c r="O72" s="771"/>
      <c r="P72" s="772"/>
      <c r="Q72" s="459"/>
      <c r="Y72" s="517"/>
      <c r="Z72" s="517"/>
      <c r="AA72" s="517"/>
      <c r="AB72" s="517"/>
      <c r="AC72" s="517"/>
      <c r="AD72" s="517"/>
      <c r="AE72" s="517"/>
      <c r="AF72" s="517"/>
      <c r="AG72" s="517"/>
      <c r="AH72" s="517"/>
      <c r="AQ72" s="517"/>
    </row>
    <row r="73" spans="1:43" s="518" customFormat="1" ht="12" customHeight="1">
      <c r="A73" s="543"/>
      <c r="B73" s="543"/>
      <c r="C73" s="571" t="str">
        <f>IF(A42:A73=TRUE,"* vanwege het niet direct grenzen van ramen aan grens VG is op basis van gelijkwaardigheid een groter fictief oppervlak aan VG toegekend (zie ook toelichting rapport)","")</f>
        <v/>
      </c>
      <c r="D73" s="572"/>
      <c r="E73" s="572"/>
      <c r="F73" s="572"/>
      <c r="G73" s="572"/>
      <c r="H73" s="572"/>
      <c r="I73" s="572"/>
      <c r="J73" s="468"/>
      <c r="K73" s="490"/>
      <c r="L73" s="422"/>
      <c r="M73" s="471"/>
      <c r="N73" s="470"/>
      <c r="O73" s="573"/>
      <c r="P73" s="574"/>
      <c r="Q73" s="525"/>
      <c r="Y73" s="508"/>
      <c r="Z73" s="508"/>
      <c r="AA73" s="508"/>
      <c r="AB73" s="508"/>
      <c r="AC73" s="517"/>
      <c r="AD73" s="517"/>
      <c r="AE73" s="517"/>
      <c r="AF73" s="517"/>
      <c r="AG73" s="517"/>
      <c r="AH73" s="517"/>
    </row>
    <row r="74" spans="1:43" s="518" customFormat="1" ht="15" customHeight="1">
      <c r="A74" s="515"/>
      <c r="B74" s="515"/>
      <c r="C74" s="457" t="s">
        <v>1085</v>
      </c>
      <c r="D74" s="575"/>
      <c r="E74" s="575"/>
      <c r="F74" s="817"/>
      <c r="G74" s="817"/>
      <c r="H74" s="817"/>
      <c r="I74" s="575"/>
      <c r="J74" s="575"/>
      <c r="K74" s="575"/>
      <c r="L74" s="575"/>
      <c r="M74" s="575"/>
      <c r="N74" s="575"/>
      <c r="O74" s="575"/>
      <c r="P74" s="575"/>
      <c r="Q74" s="522"/>
      <c r="R74" s="516"/>
      <c r="S74" s="516"/>
      <c r="T74" s="521"/>
      <c r="U74" s="516"/>
      <c r="V74" s="548"/>
      <c r="W74" s="548"/>
      <c r="X74" s="548"/>
      <c r="Y74" s="548"/>
      <c r="Z74" s="517"/>
      <c r="AA74" s="517"/>
      <c r="AB74" s="517"/>
      <c r="AC74" s="524"/>
      <c r="AD74" s="517"/>
      <c r="AE74" s="517"/>
      <c r="AF74" s="517"/>
      <c r="AG74" s="517"/>
      <c r="AH74" s="517"/>
    </row>
    <row r="75" spans="1:43" s="518" customFormat="1" ht="12.75" hidden="1" customHeight="1">
      <c r="A75" s="515"/>
      <c r="B75" s="515"/>
      <c r="C75" s="576"/>
      <c r="D75" s="576"/>
      <c r="E75" s="576"/>
      <c r="F75" s="576"/>
      <c r="G75" s="576"/>
      <c r="H75" s="577"/>
      <c r="I75" s="577"/>
      <c r="J75" s="577"/>
      <c r="K75" s="577"/>
      <c r="L75" s="577"/>
      <c r="M75" s="577"/>
      <c r="N75" s="577"/>
      <c r="O75" s="577"/>
      <c r="P75" s="577"/>
      <c r="Q75" s="522"/>
      <c r="R75" s="516"/>
      <c r="S75" s="516"/>
      <c r="T75" s="521"/>
      <c r="U75" s="516"/>
      <c r="V75" s="548"/>
      <c r="W75" s="548"/>
      <c r="X75" s="548"/>
      <c r="Y75" s="548"/>
      <c r="Z75" s="517"/>
      <c r="AA75" s="517"/>
      <c r="AB75" s="517"/>
      <c r="AC75" s="524"/>
      <c r="AD75" s="517"/>
      <c r="AE75" s="517"/>
      <c r="AF75" s="517"/>
    </row>
    <row r="76" spans="1:43" ht="35.25" customHeight="1">
      <c r="A76" s="492"/>
      <c r="B76" s="492"/>
      <c r="C76" s="736" t="s">
        <v>133</v>
      </c>
      <c r="D76" s="460" t="s">
        <v>1106</v>
      </c>
      <c r="E76" s="578" t="s">
        <v>1066</v>
      </c>
      <c r="F76" s="809" t="str">
        <f>IF(S16=3,"","advies toevoercapaciteit")</f>
        <v>advies toevoercapaciteit</v>
      </c>
      <c r="G76" s="809"/>
      <c r="H76" s="809"/>
      <c r="I76" s="809" t="str">
        <f>IF(S16=1,"kozijnmerk","")</f>
        <v/>
      </c>
      <c r="J76" s="809"/>
      <c r="K76" s="579" t="str">
        <f>IF(S16=1,"roostermaat","")</f>
        <v/>
      </c>
      <c r="L76" s="818" t="str">
        <f>IF(AND(S16=1,S17=1),"benodigde capaciteit","")</f>
        <v/>
      </c>
      <c r="M76" s="818"/>
      <c r="N76" s="579" t="str">
        <f>IF(AND(S16=1,S17=2),"type","")</f>
        <v/>
      </c>
      <c r="O76" s="580"/>
      <c r="P76" s="581" t="str">
        <f>IF(AND(S16=1,S17=2),"maximale roostercapaciteit","")</f>
        <v/>
      </c>
      <c r="Q76" s="582"/>
      <c r="R76" s="582"/>
      <c r="S76" s="583"/>
      <c r="T76" s="532"/>
      <c r="U76" s="507"/>
      <c r="V76" s="508"/>
      <c r="W76" s="508"/>
      <c r="X76" s="508"/>
      <c r="Y76" s="508"/>
      <c r="Z76" s="508"/>
      <c r="AA76" s="508"/>
      <c r="AB76" s="508"/>
      <c r="AC76" s="534"/>
      <c r="AD76" s="508"/>
      <c r="AE76" s="508"/>
      <c r="AF76" s="508"/>
    </row>
    <row r="77" spans="1:43" s="541" customFormat="1" ht="12" customHeight="1">
      <c r="B77" s="515"/>
      <c r="C77" s="464" t="str">
        <f>L28</f>
        <v>woonkamer / eetkamer</v>
      </c>
      <c r="D77" s="733">
        <f>IF(F77="intern","",SUMPRODUCT(($AE$1:$AE$28070)*($L$1:$L$28070=C77)))</f>
        <v>28.45</v>
      </c>
      <c r="E77" s="566">
        <f>IF(F77="intern","",IF(D77=0,0,(IF(verzamelblad!$K$7*D77&gt;verzamelblad!$P$7,CEILING(verzamelblad!$K$7*D77,0.1),verzamelblad!$P$7))))</f>
        <v>20</v>
      </c>
      <c r="F77" s="584" t="str">
        <f>IF($S$16=1,"NT","MT")</f>
        <v>MT</v>
      </c>
      <c r="G77" s="731" t="s">
        <v>140</v>
      </c>
      <c r="H77" s="565">
        <v>21</v>
      </c>
      <c r="I77" s="811" t="s">
        <v>251</v>
      </c>
      <c r="J77" s="811"/>
      <c r="K77" s="585">
        <v>0</v>
      </c>
      <c r="L77" s="819" t="str">
        <f>IF(AND(S$16=1,S$17=2),"",IF(S$16=2,"",IF(K77=0,"",H77/(K77/1000))))</f>
        <v/>
      </c>
      <c r="M77" s="819"/>
      <c r="N77" s="816" t="s">
        <v>268</v>
      </c>
      <c r="O77" s="816"/>
      <c r="P77" s="586" t="str">
        <f>IF(K77=0,"-",INDEX('data roosters'!F:J,MATCH(N77,'data roosters'!F:F,0),2)*(K77/1000))</f>
        <v>-</v>
      </c>
      <c r="Q77" s="525" t="str">
        <f>IF(AND($S$16=1,$S$17=2),IF(OR(E77&lt;&gt;0,H77&lt;&gt;0,P77&lt;&gt;"-"),"","verbergen"),IF(OR(E77&lt;&gt;0,H77&lt;&gt;0),"","verbergen"))</f>
        <v/>
      </c>
      <c r="R77" s="587"/>
      <c r="S77" s="529"/>
      <c r="T77" s="516"/>
      <c r="U77" s="516"/>
      <c r="V77" s="507">
        <v>1</v>
      </c>
      <c r="W77" s="516"/>
      <c r="X77" s="516"/>
      <c r="Y77" s="516"/>
      <c r="Z77" s="516"/>
      <c r="AB77" s="516"/>
      <c r="AC77" s="516"/>
      <c r="AD77" s="516"/>
      <c r="AE77" s="516"/>
      <c r="AF77" s="515" t="str">
        <f>IF(E77&gt;0,"x","")</f>
        <v>x</v>
      </c>
      <c r="AG77" s="516"/>
      <c r="AH77" s="516"/>
    </row>
    <row r="78" spans="1:43" s="541" customFormat="1" ht="12" customHeight="1">
      <c r="B78" s="515"/>
      <c r="C78" s="464" t="str">
        <f>L28</f>
        <v>woonkamer / eetkamer</v>
      </c>
      <c r="D78" s="733" t="str">
        <f>IF(F78="intern","",SUMPRODUCT(($AE$1:$AE$28070)*($L$1:$L$28070=C78)))</f>
        <v/>
      </c>
      <c r="E78" s="566" t="str">
        <f>IF(F78="intern","",IF(D78=0,0,(IF(verzamelblad!$K$7*D78&gt;verzamelblad!$P$7,CEILING(verzamelblad!$K$7*D78,0.1),verzamelblad!$P$7))))</f>
        <v/>
      </c>
      <c r="F78" s="584" t="s">
        <v>725</v>
      </c>
      <c r="G78" s="731" t="s">
        <v>1158</v>
      </c>
      <c r="H78" s="565">
        <v>7</v>
      </c>
      <c r="I78" s="811" t="s">
        <v>251</v>
      </c>
      <c r="J78" s="811"/>
      <c r="K78" s="585">
        <v>0</v>
      </c>
      <c r="M78" s="564"/>
      <c r="N78" s="816" t="s">
        <v>268</v>
      </c>
      <c r="O78" s="816"/>
      <c r="P78" s="586" t="str">
        <f>IF(K78=0,"-",INDEX('data roosters'!F:J,MATCH(N78,'data roosters'!F:F,0),2)*(K78/1000))</f>
        <v>-</v>
      </c>
      <c r="Q78" s="525" t="str">
        <f t="shared" ref="Q78:Q81" si="11">IF(AND($S$16=1,$S$17=2),IF(OR(E78&lt;&gt;0,H78&lt;&gt;0,P78&lt;&gt;"-"),"","verbergen"),IF(OR(E78&lt;&gt;0,H78&lt;&gt;0),"","verbergen"))</f>
        <v/>
      </c>
      <c r="R78" s="588"/>
      <c r="S78" s="529"/>
      <c r="T78" s="516"/>
      <c r="U78" s="516"/>
      <c r="V78" s="507">
        <v>1</v>
      </c>
      <c r="W78" s="516"/>
      <c r="X78" s="516"/>
      <c r="Y78" s="516"/>
      <c r="Z78" s="516"/>
      <c r="AB78" s="516"/>
      <c r="AC78" s="516"/>
      <c r="AD78" s="516"/>
      <c r="AE78" s="516"/>
      <c r="AF78" s="515" t="str">
        <f>IF(E78&gt;0,"x","")</f>
        <v>x</v>
      </c>
      <c r="AG78" s="516"/>
      <c r="AH78" s="516"/>
      <c r="AJ78" s="815"/>
      <c r="AK78" s="815"/>
      <c r="AL78" s="815"/>
    </row>
    <row r="79" spans="1:43" s="541" customFormat="1" ht="12" customHeight="1">
      <c r="B79" s="515"/>
      <c r="C79" s="464" t="s">
        <v>252</v>
      </c>
      <c r="D79" s="733">
        <f>IF(F79="intern","",SUMPRODUCT(($AE$1:$AE$28070)*($L$1:$L$28070=C79)))</f>
        <v>0</v>
      </c>
      <c r="E79" s="566">
        <f>IF(F79="intern","",IF(D79=0,0,(IF(verzamelblad!$K$7*D79&gt;verzamelblad!$P$7,CEILING(verzamelblad!$K$7*D79,0.1),verzamelblad!$P$7))))</f>
        <v>0</v>
      </c>
      <c r="F79" s="584" t="str">
        <f>IF($S$16=1,"NT","MT")</f>
        <v>MT</v>
      </c>
      <c r="G79" s="731" t="s">
        <v>140</v>
      </c>
      <c r="H79" s="565">
        <v>0</v>
      </c>
      <c r="I79" s="811" t="s">
        <v>251</v>
      </c>
      <c r="J79" s="811"/>
      <c r="K79" s="585">
        <v>0</v>
      </c>
      <c r="L79" s="564" t="str">
        <f>IF(AND(S$16=1,S$17=2),"",IF(S$16=2,"",IF(K79=0,"",H79/(K79/1000))))</f>
        <v/>
      </c>
      <c r="M79" s="564"/>
      <c r="N79" s="816" t="s">
        <v>268</v>
      </c>
      <c r="O79" s="816"/>
      <c r="P79" s="586" t="str">
        <f>IF(K79=0,"-",INDEX('data roosters'!F:J,MATCH(N79,'data roosters'!F:F,0),2)*(K79/1000))</f>
        <v>-</v>
      </c>
      <c r="Q79" s="525" t="str">
        <f t="shared" si="11"/>
        <v>verbergen</v>
      </c>
      <c r="R79" s="589"/>
      <c r="S79" s="529"/>
      <c r="T79" s="516"/>
      <c r="U79" s="516"/>
      <c r="V79" s="507">
        <v>1</v>
      </c>
      <c r="W79" s="516"/>
      <c r="X79" s="516"/>
      <c r="Y79" s="516"/>
      <c r="Z79" s="516"/>
      <c r="AB79" s="516"/>
      <c r="AC79" s="516"/>
      <c r="AD79" s="516"/>
      <c r="AE79" s="516"/>
      <c r="AF79" s="515" t="str">
        <f>IF(E79&gt;0,"x","")</f>
        <v/>
      </c>
      <c r="AG79" s="516"/>
      <c r="AH79" s="516"/>
      <c r="AJ79" s="815"/>
      <c r="AK79" s="815"/>
      <c r="AL79" s="815"/>
    </row>
    <row r="80" spans="1:43" s="541" customFormat="1" ht="12" customHeight="1">
      <c r="B80" s="515"/>
      <c r="C80" s="464" t="s">
        <v>252</v>
      </c>
      <c r="D80" s="733">
        <f>IF(F80="intern","",SUMPRODUCT(($AE$1:$AE$28070)*($L$1:$L$28070=C80)))</f>
        <v>0</v>
      </c>
      <c r="E80" s="566">
        <f>IF(F80="intern","",IF(D80=0,0,(IF(verzamelblad!$K$7*D80&gt;verzamelblad!$P$7,CEILING(verzamelblad!$K$7*D80,0.1),verzamelblad!$P$7))))</f>
        <v>0</v>
      </c>
      <c r="F80" s="584" t="str">
        <f>IF($S$16=1,"NT","MT")</f>
        <v>MT</v>
      </c>
      <c r="G80" s="731" t="s">
        <v>140</v>
      </c>
      <c r="H80" s="565">
        <v>0</v>
      </c>
      <c r="I80" s="811" t="s">
        <v>251</v>
      </c>
      <c r="J80" s="811"/>
      <c r="K80" s="585">
        <v>0</v>
      </c>
      <c r="L80" s="564" t="str">
        <f>IF(AND(S$16=1,S$17=2),"",IF(S$16=2,"",IF(K80=0,"",H80/(K80/1000))))</f>
        <v/>
      </c>
      <c r="M80" s="564"/>
      <c r="N80" s="816" t="s">
        <v>268</v>
      </c>
      <c r="O80" s="816"/>
      <c r="P80" s="586" t="str">
        <f>IF(K80=0,"-",INDEX('data roosters'!F:J,MATCH(N80,'data roosters'!F:F,0),2)*(K80/1000))</f>
        <v>-</v>
      </c>
      <c r="Q80" s="525" t="str">
        <f t="shared" si="11"/>
        <v>verbergen</v>
      </c>
      <c r="R80" s="589"/>
      <c r="S80" s="529"/>
      <c r="T80" s="516"/>
      <c r="U80" s="516"/>
      <c r="V80" s="507">
        <v>1</v>
      </c>
      <c r="W80" s="516"/>
      <c r="X80" s="516"/>
      <c r="Y80" s="516"/>
      <c r="Z80" s="516"/>
      <c r="AB80" s="516"/>
      <c r="AC80" s="516"/>
      <c r="AD80" s="516"/>
      <c r="AE80" s="516"/>
      <c r="AF80" s="515" t="str">
        <f>IF(E80&gt;0,"x","")</f>
        <v/>
      </c>
      <c r="AG80" s="516"/>
      <c r="AH80" s="516"/>
      <c r="AJ80" s="815"/>
      <c r="AK80" s="815"/>
      <c r="AL80" s="815"/>
    </row>
    <row r="81" spans="1:38" s="541" customFormat="1" ht="12" customHeight="1">
      <c r="B81" s="515"/>
      <c r="C81" s="464" t="s">
        <v>252</v>
      </c>
      <c r="D81" s="733">
        <f>IF(F81="intern","",SUMPRODUCT(($AE$1:$AE$28070)*($L$1:$L$28070=C81)))</f>
        <v>0</v>
      </c>
      <c r="E81" s="566">
        <f>IF(F81="intern","",IF(D81=0,0,(IF(verzamelblad!$K$7*D81&gt;verzamelblad!$P$7,CEILING(verzamelblad!$K$7*D81,0.1),verzamelblad!$P$7))))</f>
        <v>0</v>
      </c>
      <c r="F81" s="584" t="str">
        <f>IF($S$16=1,"NT","MT")</f>
        <v>MT</v>
      </c>
      <c r="G81" s="731" t="s">
        <v>140</v>
      </c>
      <c r="H81" s="565">
        <v>0</v>
      </c>
      <c r="I81" s="811" t="s">
        <v>251</v>
      </c>
      <c r="J81" s="811"/>
      <c r="K81" s="585">
        <v>0</v>
      </c>
      <c r="L81" s="564"/>
      <c r="M81" s="564"/>
      <c r="N81" s="816" t="s">
        <v>268</v>
      </c>
      <c r="O81" s="816"/>
      <c r="P81" s="586" t="str">
        <f>IF(K81=0,"-",INDEX('data roosters'!F:J,MATCH(N81,'data roosters'!F:F,0),2)*(K81/1000))</f>
        <v>-</v>
      </c>
      <c r="Q81" s="525" t="str">
        <f t="shared" si="11"/>
        <v>verbergen</v>
      </c>
      <c r="R81" s="589"/>
      <c r="S81" s="529"/>
      <c r="T81" s="516"/>
      <c r="U81" s="516"/>
      <c r="V81" s="507">
        <v>1</v>
      </c>
      <c r="W81" s="516"/>
      <c r="X81" s="516"/>
      <c r="Y81" s="516"/>
      <c r="Z81" s="516"/>
      <c r="AB81" s="516"/>
      <c r="AC81" s="516"/>
      <c r="AD81" s="516"/>
      <c r="AE81" s="516"/>
      <c r="AF81" s="515" t="str">
        <f>IF(E81&gt;0,"x","")</f>
        <v/>
      </c>
      <c r="AG81" s="516"/>
      <c r="AH81" s="516"/>
      <c r="AJ81" s="815"/>
      <c r="AK81" s="815"/>
      <c r="AL81" s="815"/>
    </row>
    <row r="82" spans="1:38" s="541" customFormat="1" ht="12" customHeight="1">
      <c r="B82" s="590">
        <v>1</v>
      </c>
      <c r="C82" s="480">
        <f>B82</f>
        <v>1</v>
      </c>
      <c r="D82" s="481">
        <f>SUMPRODUCT(($AD$1:$AD$50026)*($AC$1:$AC$50026=B82))</f>
        <v>28.45</v>
      </c>
      <c r="E82" s="591">
        <f>IF(D82=0,0,(IF(verzamelblad!$E$7*D82&gt;verzamelblad!$J$7,CEILING(verzamelblad!$E$7*D82,0.1),verzamelblad!$J$7)))</f>
        <v>25.700000000000003</v>
      </c>
      <c r="F82" s="820" t="str">
        <f>IF(SUM(H77:H81)&lt;E82,"voldoet niet op VG-niveau","totaal: "&amp;SUM(H77:H81) &amp; " dm³/s ")</f>
        <v xml:space="preserve">totaal: 28 dm³/s </v>
      </c>
      <c r="G82" s="820"/>
      <c r="H82" s="820"/>
      <c r="I82" s="592"/>
      <c r="J82" s="593"/>
      <c r="K82" s="594"/>
      <c r="L82" s="595"/>
      <c r="M82" s="821"/>
      <c r="N82" s="821"/>
      <c r="O82" s="596"/>
      <c r="P82" s="597"/>
      <c r="Q82" s="459"/>
      <c r="R82" s="589"/>
      <c r="S82" s="529"/>
      <c r="T82" s="516"/>
      <c r="U82" s="516"/>
      <c r="V82" s="547">
        <v>1</v>
      </c>
      <c r="W82" s="516"/>
      <c r="X82" s="516"/>
      <c r="Y82" s="516"/>
      <c r="Z82" s="516"/>
      <c r="AB82" s="516"/>
      <c r="AC82" s="516"/>
      <c r="AD82" s="516"/>
      <c r="AE82" s="516"/>
      <c r="AF82" s="515" t="str">
        <f>IF(B82&gt;0,"ja")</f>
        <v>ja</v>
      </c>
      <c r="AG82" s="516"/>
      <c r="AH82" s="516"/>
    </row>
    <row r="83" spans="1:38" s="541" customFormat="1" ht="12" customHeight="1">
      <c r="B83" s="515"/>
      <c r="C83" s="598"/>
      <c r="D83" s="422"/>
      <c r="E83" s="422"/>
      <c r="F83" s="422"/>
      <c r="G83" s="422"/>
      <c r="H83" s="599"/>
      <c r="I83" s="599"/>
      <c r="J83" s="530"/>
      <c r="K83" s="600"/>
      <c r="L83" s="600"/>
      <c r="M83" s="600"/>
      <c r="N83" s="600"/>
      <c r="O83" s="600"/>
      <c r="P83" s="600"/>
      <c r="Q83" s="459"/>
      <c r="R83" s="589"/>
      <c r="S83" s="529"/>
      <c r="T83" s="516"/>
      <c r="U83" s="516"/>
      <c r="V83" s="507">
        <v>1</v>
      </c>
      <c r="W83" s="516"/>
      <c r="X83" s="516"/>
      <c r="Y83" s="516"/>
      <c r="Z83" s="516"/>
      <c r="AB83" s="516"/>
      <c r="AC83" s="516"/>
      <c r="AD83" s="516"/>
      <c r="AE83" s="516"/>
      <c r="AF83" s="515"/>
      <c r="AG83" s="516"/>
      <c r="AH83" s="516"/>
    </row>
    <row r="84" spans="1:38" s="541" customFormat="1" ht="12" customHeight="1">
      <c r="A84" s="404"/>
      <c r="B84" s="543"/>
      <c r="C84" s="464" t="str">
        <f>L29</f>
        <v>keuken</v>
      </c>
      <c r="D84" s="733">
        <f>IF(F84="intern","",SUMPRODUCT(($AE$1:$AE$28070)*($L$1:$L$28070=C84)))</f>
        <v>15.1</v>
      </c>
      <c r="E84" s="566">
        <f>IF(F84="intern","",IF(D84=0,0,(IF(verzamelblad!$K$7*D84&gt;verzamelblad!$P$7,CEILING(verzamelblad!$K$7*D84,0.1),verzamelblad!$P$7))))</f>
        <v>10.600000000000001</v>
      </c>
      <c r="F84" s="584" t="str">
        <f>IF($S$16=1,"NT","MT")</f>
        <v>MT</v>
      </c>
      <c r="G84" s="731" t="s">
        <v>140</v>
      </c>
      <c r="H84" s="565">
        <v>7</v>
      </c>
      <c r="I84" s="811" t="s">
        <v>251</v>
      </c>
      <c r="J84" s="811"/>
      <c r="K84" s="585">
        <v>0</v>
      </c>
      <c r="L84" s="819" t="str">
        <f>IF(AND(S$16=1,S$17=2),"",IF(S$16=2,"",IF(K84=0,"",H84/(K84/1000))))</f>
        <v/>
      </c>
      <c r="M84" s="819"/>
      <c r="N84" s="816" t="s">
        <v>268</v>
      </c>
      <c r="O84" s="816"/>
      <c r="P84" s="586" t="str">
        <f>IF(K84=0,"-",INDEX('data roosters'!F:J,MATCH(N84,'data roosters'!F:F,0),2)*(K84/1000))</f>
        <v>-</v>
      </c>
      <c r="Q84" s="729" t="str">
        <f>IF(AND($S$16=1,$S$17=2),IF(OR(E84&lt;&gt;0,H84&lt;&gt;0,P84&lt;&gt;"-"),"","verbergen"),IF(OR(E84&lt;&gt;0,H84&lt;&gt;0),"","verbergen"))</f>
        <v/>
      </c>
      <c r="R84" s="601"/>
      <c r="S84" s="602"/>
      <c r="T84" s="392"/>
      <c r="U84" s="392"/>
      <c r="V84" s="547">
        <f>V83+1</f>
        <v>2</v>
      </c>
      <c r="W84" s="392"/>
      <c r="X84" s="392"/>
      <c r="Y84" s="392"/>
      <c r="Z84" s="392"/>
      <c r="AA84" s="404"/>
      <c r="AB84" s="516"/>
      <c r="AC84" s="516"/>
      <c r="AD84" s="516"/>
      <c r="AE84" s="516"/>
      <c r="AF84" s="515" t="str">
        <f>IF(E84&gt;0,"x","")</f>
        <v>x</v>
      </c>
      <c r="AG84" s="516"/>
      <c r="AH84" s="516"/>
    </row>
    <row r="85" spans="1:38" s="541" customFormat="1" ht="12" customHeight="1">
      <c r="A85" s="404"/>
      <c r="B85" s="543"/>
      <c r="C85" s="464" t="str">
        <f>L29</f>
        <v>keuken</v>
      </c>
      <c r="D85" s="733" t="str">
        <f>IF(F85="intern","",SUMPRODUCT(($AE$1:$AE$28038)*($L$1:$L$28038=C85)))</f>
        <v/>
      </c>
      <c r="E85" s="566" t="str">
        <f>IF(F85="intern","",IF(D85=0,0,(IF(verzamelblad!$K$7*D85&gt;verzamelblad!$P$7,CEILING(verzamelblad!$K$7*D85,0.1),verzamelblad!$P$7))))</f>
        <v/>
      </c>
      <c r="F85" s="584" t="s">
        <v>725</v>
      </c>
      <c r="G85" s="731" t="s">
        <v>1158</v>
      </c>
      <c r="H85" s="565">
        <v>7</v>
      </c>
      <c r="I85" s="811" t="s">
        <v>251</v>
      </c>
      <c r="J85" s="811"/>
      <c r="K85" s="585">
        <v>0</v>
      </c>
      <c r="L85" s="819" t="str">
        <f>IF(AND(S$16=1,S$17=2),"",IF(S$16=2,"",IF(K85=0,"",H85/(K85/1000))))</f>
        <v/>
      </c>
      <c r="M85" s="819"/>
      <c r="N85" s="816" t="s">
        <v>268</v>
      </c>
      <c r="O85" s="816"/>
      <c r="P85" s="586" t="str">
        <f>IF(K85=0,"-",INDEX('data roosters'!F:J,MATCH(N85,'data roosters'!F:F,0),2)*(K85/1000))</f>
        <v>-</v>
      </c>
      <c r="Q85" s="729" t="str">
        <f t="shared" ref="Q85:Q88" si="12">IF(AND($S$16=1,$S$17=2),IF(OR(E85&lt;&gt;0,H85&lt;&gt;0,P85&lt;&gt;"-"),"","verbergen"),IF(OR(E85&lt;&gt;0,H85&lt;&gt;0),"","verbergen"))</f>
        <v/>
      </c>
      <c r="R85" s="418"/>
      <c r="S85" s="602"/>
      <c r="T85" s="392"/>
      <c r="U85" s="392"/>
      <c r="V85" s="547">
        <f t="shared" ref="V85:V90" si="13">V84</f>
        <v>2</v>
      </c>
      <c r="W85" s="392"/>
      <c r="X85" s="392"/>
      <c r="Y85" s="392"/>
      <c r="Z85" s="392"/>
      <c r="AA85" s="404"/>
      <c r="AB85" s="516"/>
      <c r="AC85" s="516"/>
      <c r="AD85" s="516"/>
      <c r="AE85" s="516"/>
      <c r="AF85" s="515" t="str">
        <f>IF(E85&gt;0,"x","")</f>
        <v>x</v>
      </c>
      <c r="AG85" s="516"/>
      <c r="AH85" s="516"/>
    </row>
    <row r="86" spans="1:38" s="541" customFormat="1" ht="12" customHeight="1">
      <c r="A86" s="404"/>
      <c r="B86" s="543"/>
      <c r="C86" s="464" t="str">
        <f>L30</f>
        <v>bijkeuken</v>
      </c>
      <c r="D86" s="733">
        <f>IF(F86="intern","",SUMPRODUCT(($AE$1:$AE$28070)*($L$1:$L$28070=C86)))</f>
        <v>5.96</v>
      </c>
      <c r="E86" s="566">
        <f>IF(F86="intern","",IF(D86=0,0,(IF(verzamelblad!$K$7*D86&gt;verzamelblad!$P$7,CEILING(verzamelblad!$K$7*D86,0.1),verzamelblad!$P$7))))</f>
        <v>7</v>
      </c>
      <c r="F86" s="584" t="str">
        <f>IF($S$16=1,"NT","MT")</f>
        <v>MT</v>
      </c>
      <c r="G86" s="731" t="s">
        <v>140</v>
      </c>
      <c r="H86" s="565">
        <v>7</v>
      </c>
      <c r="I86" s="811" t="s">
        <v>251</v>
      </c>
      <c r="J86" s="811"/>
      <c r="K86" s="585">
        <v>0</v>
      </c>
      <c r="L86" s="819" t="str">
        <f>IF(AND(S$16=1,S$17=2),"",IF(S$16=2,"",IF(K86=0,"",H86/(K86/1000))))</f>
        <v/>
      </c>
      <c r="M86" s="819"/>
      <c r="N86" s="816" t="s">
        <v>268</v>
      </c>
      <c r="O86" s="816"/>
      <c r="P86" s="586" t="str">
        <f>IF(K86=0,"-",INDEX('data roosters'!F:J,MATCH(N86,'data roosters'!F:F,0),2)*(K86/1000))</f>
        <v>-</v>
      </c>
      <c r="Q86" s="729" t="str">
        <f t="shared" si="12"/>
        <v/>
      </c>
      <c r="R86" s="603"/>
      <c r="S86" s="602"/>
      <c r="T86" s="392"/>
      <c r="U86" s="392"/>
      <c r="V86" s="547">
        <f t="shared" si="13"/>
        <v>2</v>
      </c>
      <c r="W86" s="392"/>
      <c r="X86" s="392"/>
      <c r="Y86" s="392"/>
      <c r="Z86" s="392"/>
      <c r="AA86" s="404"/>
      <c r="AB86" s="516"/>
      <c r="AC86" s="516"/>
      <c r="AD86" s="516"/>
      <c r="AE86" s="516"/>
      <c r="AF86" s="515" t="str">
        <f>IF(E86&gt;0,"x","")</f>
        <v>x</v>
      </c>
      <c r="AG86" s="516"/>
      <c r="AH86" s="516"/>
    </row>
    <row r="87" spans="1:38" s="541" customFormat="1" ht="12" customHeight="1">
      <c r="A87" s="404"/>
      <c r="B87" s="543"/>
      <c r="C87" s="464" t="s">
        <v>252</v>
      </c>
      <c r="D87" s="733">
        <f>IF(F87="intern","",SUMPRODUCT(($AE$1:$AE$28038)*($L$1:$L$28038=C87)))</f>
        <v>0</v>
      </c>
      <c r="E87" s="566">
        <f>IF(F87="intern","",IF(D87=0,0,(IF(verzamelblad!$K$7*D87&gt;verzamelblad!$P$7,CEILING(verzamelblad!$K$7*D87,0.1),verzamelblad!$P$7))))</f>
        <v>0</v>
      </c>
      <c r="F87" s="584" t="str">
        <f>IF($S$16=1,"NT","MT")</f>
        <v>MT</v>
      </c>
      <c r="G87" s="731" t="s">
        <v>140</v>
      </c>
      <c r="H87" s="565">
        <v>0</v>
      </c>
      <c r="I87" s="811" t="s">
        <v>251</v>
      </c>
      <c r="J87" s="811"/>
      <c r="K87" s="585">
        <v>0</v>
      </c>
      <c r="L87" s="819" t="str">
        <f>IF(AND(S$16=1,S$17=2),"",IF(S$16=2,"",IF(K87=0,"",H87/(K87/1000))))</f>
        <v/>
      </c>
      <c r="M87" s="819"/>
      <c r="N87" s="816" t="s">
        <v>268</v>
      </c>
      <c r="O87" s="816"/>
      <c r="P87" s="586" t="str">
        <f>IF(K87=0,"-",INDEX('data roosters'!F:J,MATCH(N87,'data roosters'!F:F,0),2)*(K87/1000))</f>
        <v>-</v>
      </c>
      <c r="Q87" s="729" t="str">
        <f t="shared" si="12"/>
        <v>verbergen</v>
      </c>
      <c r="R87" s="603"/>
      <c r="S87" s="602"/>
      <c r="T87" s="392"/>
      <c r="U87" s="392"/>
      <c r="V87" s="547">
        <f t="shared" si="13"/>
        <v>2</v>
      </c>
      <c r="W87" s="392"/>
      <c r="X87" s="392"/>
      <c r="Y87" s="392"/>
      <c r="Z87" s="392"/>
      <c r="AA87" s="404"/>
      <c r="AB87" s="516"/>
      <c r="AC87" s="516"/>
      <c r="AD87" s="516"/>
      <c r="AE87" s="516"/>
      <c r="AF87" s="515" t="str">
        <f>IF(E87&gt;0,"x","")</f>
        <v/>
      </c>
      <c r="AG87" s="516"/>
      <c r="AH87" s="516"/>
    </row>
    <row r="88" spans="1:38" s="541" customFormat="1" ht="12" customHeight="1">
      <c r="A88" s="404"/>
      <c r="B88" s="543"/>
      <c r="C88" s="464" t="s">
        <v>252</v>
      </c>
      <c r="D88" s="737">
        <f>IF(F88="intern","",SUMPRODUCT(($AE$1:$AE$28038)*($L$1:$L$28038=C88)))</f>
        <v>0</v>
      </c>
      <c r="E88" s="604">
        <f>IF(F88="intern","",IF(D88=0,0,(IF(verzamelblad!$K$7*D88&gt;verzamelblad!$P$7,CEILING(verzamelblad!$K$7*D88,0.1),verzamelblad!$P$7))))</f>
        <v>0</v>
      </c>
      <c r="F88" s="605" t="str">
        <f>IF($S$16=1,"NT","MT")</f>
        <v>MT</v>
      </c>
      <c r="G88" s="606" t="s">
        <v>140</v>
      </c>
      <c r="H88" s="607">
        <v>0</v>
      </c>
      <c r="I88" s="812" t="s">
        <v>251</v>
      </c>
      <c r="J88" s="812"/>
      <c r="K88" s="608">
        <v>0</v>
      </c>
      <c r="L88" s="822" t="str">
        <f>IF(AND(S$16=1,S$17=2),"",IF(S$16=2,"",IF(K88=0,"",H88/(K88/1000))))</f>
        <v/>
      </c>
      <c r="M88" s="822"/>
      <c r="N88" s="823" t="s">
        <v>268</v>
      </c>
      <c r="O88" s="823"/>
      <c r="P88" s="609" t="str">
        <f>IF(K88=0,"-",INDEX('data roosters'!F:J,MATCH(N88,'data roosters'!F:F,0),2)*(K88/1000))</f>
        <v>-</v>
      </c>
      <c r="Q88" s="729" t="str">
        <f t="shared" si="12"/>
        <v>verbergen</v>
      </c>
      <c r="R88" s="603"/>
      <c r="S88" s="602"/>
      <c r="T88" s="392"/>
      <c r="U88" s="392"/>
      <c r="V88" s="547">
        <f t="shared" si="13"/>
        <v>2</v>
      </c>
      <c r="W88" s="392"/>
      <c r="X88" s="392"/>
      <c r="Y88" s="392"/>
      <c r="Z88" s="392"/>
      <c r="AA88" s="404"/>
      <c r="AB88" s="516"/>
      <c r="AC88" s="516"/>
      <c r="AD88" s="516"/>
      <c r="AE88" s="516"/>
      <c r="AF88" s="515" t="str">
        <f>IF(E88&gt;0,"x","")</f>
        <v/>
      </c>
      <c r="AG88" s="516"/>
      <c r="AH88" s="516"/>
    </row>
    <row r="89" spans="1:38" s="541" customFormat="1" ht="12" customHeight="1">
      <c r="A89" s="404"/>
      <c r="B89" s="556">
        <f>B82+1</f>
        <v>2</v>
      </c>
      <c r="C89" s="480">
        <f>B89</f>
        <v>2</v>
      </c>
      <c r="D89" s="481">
        <f>SUMPRODUCT(($AD$1:$AD$50080)*($AC$1:$AC$50080=B89))</f>
        <v>22.4</v>
      </c>
      <c r="E89" s="591">
        <f>IF(D89=0,0,(IF(verzamelblad!$E$7*D89&gt;verzamelblad!$J$7,CEILING(verzamelblad!$E$7*D89,0.1),verzamelblad!$J$7)))</f>
        <v>20.200000000000003</v>
      </c>
      <c r="F89" s="824" t="str">
        <f>IF(SUM(H84:H88)&lt;E89,"voldoet niet op VG-niveau","totaal: "&amp;SUM(H84:H88) &amp; " dm³/s ")</f>
        <v xml:space="preserve">totaal: 21 dm³/s </v>
      </c>
      <c r="G89" s="824"/>
      <c r="H89" s="824"/>
      <c r="I89" s="592"/>
      <c r="J89" s="593"/>
      <c r="K89" s="594"/>
      <c r="L89" s="595"/>
      <c r="M89" s="821"/>
      <c r="N89" s="821"/>
      <c r="O89" s="596"/>
      <c r="P89" s="597"/>
      <c r="Q89" s="403"/>
      <c r="R89" s="603"/>
      <c r="S89" s="602"/>
      <c r="T89" s="392"/>
      <c r="U89" s="392"/>
      <c r="V89" s="547">
        <f t="shared" si="13"/>
        <v>2</v>
      </c>
      <c r="W89" s="392"/>
      <c r="X89" s="392"/>
      <c r="Y89" s="392"/>
      <c r="Z89" s="392"/>
      <c r="AA89" s="404"/>
      <c r="AB89" s="516"/>
      <c r="AC89" s="516"/>
      <c r="AD89" s="516"/>
      <c r="AE89" s="516"/>
      <c r="AF89" s="515" t="str">
        <f>IF(B89&gt;0,"ja")</f>
        <v>ja</v>
      </c>
      <c r="AG89" s="516"/>
      <c r="AH89" s="516"/>
    </row>
    <row r="90" spans="1:38" s="541" customFormat="1" ht="12" customHeight="1">
      <c r="A90" s="543"/>
      <c r="B90" s="543"/>
      <c r="C90" s="598"/>
      <c r="D90" s="422"/>
      <c r="E90" s="422"/>
      <c r="F90" s="422"/>
      <c r="G90" s="422"/>
      <c r="H90" s="599"/>
      <c r="I90" s="599"/>
      <c r="J90" s="530"/>
      <c r="K90" s="600"/>
      <c r="L90" s="600"/>
      <c r="M90" s="600"/>
      <c r="N90" s="600"/>
      <c r="O90" s="600"/>
      <c r="P90" s="600"/>
      <c r="Q90" s="403"/>
      <c r="R90" s="603"/>
      <c r="S90" s="602"/>
      <c r="T90" s="392"/>
      <c r="U90" s="392"/>
      <c r="V90" s="547">
        <f t="shared" si="13"/>
        <v>2</v>
      </c>
      <c r="W90" s="392"/>
      <c r="X90" s="392"/>
      <c r="Y90" s="392"/>
      <c r="Z90" s="392"/>
      <c r="AA90" s="404"/>
      <c r="AB90" s="516"/>
      <c r="AC90" s="516"/>
      <c r="AD90" s="516"/>
      <c r="AE90" s="516"/>
      <c r="AF90" s="516"/>
      <c r="AG90" s="516"/>
      <c r="AH90" s="516"/>
    </row>
    <row r="91" spans="1:38" s="541" customFormat="1" ht="12" customHeight="1">
      <c r="A91" s="404"/>
      <c r="B91" s="543"/>
      <c r="C91" s="464" t="str">
        <f>L31</f>
        <v>slaapkamer 1</v>
      </c>
      <c r="D91" s="733">
        <f>IF(F91="intern","",SUMPRODUCT(($AE$1:$AE$28022)*($L$1:$L$28022=C91)))</f>
        <v>15.87</v>
      </c>
      <c r="E91" s="566">
        <f>IF(F91="intern","",IF(D91=0,0,(IF(verzamelblad!$K$7*D91&gt;verzamelblad!$P$7,CEILING(verzamelblad!$K$7*D91,0.1),verzamelblad!$P$7))))</f>
        <v>11.200000000000001</v>
      </c>
      <c r="F91" s="584" t="str">
        <f>IF($S$16=1,"NT","MT")</f>
        <v>MT</v>
      </c>
      <c r="G91" s="731" t="s">
        <v>140</v>
      </c>
      <c r="H91" s="565">
        <v>14</v>
      </c>
      <c r="I91" s="811" t="s">
        <v>251</v>
      </c>
      <c r="J91" s="811"/>
      <c r="K91" s="585">
        <v>0</v>
      </c>
      <c r="L91" s="819" t="str">
        <f>IF(AND(S$16=1,S$17=2),"",IF(S$16=2,"",IF(K91=0,"",H91/(K91/1000))))</f>
        <v/>
      </c>
      <c r="M91" s="819"/>
      <c r="N91" s="816" t="s">
        <v>268</v>
      </c>
      <c r="O91" s="816"/>
      <c r="P91" s="586" t="str">
        <f>IF(K91=0,"-",INDEX('data roosters'!F:J,MATCH(N91,'data roosters'!F:F,0),2)*(K91/1000))</f>
        <v>-</v>
      </c>
      <c r="Q91" s="729" t="str">
        <f>IF(AND($S$16=1,$S$17=2),IF(OR(E91&lt;&gt;0,H91&lt;&gt;0,P91&lt;&gt;"-"),"","verbergen"),IF(OR(E91&lt;&gt;0,H91&lt;&gt;0),"","verbergen"))</f>
        <v/>
      </c>
      <c r="R91" s="601"/>
      <c r="S91" s="602"/>
      <c r="T91" s="392"/>
      <c r="U91" s="392"/>
      <c r="V91" s="547">
        <f>V90+1</f>
        <v>3</v>
      </c>
      <c r="W91" s="392"/>
      <c r="X91" s="392"/>
      <c r="Y91" s="392"/>
      <c r="Z91" s="392"/>
      <c r="AA91" s="404"/>
      <c r="AB91" s="516"/>
      <c r="AC91" s="516"/>
      <c r="AD91" s="516"/>
      <c r="AE91" s="516"/>
      <c r="AF91" s="515" t="str">
        <f>IF(E91&gt;0,"x","")</f>
        <v>x</v>
      </c>
      <c r="AG91" s="516"/>
      <c r="AH91" s="516"/>
    </row>
    <row r="92" spans="1:38" s="541" customFormat="1" ht="12" customHeight="1">
      <c r="A92" s="404"/>
      <c r="B92" s="543"/>
      <c r="C92" s="464" t="str">
        <f>L32</f>
        <v>slaapkamer 2</v>
      </c>
      <c r="D92" s="733">
        <f>IF(F92="intern","",SUMPRODUCT(($AE$1:$AE$28022)*($L$1:$L$28022=C92)))</f>
        <v>7.47</v>
      </c>
      <c r="E92" s="566">
        <f>IF(F92="intern","",IF(D92=0,0,(IF(verzamelblad!$K$7*D92&gt;verzamelblad!$P$7,CEILING(verzamelblad!$K$7*D92,0.1),verzamelblad!$P$7))))</f>
        <v>7</v>
      </c>
      <c r="F92" s="584" t="str">
        <f>IF($S$16=1,"NT","MT")</f>
        <v>MT</v>
      </c>
      <c r="G92" s="731" t="s">
        <v>140</v>
      </c>
      <c r="H92" s="565">
        <v>14</v>
      </c>
      <c r="I92" s="811" t="s">
        <v>251</v>
      </c>
      <c r="J92" s="811"/>
      <c r="K92" s="585">
        <v>0</v>
      </c>
      <c r="L92" s="819" t="str">
        <f>IF(AND(S$16=1,S$17=2),"",IF(S$16=2,"",IF(K92=0,"",H92/(K92/1000))))</f>
        <v/>
      </c>
      <c r="M92" s="819"/>
      <c r="N92" s="816" t="s">
        <v>268</v>
      </c>
      <c r="O92" s="816"/>
      <c r="P92" s="586" t="str">
        <f>IF(K92=0,"-",INDEX('data roosters'!F:J,MATCH(N92,'data roosters'!F:F,0),2)*(K92/1000))</f>
        <v>-</v>
      </c>
      <c r="Q92" s="729" t="str">
        <f t="shared" ref="Q92:Q95" si="14">IF(AND($S$16=1,$S$17=2),IF(OR(E92&lt;&gt;0,H92&lt;&gt;0,P92&lt;&gt;"-"),"","verbergen"),IF(OR(E92&lt;&gt;0,H92&lt;&gt;0),"","verbergen"))</f>
        <v/>
      </c>
      <c r="R92" s="418"/>
      <c r="S92" s="602"/>
      <c r="T92" s="392"/>
      <c r="U92" s="392"/>
      <c r="V92" s="547">
        <f t="shared" ref="V92:V97" si="15">V91</f>
        <v>3</v>
      </c>
      <c r="W92" s="392"/>
      <c r="X92" s="392"/>
      <c r="Y92" s="392"/>
      <c r="Z92" s="392"/>
      <c r="AA92" s="404"/>
      <c r="AB92" s="516"/>
      <c r="AC92" s="516"/>
      <c r="AD92" s="516"/>
      <c r="AE92" s="516"/>
      <c r="AF92" s="515" t="str">
        <f>IF(E92&gt;0,"x","")</f>
        <v>x</v>
      </c>
      <c r="AG92" s="516"/>
      <c r="AH92" s="516"/>
    </row>
    <row r="93" spans="1:38" s="541" customFormat="1" ht="12" customHeight="1">
      <c r="A93" s="404"/>
      <c r="B93" s="543"/>
      <c r="C93" s="464" t="str">
        <f>L33</f>
        <v>studeerkamer</v>
      </c>
      <c r="D93" s="733">
        <f>IF(F93="intern","",SUMPRODUCT(($AE$1:$AE$28022)*($L$1:$L$28022=C93)))</f>
        <v>3.66</v>
      </c>
      <c r="E93" s="566">
        <f>IF(F93="intern","",IF(D93=0,0,(IF(verzamelblad!$K$7*D93&gt;verzamelblad!$P$7,CEILING(verzamelblad!$K$7*D93,0.1),verzamelblad!$P$7))))</f>
        <v>7</v>
      </c>
      <c r="F93" s="584" t="str">
        <f>IF($S$16=1,"NT","MT")</f>
        <v>MT</v>
      </c>
      <c r="G93" s="731" t="s">
        <v>140</v>
      </c>
      <c r="H93" s="565">
        <v>14</v>
      </c>
      <c r="I93" s="811" t="s">
        <v>251</v>
      </c>
      <c r="J93" s="811"/>
      <c r="K93" s="585">
        <v>0</v>
      </c>
      <c r="L93" s="819" t="str">
        <f>IF(AND(S$16=1,S$17=2),"",IF(S$16=2,"",IF(K93=0,"",H93/(K93/1000))))</f>
        <v/>
      </c>
      <c r="M93" s="819"/>
      <c r="N93" s="816" t="s">
        <v>268</v>
      </c>
      <c r="O93" s="816"/>
      <c r="P93" s="586" t="str">
        <f>IF(K93=0,"-",INDEX('data roosters'!F:J,MATCH(N93,'data roosters'!F:F,0),2)*(K93/1000))</f>
        <v>-</v>
      </c>
      <c r="Q93" s="729" t="str">
        <f t="shared" si="14"/>
        <v/>
      </c>
      <c r="R93" s="603"/>
      <c r="S93" s="602"/>
      <c r="T93" s="392"/>
      <c r="U93" s="392"/>
      <c r="V93" s="547">
        <f t="shared" si="15"/>
        <v>3</v>
      </c>
      <c r="W93" s="392"/>
      <c r="X93" s="392"/>
      <c r="Y93" s="392"/>
      <c r="Z93" s="392"/>
      <c r="AA93" s="404"/>
      <c r="AB93" s="516"/>
      <c r="AC93" s="516"/>
      <c r="AD93" s="516"/>
      <c r="AE93" s="516"/>
      <c r="AF93" s="515" t="str">
        <f>IF(E93&gt;0,"x","")</f>
        <v>x</v>
      </c>
      <c r="AG93" s="516"/>
      <c r="AH93" s="516"/>
    </row>
    <row r="94" spans="1:38" s="541" customFormat="1" ht="12" customHeight="1">
      <c r="A94" s="404"/>
      <c r="B94" s="543"/>
      <c r="C94" s="464" t="str">
        <f>L34</f>
        <v>slaapkamer 3</v>
      </c>
      <c r="D94" s="733">
        <f>IF(F94="intern","",SUMPRODUCT(($AE$1:$AE$28022)*($L$1:$L$28022=C94)))</f>
        <v>9.34</v>
      </c>
      <c r="E94" s="566">
        <f>IF(F94="intern","",IF(D94=0,0,(IF(verzamelblad!$K$7*D94&gt;verzamelblad!$P$7,CEILING(verzamelblad!$K$7*D94,0.1),verzamelblad!$P$7))))</f>
        <v>7</v>
      </c>
      <c r="F94" s="584" t="str">
        <f>IF($S$16=1,"NT","MT")</f>
        <v>MT</v>
      </c>
      <c r="G94" s="731" t="s">
        <v>140</v>
      </c>
      <c r="H94" s="565">
        <v>0</v>
      </c>
      <c r="I94" s="811" t="s">
        <v>251</v>
      </c>
      <c r="J94" s="811"/>
      <c r="K94" s="585">
        <v>0</v>
      </c>
      <c r="L94" s="819" t="str">
        <f>IF(AND(S$16=1,S$17=2),"",IF(S$16=2,"",IF(K94=0,"",H94/(K94/1000))))</f>
        <v/>
      </c>
      <c r="M94" s="819"/>
      <c r="N94" s="816" t="s">
        <v>268</v>
      </c>
      <c r="O94" s="816"/>
      <c r="P94" s="586" t="str">
        <f>IF(K94=0,"-",INDEX('data roosters'!F:J,MATCH(N94,'data roosters'!F:F,0),2)*(K94/1000))</f>
        <v>-</v>
      </c>
      <c r="Q94" s="729" t="str">
        <f t="shared" si="14"/>
        <v/>
      </c>
      <c r="R94" s="603"/>
      <c r="S94" s="602"/>
      <c r="T94" s="392"/>
      <c r="U94" s="392"/>
      <c r="V94" s="547">
        <f t="shared" si="15"/>
        <v>3</v>
      </c>
      <c r="W94" s="392"/>
      <c r="X94" s="392"/>
      <c r="Y94" s="392"/>
      <c r="Z94" s="392"/>
      <c r="AA94" s="404"/>
      <c r="AB94" s="516"/>
      <c r="AC94" s="516"/>
      <c r="AD94" s="516"/>
      <c r="AE94" s="516"/>
      <c r="AF94" s="515" t="str">
        <f>IF(E94&gt;0,"x","")</f>
        <v>x</v>
      </c>
      <c r="AG94" s="516"/>
      <c r="AH94" s="516"/>
    </row>
    <row r="95" spans="1:38" s="541" customFormat="1" ht="12" customHeight="1">
      <c r="A95" s="404"/>
      <c r="B95" s="543"/>
      <c r="C95" s="472" t="s">
        <v>252</v>
      </c>
      <c r="D95" s="737">
        <f>IF(F95="intern","",SUMPRODUCT(($AE$1:$AE$28022)*($L$1:$L$28022=C95)))</f>
        <v>0</v>
      </c>
      <c r="E95" s="604">
        <f>IF(F95="intern","",IF(D95=0,0,(IF(verzamelblad!$K$7*D95&gt;verzamelblad!$P$7,CEILING(verzamelblad!$K$7*D95,0.1),verzamelblad!$P$7))))</f>
        <v>0</v>
      </c>
      <c r="F95" s="605" t="str">
        <f>IF($S$16=1,"NT","MT")</f>
        <v>MT</v>
      </c>
      <c r="G95" s="606" t="s">
        <v>140</v>
      </c>
      <c r="H95" s="607">
        <v>14</v>
      </c>
      <c r="I95" s="812" t="s">
        <v>251</v>
      </c>
      <c r="J95" s="812"/>
      <c r="K95" s="608">
        <v>0</v>
      </c>
      <c r="L95" s="822" t="str">
        <f>IF(AND(S$16=1,S$17=2),"",IF(S$16=2,"",IF(K95=0,"",H95/(K95/1000))))</f>
        <v/>
      </c>
      <c r="M95" s="822"/>
      <c r="N95" s="823" t="s">
        <v>268</v>
      </c>
      <c r="O95" s="823"/>
      <c r="P95" s="609" t="str">
        <f>IF(K95=0,"-",INDEX('data roosters'!F:J,MATCH(N95,'data roosters'!F:F,0),2)*(K95/1000))</f>
        <v>-</v>
      </c>
      <c r="Q95" s="729" t="str">
        <f t="shared" si="14"/>
        <v/>
      </c>
      <c r="R95" s="603"/>
      <c r="S95" s="602"/>
      <c r="T95" s="392"/>
      <c r="U95" s="392"/>
      <c r="V95" s="547">
        <f t="shared" si="15"/>
        <v>3</v>
      </c>
      <c r="W95" s="392"/>
      <c r="X95" s="392"/>
      <c r="Y95" s="392"/>
      <c r="Z95" s="392"/>
      <c r="AA95" s="404"/>
      <c r="AB95" s="516"/>
      <c r="AC95" s="516"/>
      <c r="AD95" s="516"/>
      <c r="AE95" s="516"/>
      <c r="AF95" s="515" t="str">
        <f>IF(E95&gt;0,"x","")</f>
        <v/>
      </c>
      <c r="AG95" s="516"/>
      <c r="AH95" s="516"/>
    </row>
    <row r="96" spans="1:38" s="541" customFormat="1" ht="12" customHeight="1">
      <c r="A96" s="404"/>
      <c r="B96" s="556">
        <f>B89+1</f>
        <v>3</v>
      </c>
      <c r="C96" s="480">
        <f>B96</f>
        <v>3</v>
      </c>
      <c r="D96" s="481">
        <f>SUMPRODUCT(($AD$1:$AD$50064)*($AC$1:$AC$50064=B96))</f>
        <v>37.1</v>
      </c>
      <c r="E96" s="591">
        <f>IF(D96=0,0,(IF(verzamelblad!$E$7*D96&gt;verzamelblad!$J$7,CEILING(verzamelblad!$E$7*D96,0.1),verzamelblad!$J$7)))</f>
        <v>33.4</v>
      </c>
      <c r="F96" s="824" t="str">
        <f>IF(SUM(H91:H95)&lt;E96,"voldoet niet op VG-niveau","totaal: "&amp;SUM(H91:H95) &amp; " dm³/s ")</f>
        <v xml:space="preserve">totaal: 56 dm³/s </v>
      </c>
      <c r="G96" s="824"/>
      <c r="H96" s="824"/>
      <c r="I96" s="592"/>
      <c r="J96" s="593"/>
      <c r="K96" s="594"/>
      <c r="L96" s="595"/>
      <c r="M96" s="821"/>
      <c r="N96" s="821"/>
      <c r="O96" s="596"/>
      <c r="P96" s="597"/>
      <c r="Q96" s="403"/>
      <c r="R96" s="603"/>
      <c r="S96" s="602"/>
      <c r="T96" s="392"/>
      <c r="U96" s="392"/>
      <c r="V96" s="547">
        <f t="shared" si="15"/>
        <v>3</v>
      </c>
      <c r="W96" s="392"/>
      <c r="X96" s="392"/>
      <c r="Y96" s="392"/>
      <c r="Z96" s="392"/>
      <c r="AA96" s="404"/>
      <c r="AB96" s="516"/>
      <c r="AC96" s="516"/>
      <c r="AD96" s="516"/>
      <c r="AE96" s="516"/>
      <c r="AF96" s="515" t="str">
        <f>IF(B96&gt;0,"ja")</f>
        <v>ja</v>
      </c>
      <c r="AG96" s="516"/>
      <c r="AH96" s="516"/>
    </row>
    <row r="97" spans="1:34" s="541" customFormat="1" ht="12" customHeight="1">
      <c r="A97" s="543"/>
      <c r="B97" s="543"/>
      <c r="C97" s="598"/>
      <c r="D97" s="422"/>
      <c r="E97" s="422"/>
      <c r="F97" s="422"/>
      <c r="G97" s="422"/>
      <c r="H97" s="599"/>
      <c r="I97" s="599"/>
      <c r="J97" s="530"/>
      <c r="K97" s="600"/>
      <c r="L97" s="600"/>
      <c r="M97" s="600"/>
      <c r="N97" s="600"/>
      <c r="O97" s="600"/>
      <c r="P97" s="600"/>
      <c r="Q97" s="403"/>
      <c r="R97" s="603"/>
      <c r="S97" s="602"/>
      <c r="T97" s="392"/>
      <c r="U97" s="392"/>
      <c r="V97" s="547">
        <f t="shared" si="15"/>
        <v>3</v>
      </c>
      <c r="W97" s="392"/>
      <c r="X97" s="392"/>
      <c r="Y97" s="392"/>
      <c r="Z97" s="392"/>
      <c r="AA97" s="404"/>
      <c r="AB97" s="516"/>
      <c r="AC97" s="516"/>
      <c r="AD97" s="516"/>
      <c r="AE97" s="516"/>
      <c r="AF97" s="516"/>
      <c r="AG97" s="516"/>
      <c r="AH97" s="516"/>
    </row>
    <row r="98" spans="1:34" s="541" customFormat="1" ht="12" customHeight="1">
      <c r="A98" s="515"/>
      <c r="B98" s="515"/>
      <c r="C98" s="610" t="s">
        <v>745</v>
      </c>
      <c r="D98" s="422"/>
      <c r="E98" s="611" t="str">
        <f>IF(SUM(H98:H102)=0,"n.v.t.","")</f>
        <v>n.v.t.</v>
      </c>
      <c r="F98" s="422"/>
      <c r="G98" s="422"/>
      <c r="H98" s="599"/>
      <c r="I98" s="599"/>
      <c r="J98" s="530"/>
      <c r="K98" s="600"/>
      <c r="L98" s="600"/>
      <c r="M98" s="600"/>
      <c r="N98" s="600"/>
      <c r="O98" s="600"/>
      <c r="P98" s="600"/>
      <c r="Q98" s="459"/>
      <c r="R98" s="589"/>
      <c r="S98" s="529"/>
      <c r="T98" s="516"/>
      <c r="U98" s="516"/>
      <c r="V98" s="507"/>
      <c r="W98" s="516"/>
      <c r="X98" s="516"/>
      <c r="Y98" s="516"/>
      <c r="Z98" s="516"/>
      <c r="AB98" s="516"/>
      <c r="AC98" s="516"/>
      <c r="AD98" s="516"/>
      <c r="AE98" s="516"/>
      <c r="AF98" s="516"/>
      <c r="AG98" s="516"/>
      <c r="AH98" s="516"/>
    </row>
    <row r="99" spans="1:34" s="541" customFormat="1" ht="12" customHeight="1">
      <c r="B99" s="515"/>
      <c r="C99" s="464" t="s">
        <v>140</v>
      </c>
      <c r="D99" s="733"/>
      <c r="E99" s="566"/>
      <c r="F99" s="584" t="str">
        <f>IF($S$16=1,"NT","MT")</f>
        <v>MT</v>
      </c>
      <c r="G99" s="731" t="s">
        <v>140</v>
      </c>
      <c r="H99" s="565">
        <v>0</v>
      </c>
      <c r="I99" s="811" t="s">
        <v>251</v>
      </c>
      <c r="J99" s="811"/>
      <c r="K99" s="585">
        <v>0</v>
      </c>
      <c r="L99" s="819" t="str">
        <f>IF(AND(S$16=1,S$17=2),"",IF(S$16=2,"",IF(K99=0,"",H99/(K99/1000))))</f>
        <v/>
      </c>
      <c r="M99" s="819"/>
      <c r="N99" s="816" t="s">
        <v>268</v>
      </c>
      <c r="O99" s="816"/>
      <c r="P99" s="586" t="str">
        <f>IF(K99=0,"-",INDEX('data roosters'!F:J,MATCH(N99,'data roosters'!F:F,0),2)*(K99/1000))</f>
        <v>-</v>
      </c>
      <c r="Q99" s="525" t="str">
        <f>IF(AND($S$16=1,$S$17=2),IF(OR(H99&lt;&gt;0,P99&lt;&gt;"-"),"","verbergen"),IF(H99&lt;&gt;0,"","verbergen"))</f>
        <v>verbergen</v>
      </c>
      <c r="R99" s="612"/>
      <c r="S99" s="529"/>
      <c r="T99" s="516"/>
      <c r="U99" s="516"/>
      <c r="V99" s="507"/>
      <c r="W99" s="516"/>
      <c r="X99" s="516"/>
      <c r="Y99" s="516"/>
      <c r="Z99" s="516"/>
      <c r="AB99" s="516"/>
      <c r="AC99" s="516"/>
      <c r="AD99" s="516"/>
      <c r="AE99" s="516"/>
      <c r="AF99" s="515"/>
      <c r="AG99" s="516"/>
      <c r="AH99" s="516"/>
    </row>
    <row r="100" spans="1:34" s="541" customFormat="1" ht="12" customHeight="1">
      <c r="B100" s="515"/>
      <c r="C100" s="464" t="s">
        <v>140</v>
      </c>
      <c r="D100" s="733"/>
      <c r="E100" s="566"/>
      <c r="F100" s="584" t="str">
        <f>IF($S$16=1,"NT","MT")</f>
        <v>MT</v>
      </c>
      <c r="G100" s="731" t="s">
        <v>140</v>
      </c>
      <c r="H100" s="565">
        <v>0</v>
      </c>
      <c r="I100" s="811" t="s">
        <v>251</v>
      </c>
      <c r="J100" s="811"/>
      <c r="K100" s="585">
        <v>0</v>
      </c>
      <c r="L100" s="819" t="str">
        <f>IF(AND(S$16=1,S$17=2),"",IF(S$16=2,"",IF(K100=0,"",H100/(K100/1000))))</f>
        <v/>
      </c>
      <c r="M100" s="819"/>
      <c r="N100" s="816" t="s">
        <v>268</v>
      </c>
      <c r="O100" s="816"/>
      <c r="P100" s="586" t="str">
        <f>IF(K100=0,"-",INDEX('data roosters'!F:J,MATCH(N100,'data roosters'!F:F,0),2)*(K100/1000))</f>
        <v>-</v>
      </c>
      <c r="Q100" s="525" t="str">
        <f t="shared" ref="Q100:Q102" si="16">IF(AND($S$16=1,$S$17=2),IF(OR(H100&lt;&gt;0,P100&lt;&gt;"-"),"","verbergen"),IF(H100&lt;&gt;0,"","verbergen"))</f>
        <v>verbergen</v>
      </c>
      <c r="R100" s="589"/>
      <c r="S100" s="529"/>
      <c r="T100" s="516"/>
      <c r="U100" s="516"/>
      <c r="V100" s="507"/>
      <c r="W100" s="516"/>
      <c r="X100" s="516"/>
      <c r="Y100" s="516"/>
      <c r="Z100" s="516"/>
      <c r="AB100" s="516"/>
      <c r="AC100" s="516"/>
      <c r="AD100" s="516"/>
      <c r="AE100" s="516"/>
      <c r="AF100" s="515"/>
      <c r="AG100" s="516"/>
      <c r="AH100" s="516"/>
    </row>
    <row r="101" spans="1:34" s="541" customFormat="1" ht="12" customHeight="1">
      <c r="B101" s="515"/>
      <c r="C101" s="464" t="s">
        <v>140</v>
      </c>
      <c r="D101" s="733"/>
      <c r="E101" s="566"/>
      <c r="F101" s="584" t="str">
        <f>IF($S$16=1,"NT","MT")</f>
        <v>MT</v>
      </c>
      <c r="G101" s="731" t="s">
        <v>140</v>
      </c>
      <c r="H101" s="565">
        <v>0</v>
      </c>
      <c r="I101" s="811" t="s">
        <v>251</v>
      </c>
      <c r="J101" s="811"/>
      <c r="K101" s="585">
        <v>0</v>
      </c>
      <c r="L101" s="819" t="str">
        <f>IF(AND(S$16=1,S$17=2),"",IF(S$16=2,"",IF(K101=0,"",H101/(K101/1000))))</f>
        <v/>
      </c>
      <c r="M101" s="819"/>
      <c r="N101" s="816" t="s">
        <v>268</v>
      </c>
      <c r="O101" s="816"/>
      <c r="P101" s="586" t="str">
        <f>IF(K101=0,"-",INDEX('data roosters'!F:J,MATCH(N101,'data roosters'!F:F,0),2)*(K101/1000))</f>
        <v>-</v>
      </c>
      <c r="Q101" s="525" t="str">
        <f t="shared" si="16"/>
        <v>verbergen</v>
      </c>
      <c r="R101" s="589"/>
      <c r="S101" s="529"/>
      <c r="T101" s="516"/>
      <c r="U101" s="516"/>
      <c r="V101" s="507"/>
      <c r="W101" s="516"/>
      <c r="X101" s="516"/>
      <c r="Y101" s="516"/>
      <c r="Z101" s="516"/>
      <c r="AB101" s="516"/>
      <c r="AC101" s="516"/>
      <c r="AD101" s="516"/>
      <c r="AE101" s="516"/>
      <c r="AF101" s="515"/>
      <c r="AG101" s="516"/>
      <c r="AH101" s="516"/>
    </row>
    <row r="102" spans="1:34" s="541" customFormat="1" ht="12" customHeight="1">
      <c r="B102" s="515"/>
      <c r="C102" s="464" t="s">
        <v>140</v>
      </c>
      <c r="D102" s="733"/>
      <c r="E102" s="566"/>
      <c r="F102" s="584" t="str">
        <f>IF($S$16=1,"NT","MT")</f>
        <v>MT</v>
      </c>
      <c r="G102" s="731" t="s">
        <v>140</v>
      </c>
      <c r="H102" s="565">
        <v>0</v>
      </c>
      <c r="I102" s="811" t="s">
        <v>251</v>
      </c>
      <c r="J102" s="811"/>
      <c r="K102" s="585">
        <v>0</v>
      </c>
      <c r="L102" s="819" t="str">
        <f>IF(AND(S$16=1,S$17=2),"",IF(S$16=2,"",IF(K102=0,"",H102/(K102/1000))))</f>
        <v/>
      </c>
      <c r="M102" s="819"/>
      <c r="N102" s="816" t="s">
        <v>268</v>
      </c>
      <c r="O102" s="816"/>
      <c r="P102" s="586" t="str">
        <f>IF(K102=0,"-",INDEX('data roosters'!F:J,MATCH(N102,'data roosters'!F:F,0),2)*(K102/1000))</f>
        <v>-</v>
      </c>
      <c r="Q102" s="525" t="str">
        <f t="shared" si="16"/>
        <v>verbergen</v>
      </c>
      <c r="R102" s="589"/>
      <c r="S102" s="529"/>
      <c r="T102" s="516"/>
      <c r="U102" s="516"/>
      <c r="V102" s="507"/>
      <c r="W102" s="516"/>
      <c r="X102" s="516"/>
      <c r="Y102" s="516"/>
      <c r="Z102" s="516"/>
      <c r="AB102" s="516"/>
      <c r="AC102" s="516"/>
      <c r="AD102" s="516"/>
      <c r="AE102" s="516"/>
      <c r="AF102" s="515"/>
      <c r="AG102" s="516"/>
      <c r="AH102" s="516"/>
    </row>
    <row r="103" spans="1:34" s="541" customFormat="1" ht="12" customHeight="1">
      <c r="B103" s="590"/>
      <c r="C103" s="610"/>
      <c r="D103" s="733"/>
      <c r="E103" s="566"/>
      <c r="F103" s="825"/>
      <c r="G103" s="825"/>
      <c r="H103" s="825"/>
      <c r="I103" s="404"/>
      <c r="J103" s="613"/>
      <c r="K103" s="422"/>
      <c r="L103" s="614"/>
      <c r="M103" s="826"/>
      <c r="N103" s="826"/>
      <c r="O103" s="565"/>
      <c r="P103" s="615"/>
      <c r="Q103" s="459"/>
      <c r="R103" s="589"/>
      <c r="S103" s="529"/>
      <c r="T103" s="516"/>
      <c r="U103" s="516"/>
      <c r="V103" s="547"/>
      <c r="W103" s="516"/>
      <c r="X103" s="516"/>
      <c r="Y103" s="516"/>
      <c r="Z103" s="516"/>
      <c r="AB103" s="516"/>
      <c r="AC103" s="516"/>
      <c r="AD103" s="516"/>
      <c r="AE103" s="516"/>
      <c r="AF103" s="515"/>
      <c r="AG103" s="516"/>
      <c r="AH103" s="516"/>
    </row>
    <row r="104" spans="1:34" s="518" customFormat="1" ht="15" customHeight="1">
      <c r="A104" s="515"/>
      <c r="B104" s="515"/>
      <c r="C104" s="457" t="s">
        <v>1086</v>
      </c>
      <c r="D104" s="575"/>
      <c r="E104" s="575"/>
      <c r="F104" s="575"/>
      <c r="G104" s="575"/>
      <c r="H104" s="575"/>
      <c r="I104" s="575"/>
      <c r="J104" s="575"/>
      <c r="K104" s="575"/>
      <c r="L104" s="575"/>
      <c r="M104" s="575"/>
      <c r="N104" s="575"/>
      <c r="O104" s="575"/>
      <c r="P104" s="575"/>
      <c r="Q104" s="516"/>
      <c r="R104" s="616"/>
      <c r="S104" s="516"/>
      <c r="T104" s="521"/>
      <c r="U104" s="516"/>
      <c r="V104" s="517"/>
      <c r="W104" s="517"/>
      <c r="X104" s="517"/>
      <c r="Y104" s="517"/>
      <c r="Z104" s="517"/>
      <c r="AA104" s="517"/>
      <c r="AB104" s="517"/>
      <c r="AC104" s="524"/>
      <c r="AD104" s="517"/>
      <c r="AE104" s="517"/>
      <c r="AF104" s="517"/>
    </row>
    <row r="105" spans="1:34" s="518" customFormat="1" ht="12.75" hidden="1" customHeight="1">
      <c r="A105" s="515"/>
      <c r="B105" s="515"/>
      <c r="C105" s="576"/>
      <c r="D105" s="576"/>
      <c r="E105" s="576"/>
      <c r="F105" s="576"/>
      <c r="G105" s="576"/>
      <c r="H105" s="577"/>
      <c r="I105" s="577"/>
      <c r="J105" s="577"/>
      <c r="K105" s="577"/>
      <c r="L105" s="577"/>
      <c r="M105" s="577"/>
      <c r="N105" s="577"/>
      <c r="O105" s="577"/>
      <c r="P105" s="577"/>
      <c r="Q105" s="522"/>
      <c r="R105" s="516"/>
      <c r="S105" s="516"/>
      <c r="T105" s="521"/>
      <c r="U105" s="516"/>
      <c r="V105" s="548"/>
      <c r="W105" s="548"/>
      <c r="X105" s="548"/>
      <c r="Y105" s="548"/>
      <c r="Z105" s="517"/>
      <c r="AA105" s="517"/>
      <c r="AB105" s="517"/>
      <c r="AC105" s="524"/>
      <c r="AD105" s="517"/>
      <c r="AE105" s="517"/>
      <c r="AF105" s="517"/>
    </row>
    <row r="106" spans="1:34" ht="15" customHeight="1">
      <c r="A106" s="492"/>
      <c r="B106" s="492"/>
      <c r="C106" s="579" t="s">
        <v>133</v>
      </c>
      <c r="D106" s="580"/>
      <c r="E106" s="580"/>
      <c r="F106" s="460" t="s">
        <v>653</v>
      </c>
      <c r="G106" s="736" t="s">
        <v>34</v>
      </c>
      <c r="H106" s="736" t="s">
        <v>1135</v>
      </c>
      <c r="I106" s="580"/>
      <c r="J106" s="580"/>
      <c r="K106" s="580"/>
      <c r="L106" s="580"/>
      <c r="M106" s="580"/>
      <c r="N106" s="580"/>
      <c r="O106" s="580"/>
      <c r="P106" s="580"/>
      <c r="Q106" s="507"/>
      <c r="R106" s="507"/>
      <c r="S106" s="507"/>
      <c r="T106" s="532"/>
      <c r="U106" s="507"/>
      <c r="V106" s="508"/>
      <c r="W106" s="508"/>
      <c r="X106" s="508"/>
      <c r="Y106" s="508"/>
      <c r="Z106" s="508"/>
      <c r="AA106" s="508"/>
      <c r="AB106" s="508"/>
      <c r="AC106" s="534"/>
      <c r="AD106" s="508"/>
      <c r="AE106" s="508"/>
      <c r="AF106" s="508"/>
    </row>
    <row r="107" spans="1:34" s="518" customFormat="1" ht="12" customHeight="1">
      <c r="A107" s="515"/>
      <c r="B107" s="515"/>
      <c r="C107" s="617" t="s">
        <v>728</v>
      </c>
      <c r="D107" s="404"/>
      <c r="E107" s="404"/>
      <c r="F107" s="618">
        <v>2</v>
      </c>
      <c r="G107" s="619">
        <f>F107*7</f>
        <v>14</v>
      </c>
      <c r="H107" s="620">
        <v>28</v>
      </c>
      <c r="I107" s="621"/>
      <c r="J107" s="622"/>
      <c r="K107" s="827"/>
      <c r="L107" s="827"/>
      <c r="M107" s="827"/>
      <c r="N107" s="827"/>
      <c r="O107" s="827"/>
      <c r="P107" s="827"/>
      <c r="Q107" s="525" t="str">
        <f t="shared" ref="Q107:Q112" si="17">IF(H107&gt;0,"","verbergen")</f>
        <v/>
      </c>
      <c r="R107" s="589"/>
      <c r="S107" s="529"/>
      <c r="T107" s="516"/>
      <c r="U107" s="516"/>
      <c r="V107" s="508"/>
      <c r="W107" s="517"/>
      <c r="X107" s="517"/>
      <c r="Y107" s="517"/>
      <c r="Z107" s="517"/>
      <c r="AA107" s="517"/>
      <c r="AB107" s="517"/>
      <c r="AC107" s="517"/>
      <c r="AD107" s="517"/>
      <c r="AE107" s="517"/>
      <c r="AF107" s="517"/>
      <c r="AG107" s="517"/>
      <c r="AH107" s="517"/>
    </row>
    <row r="108" spans="1:34" s="518" customFormat="1" ht="12" customHeight="1">
      <c r="A108" s="515"/>
      <c r="B108" s="590"/>
      <c r="C108" s="617" t="s">
        <v>729</v>
      </c>
      <c r="D108" s="404"/>
      <c r="E108" s="404"/>
      <c r="F108" s="618">
        <v>1</v>
      </c>
      <c r="G108" s="619">
        <f>F108*14</f>
        <v>14</v>
      </c>
      <c r="H108" s="620">
        <v>21</v>
      </c>
      <c r="I108" s="621"/>
      <c r="J108" s="622"/>
      <c r="K108" s="827"/>
      <c r="L108" s="827"/>
      <c r="M108" s="827"/>
      <c r="N108" s="827"/>
      <c r="O108" s="827"/>
      <c r="P108" s="827"/>
      <c r="Q108" s="525" t="str">
        <f t="shared" si="17"/>
        <v/>
      </c>
      <c r="R108" s="623"/>
      <c r="S108" s="624"/>
      <c r="T108" s="516"/>
      <c r="U108" s="516"/>
      <c r="V108" s="508"/>
      <c r="W108" s="517"/>
      <c r="X108" s="517"/>
      <c r="Y108" s="517"/>
      <c r="Z108" s="517"/>
      <c r="AA108" s="517"/>
      <c r="AB108" s="517"/>
      <c r="AC108" s="517"/>
      <c r="AD108" s="517"/>
      <c r="AE108" s="517"/>
      <c r="AF108" s="517"/>
    </row>
    <row r="109" spans="1:34" s="518" customFormat="1" ht="12" customHeight="1">
      <c r="A109" s="515"/>
      <c r="B109" s="515"/>
      <c r="C109" s="617" t="s">
        <v>727</v>
      </c>
      <c r="D109" s="404"/>
      <c r="E109" s="404"/>
      <c r="F109" s="618">
        <v>1</v>
      </c>
      <c r="G109" s="619">
        <f>F109*21</f>
        <v>21</v>
      </c>
      <c r="H109" s="620">
        <v>28</v>
      </c>
      <c r="I109" s="621"/>
      <c r="J109" s="622"/>
      <c r="K109" s="827"/>
      <c r="L109" s="827"/>
      <c r="M109" s="827"/>
      <c r="N109" s="827"/>
      <c r="O109" s="827"/>
      <c r="P109" s="827"/>
      <c r="Q109" s="525" t="str">
        <f t="shared" si="17"/>
        <v/>
      </c>
      <c r="R109" s="625"/>
      <c r="S109" s="624"/>
      <c r="T109" s="516"/>
      <c r="U109" s="516"/>
      <c r="V109" s="508"/>
      <c r="W109" s="517"/>
      <c r="X109" s="517"/>
      <c r="Y109" s="517"/>
      <c r="Z109" s="517"/>
      <c r="AA109" s="517"/>
      <c r="AB109" s="517"/>
      <c r="AC109" s="517"/>
      <c r="AD109" s="517"/>
      <c r="AE109" s="517"/>
      <c r="AF109" s="517"/>
    </row>
    <row r="110" spans="1:34" s="518" customFormat="1" ht="12" customHeight="1">
      <c r="A110" s="515"/>
      <c r="B110" s="515"/>
      <c r="C110" s="617" t="s">
        <v>140</v>
      </c>
      <c r="D110" s="404"/>
      <c r="E110" s="404"/>
      <c r="F110" s="626"/>
      <c r="G110" s="619" t="s">
        <v>268</v>
      </c>
      <c r="H110" s="620"/>
      <c r="I110" s="621"/>
      <c r="J110" s="622"/>
      <c r="K110" s="827"/>
      <c r="L110" s="827"/>
      <c r="M110" s="827"/>
      <c r="N110" s="827"/>
      <c r="O110" s="827"/>
      <c r="P110" s="827"/>
      <c r="Q110" s="525" t="str">
        <f t="shared" si="17"/>
        <v>verbergen</v>
      </c>
      <c r="R110" s="625"/>
      <c r="S110" s="624"/>
      <c r="T110" s="516"/>
      <c r="U110" s="516"/>
      <c r="V110" s="508"/>
      <c r="W110" s="517"/>
      <c r="X110" s="517"/>
      <c r="Y110" s="517"/>
      <c r="Z110" s="517"/>
      <c r="AA110" s="517"/>
      <c r="AB110" s="517"/>
      <c r="AC110" s="517"/>
      <c r="AD110" s="517"/>
      <c r="AE110" s="517"/>
      <c r="AF110" s="517"/>
    </row>
    <row r="111" spans="1:34" s="518" customFormat="1" ht="12" customHeight="1">
      <c r="A111" s="515"/>
      <c r="B111" s="515"/>
      <c r="C111" s="617" t="s">
        <v>140</v>
      </c>
      <c r="D111" s="404"/>
      <c r="E111" s="404"/>
      <c r="F111" s="626"/>
      <c r="G111" s="619" t="s">
        <v>268</v>
      </c>
      <c r="H111" s="620"/>
      <c r="I111" s="621"/>
      <c r="J111" s="622"/>
      <c r="K111" s="827"/>
      <c r="L111" s="827"/>
      <c r="M111" s="827"/>
      <c r="N111" s="827"/>
      <c r="O111" s="827"/>
      <c r="P111" s="827"/>
      <c r="Q111" s="525" t="str">
        <f t="shared" si="17"/>
        <v>verbergen</v>
      </c>
      <c r="R111" s="625"/>
      <c r="S111" s="624"/>
      <c r="T111" s="516"/>
      <c r="U111" s="516"/>
      <c r="V111" s="508"/>
      <c r="W111" s="517"/>
      <c r="X111" s="517"/>
      <c r="Y111" s="517"/>
      <c r="Z111" s="517"/>
      <c r="AA111" s="517"/>
      <c r="AB111" s="517"/>
      <c r="AC111" s="517"/>
      <c r="AD111" s="517"/>
      <c r="AE111" s="517"/>
      <c r="AF111" s="517"/>
    </row>
    <row r="112" spans="1:34" s="518" customFormat="1" ht="12" customHeight="1">
      <c r="A112" s="515"/>
      <c r="B112" s="515"/>
      <c r="C112" s="627" t="s">
        <v>140</v>
      </c>
      <c r="D112" s="628"/>
      <c r="E112" s="628"/>
      <c r="F112" s="629"/>
      <c r="G112" s="630" t="s">
        <v>268</v>
      </c>
      <c r="H112" s="631"/>
      <c r="I112" s="632"/>
      <c r="J112" s="633"/>
      <c r="K112" s="828"/>
      <c r="L112" s="828"/>
      <c r="M112" s="828"/>
      <c r="N112" s="828"/>
      <c r="O112" s="828"/>
      <c r="P112" s="828"/>
      <c r="Q112" s="525" t="str">
        <f t="shared" si="17"/>
        <v>verbergen</v>
      </c>
      <c r="R112" s="625"/>
      <c r="S112" s="624"/>
      <c r="T112" s="516"/>
      <c r="U112" s="516"/>
      <c r="V112" s="508"/>
      <c r="W112" s="517"/>
      <c r="X112" s="517"/>
      <c r="Y112" s="517"/>
      <c r="Z112" s="517"/>
      <c r="AA112" s="517"/>
      <c r="AB112" s="517"/>
      <c r="AC112" s="517"/>
      <c r="AD112" s="517"/>
      <c r="AE112" s="517"/>
      <c r="AF112" s="517"/>
    </row>
    <row r="113" spans="1:32" s="518" customFormat="1" ht="12" customHeight="1">
      <c r="A113" s="515"/>
      <c r="B113" s="515"/>
      <c r="C113" s="634" t="s">
        <v>16</v>
      </c>
      <c r="D113" s="592"/>
      <c r="E113" s="592"/>
      <c r="F113" s="635"/>
      <c r="G113" s="636">
        <f>SUM(G107:G112)</f>
        <v>49</v>
      </c>
      <c r="H113" s="636">
        <f>SUM(H107:H112)</f>
        <v>77</v>
      </c>
      <c r="I113" s="637"/>
      <c r="J113" s="732" t="str">
        <f>IF(M113="","","toe- en afvoer niet in balans")</f>
        <v/>
      </c>
      <c r="K113" s="638"/>
      <c r="L113" s="639"/>
      <c r="M113" s="829" t="str">
        <f>IF(SUMIF(F76:F103,R113,H76:H103)-H113-H125=0,"",SUMIF(F76:F103,R113,H76:H103)-H113-H125)</f>
        <v/>
      </c>
      <c r="N113" s="830"/>
      <c r="O113" s="830"/>
      <c r="P113" s="830"/>
      <c r="Q113" s="525"/>
      <c r="R113" s="625" t="str">
        <f>IF(OR(RIGHT(LEFT(D67,9),1)="A",RIGHT(LEFT(D67,9),1)="C"),"NT","MT")</f>
        <v>MT</v>
      </c>
      <c r="S113" s="624"/>
      <c r="T113" s="516"/>
      <c r="U113" s="516"/>
      <c r="V113" s="508"/>
      <c r="W113" s="517"/>
      <c r="X113" s="517"/>
      <c r="Y113" s="517"/>
      <c r="Z113" s="517"/>
      <c r="AA113" s="517"/>
      <c r="AB113" s="517"/>
      <c r="AC113" s="517"/>
      <c r="AD113" s="517"/>
      <c r="AE113" s="517"/>
      <c r="AF113" s="517"/>
    </row>
    <row r="114" spans="1:32" s="518" customFormat="1" ht="12" customHeight="1">
      <c r="A114" s="515"/>
      <c r="B114" s="515"/>
      <c r="C114" s="640"/>
      <c r="D114" s="831"/>
      <c r="E114" s="831"/>
      <c r="F114" s="641"/>
      <c r="G114" s="642">
        <f>G113*3.6</f>
        <v>176.4</v>
      </c>
      <c r="H114" s="642">
        <f>H113*3.6</f>
        <v>277.2</v>
      </c>
      <c r="I114" s="643"/>
      <c r="J114" s="404"/>
      <c r="K114" s="422"/>
      <c r="L114" s="614"/>
      <c r="M114" s="826"/>
      <c r="N114" s="826"/>
      <c r="O114" s="565"/>
      <c r="P114" s="615"/>
      <c r="Q114" s="525"/>
      <c r="R114" s="625"/>
      <c r="S114" s="624"/>
      <c r="T114" s="516"/>
      <c r="U114" s="516"/>
      <c r="V114" s="508"/>
      <c r="W114" s="517"/>
      <c r="X114" s="517"/>
      <c r="Y114" s="517"/>
      <c r="Z114" s="517"/>
      <c r="AA114" s="517"/>
      <c r="AB114" s="517"/>
      <c r="AC114" s="517"/>
      <c r="AD114" s="517"/>
      <c r="AE114" s="517"/>
      <c r="AF114" s="517"/>
    </row>
    <row r="115" spans="1:32" s="518" customFormat="1" ht="12" customHeight="1">
      <c r="A115" s="515"/>
      <c r="B115" s="515"/>
      <c r="C115" s="640"/>
      <c r="D115" s="733"/>
      <c r="E115" s="733"/>
      <c r="F115" s="641"/>
      <c r="G115" s="642"/>
      <c r="H115" s="731"/>
      <c r="I115" s="731"/>
      <c r="J115" s="404"/>
      <c r="K115" s="422"/>
      <c r="L115" s="614"/>
      <c r="M115" s="731"/>
      <c r="N115" s="731"/>
      <c r="O115" s="565"/>
      <c r="P115" s="615"/>
      <c r="Q115" s="525"/>
      <c r="R115" s="625"/>
      <c r="S115" s="624"/>
      <c r="T115" s="516"/>
      <c r="U115" s="516"/>
      <c r="V115" s="508"/>
      <c r="W115" s="517"/>
      <c r="X115" s="517"/>
      <c r="Y115" s="517"/>
      <c r="Z115" s="517"/>
      <c r="AA115" s="517"/>
      <c r="AB115" s="517"/>
      <c r="AC115" s="517"/>
      <c r="AD115" s="517"/>
      <c r="AE115" s="517"/>
      <c r="AF115" s="517"/>
    </row>
    <row r="116" spans="1:32" s="518" customFormat="1" ht="12" customHeight="1">
      <c r="A116" s="515"/>
      <c r="B116" s="515"/>
      <c r="C116" s="457" t="s">
        <v>1087</v>
      </c>
      <c r="D116" s="457"/>
      <c r="E116" s="457"/>
      <c r="F116" s="457"/>
      <c r="G116" s="457"/>
      <c r="H116" s="457"/>
      <c r="I116" s="457"/>
      <c r="J116" s="457"/>
      <c r="K116" s="457"/>
      <c r="L116" s="457"/>
      <c r="M116" s="457"/>
      <c r="N116" s="457"/>
      <c r="O116" s="457"/>
      <c r="P116" s="457"/>
      <c r="Q116" s="525" t="str">
        <f>IF(D70="n.v.t.","verbergen","")</f>
        <v>verbergen</v>
      </c>
      <c r="R116" s="625"/>
      <c r="S116" s="624"/>
      <c r="T116" s="516"/>
      <c r="U116" s="516"/>
      <c r="V116" s="508"/>
      <c r="W116" s="517"/>
      <c r="X116" s="517"/>
      <c r="Y116" s="517"/>
      <c r="Z116" s="517"/>
      <c r="AA116" s="517"/>
      <c r="AB116" s="517"/>
      <c r="AC116" s="517"/>
      <c r="AD116" s="517"/>
      <c r="AE116" s="517"/>
      <c r="AF116" s="517"/>
    </row>
    <row r="117" spans="1:32" s="518" customFormat="1" ht="12" hidden="1" customHeight="1">
      <c r="A117" s="515"/>
      <c r="B117" s="515"/>
      <c r="C117" s="458"/>
      <c r="D117" s="458"/>
      <c r="E117" s="458"/>
      <c r="F117" s="458"/>
      <c r="G117" s="458"/>
      <c r="H117" s="459"/>
      <c r="I117" s="459"/>
      <c r="J117" s="459"/>
      <c r="K117" s="459"/>
      <c r="L117" s="459"/>
      <c r="M117" s="459"/>
      <c r="N117" s="459"/>
      <c r="O117" s="459"/>
      <c r="P117" s="459"/>
      <c r="Q117" s="525"/>
      <c r="R117" s="625"/>
      <c r="S117" s="624"/>
      <c r="T117" s="516"/>
      <c r="U117" s="516"/>
      <c r="V117" s="508"/>
      <c r="W117" s="517"/>
      <c r="X117" s="517"/>
      <c r="Y117" s="517"/>
      <c r="Z117" s="517"/>
      <c r="AA117" s="517"/>
      <c r="AB117" s="517"/>
      <c r="AC117" s="517"/>
      <c r="AD117" s="517"/>
      <c r="AE117" s="517"/>
      <c r="AF117" s="517"/>
    </row>
    <row r="118" spans="1:32" s="518" customFormat="1" ht="12" customHeight="1">
      <c r="A118" s="515"/>
      <c r="B118" s="515"/>
      <c r="C118" s="579" t="s">
        <v>133</v>
      </c>
      <c r="D118" s="580"/>
      <c r="E118" s="580"/>
      <c r="F118" s="460" t="s">
        <v>653</v>
      </c>
      <c r="G118" s="736" t="s">
        <v>34</v>
      </c>
      <c r="H118" s="736" t="str">
        <f>IF(S16=3,"","aanwezig")</f>
        <v>aanwezig</v>
      </c>
      <c r="I118" s="580"/>
      <c r="J118" s="580"/>
      <c r="K118" s="580"/>
      <c r="L118" s="580"/>
      <c r="M118" s="580"/>
      <c r="N118" s="580"/>
      <c r="O118" s="580"/>
      <c r="P118" s="580"/>
      <c r="Q118" s="525" t="str">
        <f>IF(D70="n.v.t.","verbergen","")</f>
        <v>verbergen</v>
      </c>
      <c r="R118" s="625"/>
      <c r="S118" s="624"/>
      <c r="T118" s="516"/>
      <c r="U118" s="516"/>
      <c r="V118" s="508"/>
      <c r="W118" s="517"/>
      <c r="X118" s="517"/>
      <c r="Y118" s="517"/>
      <c r="Z118" s="517"/>
      <c r="AA118" s="517"/>
      <c r="AB118" s="517"/>
      <c r="AC118" s="517"/>
      <c r="AD118" s="517"/>
      <c r="AE118" s="517"/>
      <c r="AF118" s="517"/>
    </row>
    <row r="119" spans="1:32" s="518" customFormat="1" ht="12" customHeight="1">
      <c r="A119" s="515"/>
      <c r="B119" s="515"/>
      <c r="C119" s="617" t="s">
        <v>739</v>
      </c>
      <c r="D119" s="404"/>
      <c r="E119" s="404"/>
      <c r="F119" s="618">
        <v>1</v>
      </c>
      <c r="G119" s="619">
        <f>F119*7</f>
        <v>7</v>
      </c>
      <c r="H119" s="620">
        <f>G119</f>
        <v>7</v>
      </c>
      <c r="I119" s="621"/>
      <c r="J119" s="622"/>
      <c r="K119" s="827"/>
      <c r="L119" s="827"/>
      <c r="M119" s="827"/>
      <c r="N119" s="827"/>
      <c r="O119" s="827"/>
      <c r="P119" s="827"/>
      <c r="Q119" s="525" t="str">
        <f>IF(H119&gt;0,"","verbergen")</f>
        <v/>
      </c>
      <c r="R119" s="625"/>
      <c r="S119" s="624"/>
      <c r="T119" s="516"/>
      <c r="U119" s="516"/>
      <c r="V119" s="508"/>
      <c r="W119" s="517"/>
      <c r="X119" s="517"/>
      <c r="Y119" s="517"/>
      <c r="Z119" s="517"/>
      <c r="AA119" s="517"/>
      <c r="AB119" s="517"/>
      <c r="AC119" s="517"/>
      <c r="AD119" s="517"/>
      <c r="AE119" s="517"/>
      <c r="AF119" s="517"/>
    </row>
    <row r="120" spans="1:32" s="518" customFormat="1" ht="12" customHeight="1">
      <c r="A120" s="515"/>
      <c r="B120" s="515"/>
      <c r="C120" s="617" t="s">
        <v>739</v>
      </c>
      <c r="D120" s="404"/>
      <c r="E120" s="404"/>
      <c r="F120" s="618">
        <v>0</v>
      </c>
      <c r="G120" s="619">
        <f>F120*14</f>
        <v>0</v>
      </c>
      <c r="H120" s="620">
        <f>G120</f>
        <v>0</v>
      </c>
      <c r="I120" s="621"/>
      <c r="J120" s="622"/>
      <c r="K120" s="827"/>
      <c r="L120" s="827"/>
      <c r="M120" s="827"/>
      <c r="N120" s="827"/>
      <c r="O120" s="827"/>
      <c r="P120" s="827"/>
      <c r="Q120" s="525" t="str">
        <f t="shared" ref="Q120:Q124" si="18">IF(H120&gt;0,"","verbergen")</f>
        <v>verbergen</v>
      </c>
      <c r="R120" s="625"/>
      <c r="S120" s="624"/>
      <c r="T120" s="516"/>
      <c r="U120" s="516"/>
      <c r="V120" s="508"/>
      <c r="W120" s="517"/>
      <c r="X120" s="517"/>
      <c r="Y120" s="517"/>
      <c r="Z120" s="517"/>
      <c r="AA120" s="517"/>
      <c r="AB120" s="517"/>
      <c r="AC120" s="517"/>
      <c r="AD120" s="517"/>
      <c r="AE120" s="517"/>
      <c r="AF120" s="517"/>
    </row>
    <row r="121" spans="1:32" s="518" customFormat="1" ht="12" customHeight="1">
      <c r="A121" s="515"/>
      <c r="B121" s="515"/>
      <c r="C121" s="617" t="s">
        <v>740</v>
      </c>
      <c r="D121" s="404"/>
      <c r="E121" s="404"/>
      <c r="F121" s="618">
        <v>1</v>
      </c>
      <c r="G121" s="619">
        <f>F121*7</f>
        <v>7</v>
      </c>
      <c r="H121" s="620">
        <f>G121</f>
        <v>7</v>
      </c>
      <c r="I121" s="621"/>
      <c r="J121" s="622"/>
      <c r="K121" s="827"/>
      <c r="L121" s="827"/>
      <c r="M121" s="827"/>
      <c r="N121" s="827"/>
      <c r="O121" s="827"/>
      <c r="P121" s="827"/>
      <c r="Q121" s="525" t="str">
        <f t="shared" si="18"/>
        <v/>
      </c>
      <c r="R121" s="625"/>
      <c r="S121" s="624"/>
      <c r="T121" s="516"/>
      <c r="U121" s="516"/>
      <c r="V121" s="508"/>
      <c r="W121" s="517"/>
      <c r="X121" s="517"/>
      <c r="Y121" s="517"/>
      <c r="Z121" s="517"/>
      <c r="AA121" s="517"/>
      <c r="AB121" s="517"/>
      <c r="AC121" s="517"/>
      <c r="AD121" s="517"/>
      <c r="AE121" s="517"/>
      <c r="AF121" s="517"/>
    </row>
    <row r="122" spans="1:32" s="518" customFormat="1" ht="12" customHeight="1">
      <c r="A122" s="515"/>
      <c r="B122" s="515"/>
      <c r="C122" s="617" t="s">
        <v>140</v>
      </c>
      <c r="D122" s="404"/>
      <c r="E122" s="404"/>
      <c r="F122" s="626"/>
      <c r="G122" s="619" t="s">
        <v>268</v>
      </c>
      <c r="H122" s="620"/>
      <c r="I122" s="621"/>
      <c r="J122" s="622"/>
      <c r="K122" s="827"/>
      <c r="L122" s="827"/>
      <c r="M122" s="827"/>
      <c r="N122" s="827"/>
      <c r="O122" s="827"/>
      <c r="P122" s="827"/>
      <c r="Q122" s="525" t="str">
        <f t="shared" si="18"/>
        <v>verbergen</v>
      </c>
      <c r="R122" s="625"/>
      <c r="S122" s="624"/>
      <c r="T122" s="516"/>
      <c r="U122" s="516"/>
      <c r="V122" s="508"/>
      <c r="W122" s="517"/>
      <c r="X122" s="517"/>
      <c r="Y122" s="517"/>
      <c r="Z122" s="517"/>
      <c r="AA122" s="517"/>
      <c r="AB122" s="517"/>
      <c r="AC122" s="517"/>
      <c r="AD122" s="517"/>
      <c r="AE122" s="517"/>
      <c r="AF122" s="517"/>
    </row>
    <row r="123" spans="1:32" s="518" customFormat="1" ht="12" customHeight="1">
      <c r="A123" s="515"/>
      <c r="B123" s="515"/>
      <c r="C123" s="617" t="s">
        <v>140</v>
      </c>
      <c r="D123" s="404"/>
      <c r="E123" s="404"/>
      <c r="F123" s="626"/>
      <c r="G123" s="619" t="s">
        <v>268</v>
      </c>
      <c r="H123" s="620"/>
      <c r="I123" s="621"/>
      <c r="J123" s="622"/>
      <c r="K123" s="827"/>
      <c r="L123" s="827"/>
      <c r="M123" s="827"/>
      <c r="N123" s="827"/>
      <c r="O123" s="827"/>
      <c r="P123" s="827"/>
      <c r="Q123" s="525" t="str">
        <f t="shared" si="18"/>
        <v>verbergen</v>
      </c>
      <c r="R123" s="625"/>
      <c r="S123" s="624"/>
      <c r="T123" s="516"/>
      <c r="U123" s="516"/>
      <c r="V123" s="508"/>
      <c r="W123" s="517"/>
      <c r="X123" s="517"/>
      <c r="Y123" s="517"/>
      <c r="Z123" s="517"/>
      <c r="AA123" s="517"/>
      <c r="AB123" s="517"/>
      <c r="AC123" s="517"/>
      <c r="AD123" s="517"/>
      <c r="AE123" s="517"/>
      <c r="AF123" s="517"/>
    </row>
    <row r="124" spans="1:32" s="518" customFormat="1" ht="12" customHeight="1">
      <c r="A124" s="515"/>
      <c r="B124" s="515"/>
      <c r="C124" s="627" t="s">
        <v>140</v>
      </c>
      <c r="D124" s="628"/>
      <c r="E124" s="628"/>
      <c r="F124" s="629"/>
      <c r="G124" s="630" t="s">
        <v>268</v>
      </c>
      <c r="H124" s="631"/>
      <c r="I124" s="632"/>
      <c r="J124" s="633"/>
      <c r="K124" s="828"/>
      <c r="L124" s="828"/>
      <c r="M124" s="828"/>
      <c r="N124" s="828"/>
      <c r="O124" s="828"/>
      <c r="P124" s="828"/>
      <c r="Q124" s="525" t="str">
        <f t="shared" si="18"/>
        <v>verbergen</v>
      </c>
      <c r="R124" s="625"/>
      <c r="S124" s="624"/>
      <c r="T124" s="516"/>
      <c r="U124" s="516"/>
      <c r="V124" s="508"/>
      <c r="W124" s="517"/>
      <c r="X124" s="517"/>
      <c r="Y124" s="517"/>
      <c r="Z124" s="517"/>
      <c r="AA124" s="517"/>
      <c r="AB124" s="517"/>
      <c r="AC124" s="517"/>
      <c r="AD124" s="517"/>
      <c r="AE124" s="517"/>
      <c r="AF124" s="517"/>
    </row>
    <row r="125" spans="1:32" s="518" customFormat="1" ht="12" customHeight="1">
      <c r="A125" s="515"/>
      <c r="B125" s="515"/>
      <c r="C125" s="634" t="s">
        <v>16</v>
      </c>
      <c r="D125" s="592"/>
      <c r="E125" s="592"/>
      <c r="F125" s="635"/>
      <c r="G125" s="636">
        <f>SUM(G119:G124)</f>
        <v>14</v>
      </c>
      <c r="H125" s="636">
        <f>SUM(H119:H124)</f>
        <v>14</v>
      </c>
      <c r="I125" s="637"/>
      <c r="J125" s="732"/>
      <c r="K125" s="638"/>
      <c r="L125" s="639"/>
      <c r="M125" s="830"/>
      <c r="N125" s="830"/>
      <c r="O125" s="830"/>
      <c r="P125" s="830"/>
      <c r="Q125" s="525" t="str">
        <f>IF(D70="n.v.t.","verbergen","")</f>
        <v>verbergen</v>
      </c>
      <c r="R125" s="625"/>
      <c r="S125" s="624"/>
      <c r="T125" s="516"/>
      <c r="U125" s="516"/>
      <c r="V125" s="508"/>
      <c r="W125" s="517"/>
      <c r="X125" s="517"/>
      <c r="Y125" s="517"/>
      <c r="Z125" s="517"/>
      <c r="AA125" s="517"/>
      <c r="AB125" s="517"/>
      <c r="AC125" s="517"/>
      <c r="AD125" s="517"/>
      <c r="AE125" s="517"/>
      <c r="AF125" s="517"/>
    </row>
    <row r="126" spans="1:32" s="518" customFormat="1" ht="12" customHeight="1">
      <c r="A126" s="515"/>
      <c r="B126" s="515"/>
      <c r="C126" s="640"/>
      <c r="D126" s="831"/>
      <c r="E126" s="831"/>
      <c r="F126" s="641"/>
      <c r="G126" s="642">
        <f>G125*3.6</f>
        <v>50.4</v>
      </c>
      <c r="H126" s="642">
        <f>H125*3.6</f>
        <v>50.4</v>
      </c>
      <c r="I126" s="643"/>
      <c r="J126" s="404"/>
      <c r="K126" s="422"/>
      <c r="L126" s="614"/>
      <c r="M126" s="826"/>
      <c r="N126" s="826"/>
      <c r="O126" s="565"/>
      <c r="P126" s="615"/>
      <c r="Q126" s="525" t="str">
        <f>IF(D70="n.v.t.","verbergen","")</f>
        <v>verbergen</v>
      </c>
      <c r="R126" s="625"/>
      <c r="S126" s="624"/>
      <c r="T126" s="516"/>
      <c r="U126" s="516"/>
      <c r="V126" s="508"/>
      <c r="W126" s="517"/>
      <c r="X126" s="517"/>
      <c r="Y126" s="517"/>
      <c r="Z126" s="517"/>
      <c r="AA126" s="517"/>
      <c r="AB126" s="517"/>
      <c r="AC126" s="517"/>
      <c r="AD126" s="517"/>
      <c r="AE126" s="517"/>
      <c r="AF126" s="517"/>
    </row>
    <row r="127" spans="1:32" s="518" customFormat="1" ht="15" customHeight="1">
      <c r="A127" s="515"/>
      <c r="B127" s="515"/>
      <c r="C127" s="644" t="s">
        <v>1088</v>
      </c>
      <c r="D127" s="645"/>
      <c r="E127" s="645"/>
      <c r="F127" s="645"/>
      <c r="G127" s="645"/>
      <c r="H127" s="645"/>
      <c r="I127" s="645"/>
      <c r="J127" s="645"/>
      <c r="K127" s="645"/>
      <c r="L127" s="645"/>
      <c r="M127" s="645"/>
      <c r="N127" s="645"/>
      <c r="O127" s="645"/>
      <c r="P127" s="645"/>
      <c r="Q127" s="516" t="str">
        <f>IF(D65="berekening op basis van minimale capaciteit","verbergen","")</f>
        <v/>
      </c>
      <c r="R127" s="616"/>
      <c r="S127" s="516"/>
      <c r="T127" s="521"/>
      <c r="U127" s="516"/>
      <c r="V127" s="517"/>
      <c r="W127" s="517"/>
      <c r="X127" s="517"/>
      <c r="Y127" s="517"/>
      <c r="Z127" s="517"/>
      <c r="AA127" s="517"/>
      <c r="AB127" s="517"/>
      <c r="AC127" s="524"/>
      <c r="AD127" s="517"/>
      <c r="AE127" s="517"/>
      <c r="AF127" s="517"/>
    </row>
    <row r="128" spans="1:32" s="518" customFormat="1" ht="12.75" hidden="1" customHeight="1">
      <c r="A128" s="515"/>
      <c r="B128" s="515"/>
      <c r="C128" s="576"/>
      <c r="D128" s="576"/>
      <c r="E128" s="576"/>
      <c r="F128" s="576"/>
      <c r="G128" s="576"/>
      <c r="H128" s="577"/>
      <c r="I128" s="577"/>
      <c r="J128" s="577"/>
      <c r="K128" s="577"/>
      <c r="L128" s="577"/>
      <c r="M128" s="577"/>
      <c r="N128" s="577"/>
      <c r="O128" s="577"/>
      <c r="P128" s="577"/>
      <c r="Q128" s="522"/>
      <c r="R128" s="516"/>
      <c r="S128" s="516"/>
      <c r="T128" s="521"/>
      <c r="U128" s="516"/>
      <c r="V128" s="548"/>
      <c r="W128" s="548"/>
      <c r="X128" s="548"/>
      <c r="Y128" s="548"/>
      <c r="Z128" s="517"/>
      <c r="AA128" s="517"/>
      <c r="AB128" s="517"/>
      <c r="AC128" s="524"/>
      <c r="AD128" s="517"/>
      <c r="AE128" s="517"/>
      <c r="AF128" s="517"/>
    </row>
    <row r="129" spans="1:32" ht="15" customHeight="1">
      <c r="A129" s="492"/>
      <c r="B129" s="492"/>
      <c r="C129" s="579" t="s">
        <v>730</v>
      </c>
      <c r="D129" s="580"/>
      <c r="E129" s="646" t="s">
        <v>731</v>
      </c>
      <c r="F129" s="580"/>
      <c r="G129" s="580"/>
      <c r="H129" s="460" t="s">
        <v>732</v>
      </c>
      <c r="I129" s="832" t="s">
        <v>605</v>
      </c>
      <c r="J129" s="832"/>
      <c r="K129" s="580"/>
      <c r="L129" s="580"/>
      <c r="M129" s="580"/>
      <c r="N129" s="580"/>
      <c r="O129" s="580"/>
      <c r="P129" s="580"/>
      <c r="Q129" s="507" t="str">
        <f>IF(D65="berekening op basis van minimale capaciteit","verbergen","")</f>
        <v/>
      </c>
      <c r="R129" s="507"/>
      <c r="S129" s="507"/>
      <c r="T129" s="532"/>
      <c r="U129" s="507"/>
      <c r="V129" s="508"/>
      <c r="W129" s="508"/>
      <c r="X129" s="508"/>
      <c r="Y129" s="508"/>
      <c r="Z129" s="508"/>
      <c r="AA129" s="508"/>
      <c r="AB129" s="508"/>
      <c r="AC129" s="534"/>
      <c r="AD129" s="508"/>
      <c r="AE129" s="508"/>
      <c r="AF129" s="508"/>
    </row>
    <row r="130" spans="1:32" s="518" customFormat="1" ht="12" customHeight="1">
      <c r="A130" s="516"/>
      <c r="B130" s="515"/>
      <c r="C130" s="464" t="str">
        <f>L28</f>
        <v>woonkamer / eetkamer</v>
      </c>
      <c r="D130" s="100" t="s">
        <v>141</v>
      </c>
      <c r="E130" s="464" t="str">
        <f>L29</f>
        <v>keuken</v>
      </c>
      <c r="F130" s="586"/>
      <c r="G130" s="586"/>
      <c r="H130" s="647">
        <v>21</v>
      </c>
      <c r="I130" s="833">
        <f>H130*12</f>
        <v>252</v>
      </c>
      <c r="J130" s="833"/>
      <c r="K130" s="834" t="str">
        <f>IF(I130&gt;180,"zie rapport voor nadere toelichting overstroomvoorzieningen","")</f>
        <v>zie rapport voor nadere toelichting overstroomvoorzieningen</v>
      </c>
      <c r="L130" s="834"/>
      <c r="M130" s="834"/>
      <c r="N130" s="834"/>
      <c r="O130" s="834"/>
      <c r="P130" s="834"/>
      <c r="Q130" s="525" t="str">
        <f t="shared" ref="Q130:Q134" si="19">IF(H130=0,"verbergen","")</f>
        <v/>
      </c>
      <c r="R130" s="516"/>
      <c r="S130" s="516"/>
      <c r="T130" s="521"/>
      <c r="U130" s="516"/>
      <c r="V130" s="517"/>
      <c r="W130" s="517"/>
      <c r="X130" s="517"/>
      <c r="Y130" s="517"/>
      <c r="Z130" s="508">
        <v>1</v>
      </c>
      <c r="AA130" s="648"/>
      <c r="AB130" s="517"/>
      <c r="AC130" s="517"/>
      <c r="AD130" s="517"/>
      <c r="AE130" s="517"/>
      <c r="AF130" s="517"/>
    </row>
    <row r="131" spans="1:32" s="518" customFormat="1" ht="12" customHeight="1">
      <c r="A131" s="516"/>
      <c r="B131" s="515"/>
      <c r="C131" s="464" t="str">
        <f>L28</f>
        <v>woonkamer / eetkamer</v>
      </c>
      <c r="D131" s="100" t="s">
        <v>141</v>
      </c>
      <c r="E131" s="464" t="s">
        <v>1159</v>
      </c>
      <c r="F131" s="586"/>
      <c r="G131" s="586"/>
      <c r="H131" s="647">
        <v>14</v>
      </c>
      <c r="I131" s="833">
        <f t="shared" ref="I131:I134" si="20">H131*12</f>
        <v>168</v>
      </c>
      <c r="J131" s="833"/>
      <c r="K131" s="834" t="str">
        <f>IF(I131&gt;180,"zie rapport voor nadere toelichting overstroomvoorzieningen","")</f>
        <v/>
      </c>
      <c r="L131" s="834"/>
      <c r="M131" s="834"/>
      <c r="N131" s="834"/>
      <c r="O131" s="834"/>
      <c r="P131" s="834"/>
      <c r="Q131" s="525" t="str">
        <f t="shared" si="19"/>
        <v/>
      </c>
      <c r="R131" s="516"/>
      <c r="S131" s="516"/>
      <c r="T131" s="521"/>
      <c r="U131" s="516"/>
      <c r="V131" s="517"/>
      <c r="W131" s="517"/>
      <c r="X131" s="517"/>
      <c r="Y131" s="517"/>
      <c r="Z131" s="508">
        <v>1</v>
      </c>
      <c r="AA131" s="648"/>
      <c r="AB131" s="517"/>
      <c r="AC131" s="517"/>
      <c r="AD131" s="517"/>
      <c r="AE131" s="517"/>
      <c r="AF131" s="517"/>
    </row>
    <row r="132" spans="1:32" s="518" customFormat="1" ht="12" customHeight="1">
      <c r="A132" s="516"/>
      <c r="B132" s="515"/>
      <c r="C132" s="464" t="s">
        <v>140</v>
      </c>
      <c r="D132" s="100" t="s">
        <v>141</v>
      </c>
      <c r="E132" s="464" t="s">
        <v>140</v>
      </c>
      <c r="F132" s="586"/>
      <c r="G132" s="586"/>
      <c r="H132" s="647">
        <v>0</v>
      </c>
      <c r="I132" s="833">
        <f t="shared" si="20"/>
        <v>0</v>
      </c>
      <c r="J132" s="833"/>
      <c r="K132" s="834" t="str">
        <f>IF(I132&gt;180,"zie rapport voor nadere toelichting overstroomvoorzieningen","")</f>
        <v/>
      </c>
      <c r="L132" s="834"/>
      <c r="M132" s="834"/>
      <c r="N132" s="834"/>
      <c r="O132" s="834"/>
      <c r="P132" s="834"/>
      <c r="Q132" s="525" t="str">
        <f t="shared" si="19"/>
        <v>verbergen</v>
      </c>
      <c r="R132" s="516"/>
      <c r="S132" s="516"/>
      <c r="T132" s="521"/>
      <c r="U132" s="516"/>
      <c r="V132" s="517"/>
      <c r="W132" s="517"/>
      <c r="X132" s="517"/>
      <c r="Y132" s="517"/>
      <c r="Z132" s="508">
        <v>1</v>
      </c>
      <c r="AA132" s="648"/>
      <c r="AB132" s="517"/>
      <c r="AC132" s="517"/>
      <c r="AD132" s="517"/>
      <c r="AE132" s="517"/>
      <c r="AF132" s="517"/>
    </row>
    <row r="133" spans="1:32" s="518" customFormat="1" ht="12" customHeight="1">
      <c r="A133" s="527"/>
      <c r="B133" s="515"/>
      <c r="C133" s="464" t="s">
        <v>140</v>
      </c>
      <c r="D133" s="100" t="s">
        <v>141</v>
      </c>
      <c r="E133" s="464" t="s">
        <v>140</v>
      </c>
      <c r="F133" s="586"/>
      <c r="G133" s="404"/>
      <c r="H133" s="647">
        <v>0</v>
      </c>
      <c r="I133" s="833">
        <f t="shared" si="20"/>
        <v>0</v>
      </c>
      <c r="J133" s="833"/>
      <c r="K133" s="834" t="str">
        <f>IF(I133&gt;180,"zie rapport voor nadere toelichting overstroomvoorzieningen","")</f>
        <v/>
      </c>
      <c r="L133" s="834"/>
      <c r="M133" s="834"/>
      <c r="N133" s="834"/>
      <c r="O133" s="834"/>
      <c r="P133" s="834"/>
      <c r="Q133" s="525" t="str">
        <f t="shared" si="19"/>
        <v>verbergen</v>
      </c>
      <c r="R133" s="516"/>
      <c r="S133" s="516"/>
      <c r="T133" s="521"/>
      <c r="U133" s="516"/>
      <c r="V133" s="517"/>
      <c r="W133" s="517"/>
      <c r="X133" s="517"/>
      <c r="Y133" s="517"/>
      <c r="Z133" s="508">
        <v>1</v>
      </c>
      <c r="AA133" s="648"/>
      <c r="AB133" s="517"/>
      <c r="AC133" s="517"/>
      <c r="AD133" s="517"/>
      <c r="AE133" s="517"/>
      <c r="AF133" s="517"/>
    </row>
    <row r="134" spans="1:32" s="518" customFormat="1" ht="12" customHeight="1">
      <c r="A134" s="527"/>
      <c r="B134" s="515"/>
      <c r="C134" s="464" t="s">
        <v>140</v>
      </c>
      <c r="D134" s="342" t="s">
        <v>141</v>
      </c>
      <c r="E134" s="464" t="s">
        <v>140</v>
      </c>
      <c r="F134" s="609"/>
      <c r="G134" s="628"/>
      <c r="H134" s="649">
        <v>0</v>
      </c>
      <c r="I134" s="835">
        <f t="shared" si="20"/>
        <v>0</v>
      </c>
      <c r="J134" s="835"/>
      <c r="K134" s="836" t="str">
        <f>IF(I134&gt;180,"zie rapport voor nadere toelichting overstroomvoorzieningen","")</f>
        <v/>
      </c>
      <c r="L134" s="836"/>
      <c r="M134" s="836"/>
      <c r="N134" s="836"/>
      <c r="O134" s="836"/>
      <c r="P134" s="836"/>
      <c r="Q134" s="525" t="str">
        <f t="shared" si="19"/>
        <v>verbergen</v>
      </c>
      <c r="R134" s="516"/>
      <c r="S134" s="516"/>
      <c r="T134" s="521"/>
      <c r="U134" s="516"/>
      <c r="V134" s="517"/>
      <c r="W134" s="517"/>
      <c r="X134" s="517"/>
      <c r="Y134" s="517"/>
      <c r="Z134" s="508">
        <v>1</v>
      </c>
      <c r="AA134" s="648"/>
      <c r="AB134" s="517"/>
      <c r="AC134" s="517"/>
      <c r="AD134" s="517"/>
      <c r="AE134" s="517"/>
      <c r="AF134" s="517"/>
    </row>
    <row r="135" spans="1:32" s="518" customFormat="1" ht="12" customHeight="1">
      <c r="A135" s="527"/>
      <c r="B135" s="590">
        <v>1</v>
      </c>
      <c r="C135" s="480">
        <f>B135</f>
        <v>1</v>
      </c>
      <c r="D135" s="592"/>
      <c r="E135" s="592"/>
      <c r="F135" s="650"/>
      <c r="G135" s="592"/>
      <c r="H135" s="651"/>
      <c r="I135" s="652"/>
      <c r="J135" s="653"/>
      <c r="K135" s="837" t="str">
        <f>IF(MAX(P130:P134)&gt;200,"zie rapport voor nadere toelichting overstroomvoorzieningen","")</f>
        <v/>
      </c>
      <c r="L135" s="837"/>
      <c r="M135" s="837"/>
      <c r="N135" s="837"/>
      <c r="O135" s="837"/>
      <c r="P135" s="837"/>
      <c r="Q135" s="516" t="str">
        <f>IF(SUM(H130:H136)=0,"verbergen","")</f>
        <v/>
      </c>
      <c r="R135" s="516"/>
      <c r="S135" s="516"/>
      <c r="T135" s="521"/>
      <c r="U135" s="516"/>
      <c r="V135" s="517"/>
      <c r="W135" s="517"/>
      <c r="X135" s="517"/>
      <c r="Y135" s="517"/>
      <c r="Z135" s="508">
        <v>1</v>
      </c>
      <c r="AA135" s="648"/>
      <c r="AB135" s="517"/>
      <c r="AC135" s="517"/>
      <c r="AD135" s="517"/>
      <c r="AE135" s="517"/>
      <c r="AF135" s="517"/>
    </row>
    <row r="136" spans="1:32" s="518" customFormat="1" ht="12" customHeight="1">
      <c r="A136" s="527"/>
      <c r="B136" s="515"/>
      <c r="C136" s="654"/>
      <c r="D136" s="404"/>
      <c r="E136" s="404"/>
      <c r="F136" s="586"/>
      <c r="G136" s="404"/>
      <c r="H136" s="655"/>
      <c r="I136" s="656"/>
      <c r="J136" s="657"/>
      <c r="K136" s="838"/>
      <c r="L136" s="838"/>
      <c r="M136" s="839"/>
      <c r="N136" s="839"/>
      <c r="O136" s="840"/>
      <c r="P136" s="840"/>
      <c r="Q136" s="516" t="str">
        <f>Q135</f>
        <v/>
      </c>
      <c r="R136" s="516"/>
      <c r="S136" s="516"/>
      <c r="T136" s="521"/>
      <c r="U136" s="516"/>
      <c r="V136" s="517"/>
      <c r="W136" s="517"/>
      <c r="X136" s="517"/>
      <c r="Y136" s="517"/>
      <c r="Z136" s="508">
        <v>1</v>
      </c>
      <c r="AA136" s="648"/>
      <c r="AB136" s="517"/>
      <c r="AC136" s="517"/>
      <c r="AD136" s="517"/>
      <c r="AE136" s="517"/>
      <c r="AF136" s="517"/>
    </row>
    <row r="137" spans="1:32" s="541" customFormat="1" ht="12" customHeight="1">
      <c r="A137" s="392"/>
      <c r="B137" s="543"/>
      <c r="C137" s="464" t="str">
        <f>L29</f>
        <v>keuken</v>
      </c>
      <c r="D137" s="100" t="s">
        <v>141</v>
      </c>
      <c r="E137" s="464" t="str">
        <f>L30</f>
        <v>bijkeuken</v>
      </c>
      <c r="F137" s="586"/>
      <c r="G137" s="586"/>
      <c r="H137" s="647">
        <v>7</v>
      </c>
      <c r="I137" s="833">
        <f>H137*12</f>
        <v>84</v>
      </c>
      <c r="J137" s="833"/>
      <c r="K137" s="834" t="str">
        <f>IF(I137&gt;180,"zie rapport voor nadere toelichting overstroomvoorzieningen","")</f>
        <v/>
      </c>
      <c r="L137" s="834"/>
      <c r="M137" s="834"/>
      <c r="N137" s="834"/>
      <c r="O137" s="834"/>
      <c r="P137" s="834"/>
      <c r="Q137" s="729" t="str">
        <f>IF(H137=0,"verbergen","")</f>
        <v/>
      </c>
      <c r="R137" s="392"/>
      <c r="S137" s="392"/>
      <c r="T137" s="544"/>
      <c r="U137" s="392"/>
      <c r="V137" s="392"/>
      <c r="W137" s="392"/>
      <c r="X137" s="392"/>
      <c r="Y137" s="392"/>
      <c r="Z137" s="547">
        <f>Z136+1</f>
        <v>2</v>
      </c>
      <c r="AA137" s="404"/>
      <c r="AB137" s="516"/>
      <c r="AC137" s="516"/>
      <c r="AD137" s="516"/>
      <c r="AE137" s="516"/>
      <c r="AF137" s="515"/>
    </row>
    <row r="138" spans="1:32" s="541" customFormat="1" ht="12" customHeight="1">
      <c r="A138" s="392"/>
      <c r="B138" s="543"/>
      <c r="C138" s="464" t="s">
        <v>140</v>
      </c>
      <c r="D138" s="100" t="s">
        <v>141</v>
      </c>
      <c r="E138" s="464" t="s">
        <v>140</v>
      </c>
      <c r="F138" s="586"/>
      <c r="G138" s="586"/>
      <c r="H138" s="647">
        <v>0</v>
      </c>
      <c r="I138" s="833">
        <f t="shared" ref="I138:I141" si="21">H138*12</f>
        <v>0</v>
      </c>
      <c r="J138" s="833"/>
      <c r="K138" s="834" t="str">
        <f>IF(I138&gt;180,"zie rapport voor nadere toelichting overstroomvoorzieningen","")</f>
        <v/>
      </c>
      <c r="L138" s="834"/>
      <c r="M138" s="834"/>
      <c r="N138" s="834"/>
      <c r="O138" s="834"/>
      <c r="P138" s="834"/>
      <c r="Q138" s="729" t="str">
        <f>IF(H138=0,"verbergen","")</f>
        <v>verbergen</v>
      </c>
      <c r="R138" s="392"/>
      <c r="S138" s="392"/>
      <c r="T138" s="544"/>
      <c r="U138" s="392"/>
      <c r="V138" s="392"/>
      <c r="W138" s="392"/>
      <c r="X138" s="392"/>
      <c r="Y138" s="392"/>
      <c r="Z138" s="547">
        <f t="shared" ref="Z138:Z143" si="22">Z137</f>
        <v>2</v>
      </c>
      <c r="AA138" s="404"/>
      <c r="AB138" s="516"/>
      <c r="AC138" s="516"/>
      <c r="AD138" s="516"/>
      <c r="AE138" s="516"/>
      <c r="AF138" s="515"/>
    </row>
    <row r="139" spans="1:32" s="541" customFormat="1" ht="12" customHeight="1">
      <c r="A139" s="392"/>
      <c r="B139" s="543"/>
      <c r="C139" s="464" t="s">
        <v>140</v>
      </c>
      <c r="D139" s="100" t="s">
        <v>141</v>
      </c>
      <c r="E139" s="464" t="s">
        <v>140</v>
      </c>
      <c r="F139" s="586"/>
      <c r="G139" s="586"/>
      <c r="H139" s="647">
        <v>0</v>
      </c>
      <c r="I139" s="833">
        <f t="shared" si="21"/>
        <v>0</v>
      </c>
      <c r="J139" s="833"/>
      <c r="K139" s="834" t="str">
        <f>IF(I139&gt;180,"zie rapport voor nadere toelichting overstroomvoorzieningen","")</f>
        <v/>
      </c>
      <c r="L139" s="834"/>
      <c r="M139" s="834"/>
      <c r="N139" s="834"/>
      <c r="O139" s="834"/>
      <c r="P139" s="834"/>
      <c r="Q139" s="729" t="str">
        <f>IF(H139=0,"verbergen","")</f>
        <v>verbergen</v>
      </c>
      <c r="R139" s="392"/>
      <c r="S139" s="392"/>
      <c r="T139" s="544"/>
      <c r="U139" s="392"/>
      <c r="V139" s="392"/>
      <c r="W139" s="392"/>
      <c r="X139" s="392"/>
      <c r="Y139" s="392"/>
      <c r="Z139" s="547">
        <f t="shared" si="22"/>
        <v>2</v>
      </c>
      <c r="AA139" s="404"/>
      <c r="AB139" s="516"/>
      <c r="AC139" s="516"/>
      <c r="AD139" s="516"/>
      <c r="AE139" s="516"/>
      <c r="AF139" s="515"/>
    </row>
    <row r="140" spans="1:32" s="541" customFormat="1" ht="12" customHeight="1">
      <c r="A140" s="542"/>
      <c r="B140" s="543"/>
      <c r="C140" s="464" t="s">
        <v>140</v>
      </c>
      <c r="D140" s="100" t="s">
        <v>141</v>
      </c>
      <c r="E140" s="464" t="s">
        <v>140</v>
      </c>
      <c r="F140" s="586"/>
      <c r="G140" s="404"/>
      <c r="H140" s="647">
        <v>0</v>
      </c>
      <c r="I140" s="833">
        <f t="shared" si="21"/>
        <v>0</v>
      </c>
      <c r="J140" s="833"/>
      <c r="K140" s="834" t="str">
        <f>IF(I140&gt;180,"zie rapport voor nadere toelichting overstroomvoorzieningen","")</f>
        <v/>
      </c>
      <c r="L140" s="834"/>
      <c r="M140" s="834"/>
      <c r="N140" s="834"/>
      <c r="O140" s="834"/>
      <c r="P140" s="834"/>
      <c r="Q140" s="729" t="str">
        <f>IF(H140=0,"verbergen","")</f>
        <v>verbergen</v>
      </c>
      <c r="R140" s="392"/>
      <c r="S140" s="392"/>
      <c r="T140" s="544"/>
      <c r="U140" s="392"/>
      <c r="V140" s="392"/>
      <c r="W140" s="392"/>
      <c r="X140" s="392"/>
      <c r="Y140" s="392"/>
      <c r="Z140" s="547">
        <f t="shared" si="22"/>
        <v>2</v>
      </c>
      <c r="AA140" s="404"/>
      <c r="AB140" s="516"/>
      <c r="AC140" s="516"/>
      <c r="AD140" s="516"/>
      <c r="AE140" s="516"/>
      <c r="AF140" s="515"/>
    </row>
    <row r="141" spans="1:32" s="541" customFormat="1" ht="12" customHeight="1">
      <c r="A141" s="542"/>
      <c r="B141" s="543"/>
      <c r="C141" s="464" t="s">
        <v>140</v>
      </c>
      <c r="D141" s="342" t="s">
        <v>141</v>
      </c>
      <c r="E141" s="464" t="s">
        <v>140</v>
      </c>
      <c r="F141" s="609"/>
      <c r="G141" s="628"/>
      <c r="H141" s="649">
        <v>0</v>
      </c>
      <c r="I141" s="835">
        <f t="shared" si="21"/>
        <v>0</v>
      </c>
      <c r="J141" s="835"/>
      <c r="K141" s="836" t="str">
        <f>IF(I141&gt;180,"zie rapport voor nadere toelichting overstroomvoorzieningen","")</f>
        <v/>
      </c>
      <c r="L141" s="836"/>
      <c r="M141" s="836"/>
      <c r="N141" s="836"/>
      <c r="O141" s="836"/>
      <c r="P141" s="836"/>
      <c r="Q141" s="729" t="str">
        <f>IF(H141=0,"verbergen","")</f>
        <v>verbergen</v>
      </c>
      <c r="R141" s="392"/>
      <c r="S141" s="392"/>
      <c r="T141" s="544"/>
      <c r="U141" s="392"/>
      <c r="V141" s="392"/>
      <c r="W141" s="392"/>
      <c r="X141" s="392"/>
      <c r="Y141" s="392"/>
      <c r="Z141" s="547">
        <f t="shared" si="22"/>
        <v>2</v>
      </c>
      <c r="AA141" s="404"/>
      <c r="AB141" s="516"/>
      <c r="AC141" s="516"/>
      <c r="AD141" s="516"/>
      <c r="AE141" s="516"/>
      <c r="AF141" s="515"/>
    </row>
    <row r="142" spans="1:32" s="541" customFormat="1" ht="12" customHeight="1">
      <c r="A142" s="542"/>
      <c r="B142" s="556">
        <f>B135+1</f>
        <v>2</v>
      </c>
      <c r="C142" s="480">
        <f>B142</f>
        <v>2</v>
      </c>
      <c r="D142" s="592"/>
      <c r="E142" s="592"/>
      <c r="F142" s="650"/>
      <c r="G142" s="592"/>
      <c r="H142" s="651"/>
      <c r="I142" s="652"/>
      <c r="J142" s="653"/>
      <c r="K142" s="837" t="str">
        <f>IF(MAX(P137:P141)&gt;200,"zie rapport voor nadere toelichting overstroomvoorzieningen","")</f>
        <v/>
      </c>
      <c r="L142" s="837"/>
      <c r="M142" s="837"/>
      <c r="N142" s="837"/>
      <c r="O142" s="837"/>
      <c r="P142" s="837"/>
      <c r="Q142" s="392" t="str">
        <f>IF(SUM(H137:H143)=0,"verbergen","")</f>
        <v/>
      </c>
      <c r="R142" s="392"/>
      <c r="S142" s="392"/>
      <c r="T142" s="544"/>
      <c r="U142" s="392"/>
      <c r="V142" s="392"/>
      <c r="W142" s="392"/>
      <c r="X142" s="392"/>
      <c r="Y142" s="392"/>
      <c r="Z142" s="547">
        <f t="shared" si="22"/>
        <v>2</v>
      </c>
      <c r="AA142" s="404"/>
      <c r="AB142" s="516"/>
      <c r="AC142" s="516"/>
      <c r="AD142" s="516"/>
      <c r="AE142" s="516"/>
      <c r="AF142" s="515"/>
    </row>
    <row r="143" spans="1:32" s="541" customFormat="1" ht="12" customHeight="1">
      <c r="A143" s="542"/>
      <c r="B143" s="543"/>
      <c r="C143" s="654"/>
      <c r="D143" s="404"/>
      <c r="E143" s="404"/>
      <c r="F143" s="586"/>
      <c r="G143" s="404"/>
      <c r="H143" s="655"/>
      <c r="I143" s="656"/>
      <c r="J143" s="657"/>
      <c r="K143" s="838"/>
      <c r="L143" s="838"/>
      <c r="M143" s="839"/>
      <c r="N143" s="839"/>
      <c r="O143" s="840"/>
      <c r="P143" s="840"/>
      <c r="Q143" s="392" t="str">
        <f>Q142</f>
        <v/>
      </c>
      <c r="R143" s="392"/>
      <c r="S143" s="392"/>
      <c r="T143" s="544"/>
      <c r="U143" s="392"/>
      <c r="V143" s="392"/>
      <c r="W143" s="392"/>
      <c r="X143" s="392"/>
      <c r="Y143" s="392"/>
      <c r="Z143" s="547">
        <f t="shared" si="22"/>
        <v>2</v>
      </c>
      <c r="AA143" s="404"/>
      <c r="AB143" s="516"/>
      <c r="AC143" s="516"/>
      <c r="AD143" s="516"/>
      <c r="AE143" s="516"/>
      <c r="AF143" s="515"/>
    </row>
    <row r="144" spans="1:32" s="541" customFormat="1" ht="12" customHeight="1">
      <c r="A144" s="392"/>
      <c r="B144" s="543"/>
      <c r="C144" s="464" t="str">
        <f>L31</f>
        <v>slaapkamer 1</v>
      </c>
      <c r="D144" s="100" t="s">
        <v>141</v>
      </c>
      <c r="E144" s="464" t="s">
        <v>1158</v>
      </c>
      <c r="F144" s="586"/>
      <c r="G144" s="586"/>
      <c r="H144" s="647">
        <v>14</v>
      </c>
      <c r="I144" s="833">
        <f>H144*12</f>
        <v>168</v>
      </c>
      <c r="J144" s="833"/>
      <c r="K144" s="834" t="str">
        <f>IF(I144&gt;200,"zie rapport voor nadere toelichting overstroomvoorzieningen","")</f>
        <v/>
      </c>
      <c r="L144" s="834"/>
      <c r="M144" s="834"/>
      <c r="N144" s="834"/>
      <c r="O144" s="834"/>
      <c r="P144" s="834"/>
      <c r="Q144" s="729" t="str">
        <f>IF(H144=0,"verbergen","")</f>
        <v/>
      </c>
      <c r="R144" s="392"/>
      <c r="S144" s="392"/>
      <c r="T144" s="544"/>
      <c r="U144" s="392"/>
      <c r="V144" s="392"/>
      <c r="W144" s="392"/>
      <c r="X144" s="392"/>
      <c r="Y144" s="392"/>
      <c r="Z144" s="547">
        <f>Z143+1</f>
        <v>3</v>
      </c>
      <c r="AA144" s="404"/>
      <c r="AB144" s="516"/>
      <c r="AC144" s="516"/>
      <c r="AD144" s="516"/>
      <c r="AE144" s="516"/>
      <c r="AF144" s="515"/>
    </row>
    <row r="145" spans="1:33" s="541" customFormat="1" ht="12" customHeight="1">
      <c r="A145" s="392"/>
      <c r="B145" s="543"/>
      <c r="C145" s="464" t="str">
        <f>L32</f>
        <v>slaapkamer 2</v>
      </c>
      <c r="D145" s="100" t="s">
        <v>141</v>
      </c>
      <c r="E145" s="464" t="s">
        <v>1158</v>
      </c>
      <c r="F145" s="586"/>
      <c r="G145" s="586"/>
      <c r="H145" s="647">
        <v>14</v>
      </c>
      <c r="I145" s="833">
        <f t="shared" ref="I145:I148" si="23">H145*12</f>
        <v>168</v>
      </c>
      <c r="J145" s="833"/>
      <c r="K145" s="834" t="str">
        <f>IF(I145&gt;200,"zie rapport voor nadere toelichting overstroomvoorzieningen","")</f>
        <v/>
      </c>
      <c r="L145" s="834"/>
      <c r="M145" s="834"/>
      <c r="N145" s="834"/>
      <c r="O145" s="834"/>
      <c r="P145" s="834"/>
      <c r="Q145" s="729" t="str">
        <f>IF(H145=0,"verbergen","")</f>
        <v/>
      </c>
      <c r="R145" s="392"/>
      <c r="S145" s="392"/>
      <c r="T145" s="544"/>
      <c r="U145" s="392"/>
      <c r="V145" s="392"/>
      <c r="W145" s="392"/>
      <c r="X145" s="392"/>
      <c r="Y145" s="392"/>
      <c r="Z145" s="547">
        <f t="shared" ref="Z145:Z150" si="24">Z144</f>
        <v>3</v>
      </c>
      <c r="AA145" s="404"/>
      <c r="AB145" s="516"/>
      <c r="AC145" s="516"/>
      <c r="AD145" s="516"/>
      <c r="AE145" s="516"/>
      <c r="AF145" s="515"/>
    </row>
    <row r="146" spans="1:33" s="541" customFormat="1" ht="12" customHeight="1">
      <c r="A146" s="392"/>
      <c r="B146" s="543"/>
      <c r="C146" s="464" t="str">
        <f>L33</f>
        <v>studeerkamer</v>
      </c>
      <c r="D146" s="100" t="s">
        <v>141</v>
      </c>
      <c r="E146" s="464" t="s">
        <v>1158</v>
      </c>
      <c r="F146" s="586"/>
      <c r="G146" s="586"/>
      <c r="H146" s="647">
        <v>14</v>
      </c>
      <c r="I146" s="833">
        <f t="shared" si="23"/>
        <v>168</v>
      </c>
      <c r="J146" s="833"/>
      <c r="K146" s="834" t="str">
        <f>IF(I146&gt;200,"zie rapport voor nadere toelichting overstroomvoorzieningen","")</f>
        <v/>
      </c>
      <c r="L146" s="834"/>
      <c r="M146" s="834"/>
      <c r="N146" s="834"/>
      <c r="O146" s="834"/>
      <c r="P146" s="834"/>
      <c r="Q146" s="729" t="str">
        <f>IF(H146=0,"verbergen","")</f>
        <v/>
      </c>
      <c r="R146" s="392"/>
      <c r="S146" s="392"/>
      <c r="T146" s="544"/>
      <c r="U146" s="392"/>
      <c r="V146" s="392"/>
      <c r="W146" s="392"/>
      <c r="X146" s="392"/>
      <c r="Y146" s="392"/>
      <c r="Z146" s="547">
        <f t="shared" si="24"/>
        <v>3</v>
      </c>
      <c r="AA146" s="404"/>
      <c r="AB146" s="516"/>
      <c r="AC146" s="516"/>
      <c r="AD146" s="516"/>
      <c r="AE146" s="516"/>
      <c r="AF146" s="515"/>
    </row>
    <row r="147" spans="1:33" s="541" customFormat="1" ht="12" customHeight="1">
      <c r="A147" s="542"/>
      <c r="B147" s="543"/>
      <c r="C147" s="464" t="s">
        <v>140</v>
      </c>
      <c r="D147" s="100" t="s">
        <v>141</v>
      </c>
      <c r="E147" s="464" t="s">
        <v>140</v>
      </c>
      <c r="F147" s="586"/>
      <c r="G147" s="404"/>
      <c r="H147" s="647">
        <v>0</v>
      </c>
      <c r="I147" s="833">
        <f t="shared" si="23"/>
        <v>0</v>
      </c>
      <c r="J147" s="833"/>
      <c r="K147" s="834" t="str">
        <f>IF(I147&gt;200,"zie rapport voor nadere toelichting overstroomvoorzieningen","")</f>
        <v/>
      </c>
      <c r="L147" s="834"/>
      <c r="M147" s="834"/>
      <c r="N147" s="834"/>
      <c r="O147" s="834"/>
      <c r="P147" s="834"/>
      <c r="Q147" s="729" t="str">
        <f>IF(H147=0,"verbergen","")</f>
        <v>verbergen</v>
      </c>
      <c r="R147" s="392"/>
      <c r="S147" s="392"/>
      <c r="T147" s="544"/>
      <c r="U147" s="392"/>
      <c r="V147" s="392"/>
      <c r="W147" s="392"/>
      <c r="X147" s="392"/>
      <c r="Y147" s="392"/>
      <c r="Z147" s="547">
        <f t="shared" si="24"/>
        <v>3</v>
      </c>
      <c r="AA147" s="404"/>
      <c r="AB147" s="516"/>
      <c r="AC147" s="516"/>
      <c r="AD147" s="516"/>
      <c r="AE147" s="516"/>
      <c r="AF147" s="515"/>
    </row>
    <row r="148" spans="1:33" s="541" customFormat="1" ht="12" customHeight="1">
      <c r="A148" s="542"/>
      <c r="B148" s="543"/>
      <c r="C148" s="472" t="s">
        <v>140</v>
      </c>
      <c r="D148" s="100" t="s">
        <v>141</v>
      </c>
      <c r="E148" s="472" t="s">
        <v>140</v>
      </c>
      <c r="F148" s="609"/>
      <c r="G148" s="628"/>
      <c r="H148" s="649">
        <v>0</v>
      </c>
      <c r="I148" s="835">
        <f t="shared" si="23"/>
        <v>0</v>
      </c>
      <c r="J148" s="835"/>
      <c r="K148" s="836" t="str">
        <f>IF(I148&gt;200,"zie rapport voor nadere toelichting overstroomvoorzieningen","")</f>
        <v/>
      </c>
      <c r="L148" s="836"/>
      <c r="M148" s="836"/>
      <c r="N148" s="836"/>
      <c r="O148" s="836"/>
      <c r="P148" s="836"/>
      <c r="Q148" s="729" t="str">
        <f>IF(H148=0,"verbergen","")</f>
        <v>verbergen</v>
      </c>
      <c r="R148" s="392"/>
      <c r="S148" s="392"/>
      <c r="T148" s="544"/>
      <c r="U148" s="392"/>
      <c r="V148" s="392"/>
      <c r="W148" s="392"/>
      <c r="X148" s="392"/>
      <c r="Y148" s="392"/>
      <c r="Z148" s="547">
        <f t="shared" si="24"/>
        <v>3</v>
      </c>
      <c r="AA148" s="404"/>
      <c r="AB148" s="516"/>
      <c r="AC148" s="516"/>
      <c r="AD148" s="516"/>
      <c r="AE148" s="516"/>
      <c r="AF148" s="515"/>
    </row>
    <row r="149" spans="1:33" s="541" customFormat="1" ht="12" customHeight="1">
      <c r="A149" s="542"/>
      <c r="B149" s="556">
        <f>B142+1</f>
        <v>3</v>
      </c>
      <c r="C149" s="480">
        <f>B149</f>
        <v>3</v>
      </c>
      <c r="D149" s="592"/>
      <c r="E149" s="592"/>
      <c r="F149" s="650"/>
      <c r="G149" s="592"/>
      <c r="H149" s="651"/>
      <c r="I149" s="652"/>
      <c r="J149" s="653"/>
      <c r="K149" s="837" t="str">
        <f>IF(MAX(P144:P148)&gt;200,"zie rapport voor nadere toelichting overstroomvoorzieningen","")</f>
        <v/>
      </c>
      <c r="L149" s="837"/>
      <c r="M149" s="837"/>
      <c r="N149" s="837"/>
      <c r="O149" s="837"/>
      <c r="P149" s="837"/>
      <c r="Q149" s="392" t="str">
        <f>IF(SUM(H144:H150)=0,"verbergen","")</f>
        <v/>
      </c>
      <c r="R149" s="392"/>
      <c r="S149" s="392"/>
      <c r="T149" s="544"/>
      <c r="U149" s="392"/>
      <c r="V149" s="392"/>
      <c r="W149" s="392"/>
      <c r="X149" s="392"/>
      <c r="Y149" s="392"/>
      <c r="Z149" s="547">
        <f t="shared" si="24"/>
        <v>3</v>
      </c>
      <c r="AA149" s="404"/>
      <c r="AB149" s="516"/>
      <c r="AC149" s="516"/>
      <c r="AD149" s="516"/>
      <c r="AE149" s="516"/>
      <c r="AF149" s="515"/>
    </row>
    <row r="150" spans="1:33" s="541" customFormat="1" ht="12" customHeight="1">
      <c r="A150" s="542"/>
      <c r="B150" s="543"/>
      <c r="C150" s="654"/>
      <c r="D150" s="404"/>
      <c r="E150" s="404"/>
      <c r="F150" s="586"/>
      <c r="G150" s="404"/>
      <c r="H150" s="655"/>
      <c r="I150" s="656"/>
      <c r="J150" s="657"/>
      <c r="K150" s="838"/>
      <c r="L150" s="838"/>
      <c r="M150" s="839"/>
      <c r="N150" s="839"/>
      <c r="O150" s="840"/>
      <c r="P150" s="840"/>
      <c r="Q150" s="392" t="str">
        <f>Q149</f>
        <v/>
      </c>
      <c r="R150" s="392"/>
      <c r="S150" s="392"/>
      <c r="T150" s="544"/>
      <c r="U150" s="392"/>
      <c r="V150" s="392"/>
      <c r="W150" s="392"/>
      <c r="X150" s="392"/>
      <c r="Y150" s="392"/>
      <c r="Z150" s="547">
        <f t="shared" si="24"/>
        <v>3</v>
      </c>
      <c r="AA150" s="404"/>
      <c r="AB150" s="516"/>
      <c r="AC150" s="516"/>
      <c r="AD150" s="516"/>
      <c r="AE150" s="516"/>
      <c r="AF150" s="515"/>
    </row>
    <row r="151" spans="1:33" s="518" customFormat="1" ht="12" customHeight="1">
      <c r="A151" s="516"/>
      <c r="B151" s="515"/>
      <c r="C151" s="464" t="s">
        <v>1158</v>
      </c>
      <c r="D151" s="100" t="s">
        <v>141</v>
      </c>
      <c r="E151" s="464" t="str">
        <f>L28</f>
        <v>woonkamer / eetkamer</v>
      </c>
      <c r="F151" s="586"/>
      <c r="G151" s="586"/>
      <c r="H151" s="647">
        <f>H119</f>
        <v>7</v>
      </c>
      <c r="I151" s="833">
        <f>H151*12</f>
        <v>84</v>
      </c>
      <c r="J151" s="833"/>
      <c r="K151" s="834" t="str">
        <f>IF(I151&gt;180,"zie rapport voor nadere toelichting overstroomvoorzieningen","")</f>
        <v/>
      </c>
      <c r="L151" s="834"/>
      <c r="M151" s="834"/>
      <c r="N151" s="834"/>
      <c r="O151" s="834"/>
      <c r="P151" s="834"/>
      <c r="Q151" s="525" t="str">
        <f>IF(H151=0,"verbergen","")</f>
        <v/>
      </c>
      <c r="R151" s="516"/>
      <c r="S151" s="516"/>
      <c r="T151" s="521"/>
      <c r="U151" s="516"/>
      <c r="V151" s="517"/>
      <c r="W151" s="517"/>
      <c r="X151" s="517"/>
      <c r="Y151" s="517"/>
      <c r="Z151" s="508"/>
      <c r="AA151" s="648"/>
      <c r="AB151" s="517"/>
      <c r="AC151" s="517"/>
      <c r="AD151" s="517"/>
      <c r="AE151" s="517"/>
      <c r="AF151" s="517"/>
    </row>
    <row r="152" spans="1:33" s="518" customFormat="1" ht="12" customHeight="1">
      <c r="A152" s="516"/>
      <c r="B152" s="515"/>
      <c r="C152" s="464" t="s">
        <v>1158</v>
      </c>
      <c r="D152" s="100" t="s">
        <v>141</v>
      </c>
      <c r="E152" s="464" t="s">
        <v>1160</v>
      </c>
      <c r="F152" s="586"/>
      <c r="G152" s="586"/>
      <c r="H152" s="647">
        <v>14</v>
      </c>
      <c r="I152" s="833">
        <f t="shared" ref="I152:I155" si="25">H152*12</f>
        <v>168</v>
      </c>
      <c r="J152" s="833"/>
      <c r="K152" s="834" t="str">
        <f>IF(I152&gt;180,"zie rapport voor nadere toelichting overstroomvoorzieningen","")</f>
        <v/>
      </c>
      <c r="L152" s="834"/>
      <c r="M152" s="834"/>
      <c r="N152" s="834"/>
      <c r="O152" s="834"/>
      <c r="P152" s="834"/>
      <c r="Q152" s="525" t="str">
        <f>IF(H152=0,"verbergen","")</f>
        <v/>
      </c>
      <c r="R152" s="516"/>
      <c r="S152" s="516"/>
      <c r="T152" s="521"/>
      <c r="U152" s="516"/>
      <c r="V152" s="517"/>
      <c r="W152" s="517"/>
      <c r="X152" s="517"/>
      <c r="Y152" s="517"/>
      <c r="Z152" s="508"/>
      <c r="AA152" s="648"/>
      <c r="AB152" s="517"/>
      <c r="AC152" s="517"/>
      <c r="AD152" s="517"/>
      <c r="AE152" s="517"/>
      <c r="AF152" s="517"/>
    </row>
    <row r="153" spans="1:33" s="518" customFormat="1" ht="12" customHeight="1">
      <c r="A153" s="516"/>
      <c r="B153" s="515"/>
      <c r="C153" s="464" t="s">
        <v>1158</v>
      </c>
      <c r="D153" s="100" t="s">
        <v>141</v>
      </c>
      <c r="E153" s="464" t="s">
        <v>729</v>
      </c>
      <c r="F153" s="586"/>
      <c r="G153" s="586"/>
      <c r="H153" s="647">
        <v>21</v>
      </c>
      <c r="I153" s="833">
        <f t="shared" si="25"/>
        <v>252</v>
      </c>
      <c r="J153" s="833"/>
      <c r="K153" s="834" t="str">
        <f>IF(I153&gt;180,"zie rapport voor nadere toelichting overstroomvoorzieningen","")</f>
        <v>zie rapport voor nadere toelichting overstroomvoorzieningen</v>
      </c>
      <c r="L153" s="834"/>
      <c r="M153" s="834"/>
      <c r="N153" s="834"/>
      <c r="O153" s="834"/>
      <c r="P153" s="834"/>
      <c r="Q153" s="525" t="str">
        <f>IF(H153=0,"verbergen","")</f>
        <v/>
      </c>
      <c r="R153" s="516"/>
      <c r="S153" s="516"/>
      <c r="T153" s="521"/>
      <c r="U153" s="516"/>
      <c r="V153" s="517"/>
      <c r="W153" s="517"/>
      <c r="X153" s="517"/>
      <c r="Y153" s="517"/>
      <c r="Z153" s="508"/>
      <c r="AA153" s="648"/>
      <c r="AB153" s="517"/>
      <c r="AC153" s="517"/>
      <c r="AD153" s="517"/>
      <c r="AE153" s="517"/>
      <c r="AF153" s="517"/>
    </row>
    <row r="154" spans="1:33" s="518" customFormat="1" ht="12" customHeight="1">
      <c r="A154" s="527"/>
      <c r="B154" s="515"/>
      <c r="C154" s="464" t="s">
        <v>1158</v>
      </c>
      <c r="D154" s="100" t="s">
        <v>141</v>
      </c>
      <c r="E154" s="464" t="s">
        <v>727</v>
      </c>
      <c r="F154" s="586"/>
      <c r="G154" s="404"/>
      <c r="H154" s="647">
        <v>7</v>
      </c>
      <c r="I154" s="833">
        <f t="shared" si="25"/>
        <v>84</v>
      </c>
      <c r="J154" s="833"/>
      <c r="K154" s="834" t="str">
        <f>IF(I154&gt;180,"zie rapport voor nadere toelichting overstroomvoorzieningen","")</f>
        <v/>
      </c>
      <c r="L154" s="834"/>
      <c r="M154" s="834"/>
      <c r="N154" s="834"/>
      <c r="O154" s="834"/>
      <c r="P154" s="834"/>
      <c r="Q154" s="525" t="str">
        <f>IF(H154=0,"verbergen","")</f>
        <v/>
      </c>
      <c r="R154" s="516"/>
      <c r="S154" s="516"/>
      <c r="T154" s="521"/>
      <c r="U154" s="516"/>
      <c r="V154" s="517"/>
      <c r="W154" s="517"/>
      <c r="X154" s="517"/>
      <c r="Y154" s="517"/>
      <c r="Z154" s="508"/>
      <c r="AA154" s="648"/>
      <c r="AB154" s="517"/>
      <c r="AC154" s="517"/>
      <c r="AD154" s="517"/>
      <c r="AE154" s="517"/>
      <c r="AF154" s="517"/>
    </row>
    <row r="155" spans="1:33" s="518" customFormat="1" ht="12" customHeight="1">
      <c r="A155" s="527"/>
      <c r="B155" s="515"/>
      <c r="C155" s="472" t="s">
        <v>1159</v>
      </c>
      <c r="D155" s="342" t="s">
        <v>141</v>
      </c>
      <c r="E155" s="472" t="s">
        <v>1161</v>
      </c>
      <c r="F155" s="609"/>
      <c r="G155" s="628"/>
      <c r="H155" s="649">
        <v>14</v>
      </c>
      <c r="I155" s="835">
        <f t="shared" si="25"/>
        <v>168</v>
      </c>
      <c r="J155" s="835"/>
      <c r="K155" s="836" t="str">
        <f>IF(I155&gt;180,"zie rapport voor nadere toelichting overstroomvoorzieningen","")</f>
        <v/>
      </c>
      <c r="L155" s="836"/>
      <c r="M155" s="836"/>
      <c r="N155" s="836"/>
      <c r="O155" s="836"/>
      <c r="P155" s="836"/>
      <c r="Q155" s="525" t="str">
        <f>IF(H155=0,"verbergen","")</f>
        <v/>
      </c>
      <c r="R155" s="516"/>
      <c r="S155" s="516"/>
      <c r="T155" s="521"/>
      <c r="U155" s="516"/>
      <c r="V155" s="517"/>
      <c r="W155" s="517"/>
      <c r="X155" s="517"/>
      <c r="Y155" s="517"/>
      <c r="Z155" s="508"/>
      <c r="AA155" s="648"/>
      <c r="AB155" s="517"/>
      <c r="AC155" s="517"/>
      <c r="AD155" s="517"/>
      <c r="AE155" s="517"/>
      <c r="AF155" s="517"/>
    </row>
    <row r="156" spans="1:33" s="518" customFormat="1" ht="12" customHeight="1">
      <c r="A156" s="527"/>
      <c r="B156" s="590"/>
      <c r="C156" s="480" t="s">
        <v>734</v>
      </c>
      <c r="D156" s="592"/>
      <c r="E156" s="592"/>
      <c r="F156" s="650"/>
      <c r="G156" s="592"/>
      <c r="H156" s="651"/>
      <c r="I156" s="652"/>
      <c r="J156" s="653"/>
      <c r="K156" s="837" t="str">
        <f>IF(MAX(P151:P155)&gt;200,"zie rapport voor nadere toelichting overstroomvoorzieningen","")</f>
        <v/>
      </c>
      <c r="L156" s="837"/>
      <c r="M156" s="837"/>
      <c r="N156" s="837"/>
      <c r="O156" s="837"/>
      <c r="P156" s="837"/>
      <c r="Q156" s="516" t="str">
        <f>IF(SUM(H151:H157)=0,"verbergen","")</f>
        <v/>
      </c>
      <c r="R156" s="516"/>
      <c r="S156" s="516"/>
      <c r="T156" s="521"/>
      <c r="U156" s="516"/>
      <c r="V156" s="517"/>
      <c r="W156" s="517"/>
      <c r="X156" s="517"/>
      <c r="Y156" s="517"/>
      <c r="Z156" s="508"/>
      <c r="AA156" s="648"/>
      <c r="AB156" s="517"/>
      <c r="AC156" s="517"/>
      <c r="AD156" s="517"/>
      <c r="AE156" s="517"/>
      <c r="AF156" s="517"/>
    </row>
    <row r="157" spans="1:33" s="518" customFormat="1" ht="12" customHeight="1">
      <c r="A157" s="527"/>
      <c r="B157" s="515"/>
      <c r="C157" s="654"/>
      <c r="D157" s="404"/>
      <c r="E157" s="404"/>
      <c r="F157" s="586"/>
      <c r="G157" s="404"/>
      <c r="H157" s="655"/>
      <c r="I157" s="656"/>
      <c r="J157" s="657"/>
      <c r="K157" s="396"/>
      <c r="L157" s="396"/>
      <c r="M157" s="585"/>
      <c r="N157" s="585"/>
      <c r="O157" s="734"/>
      <c r="P157" s="734"/>
      <c r="Q157" s="516" t="str">
        <f>Q156</f>
        <v/>
      </c>
      <c r="R157" s="516"/>
      <c r="S157" s="516"/>
      <c r="T157" s="521"/>
      <c r="U157" s="516"/>
      <c r="V157" s="517"/>
      <c r="W157" s="517"/>
      <c r="X157" s="517"/>
      <c r="Y157" s="517"/>
      <c r="Z157" s="508"/>
      <c r="AA157" s="648"/>
      <c r="AB157" s="517"/>
      <c r="AC157" s="517"/>
      <c r="AD157" s="517"/>
      <c r="AE157" s="517"/>
      <c r="AF157" s="517"/>
    </row>
    <row r="158" spans="1:33" s="518" customFormat="1" ht="12" customHeight="1">
      <c r="A158" s="527"/>
      <c r="B158" s="515"/>
      <c r="C158" s="654"/>
      <c r="D158" s="404"/>
      <c r="E158" s="404"/>
      <c r="F158" s="586"/>
      <c r="G158" s="404"/>
      <c r="H158" s="655"/>
      <c r="I158" s="656"/>
      <c r="J158" s="657"/>
      <c r="K158" s="396"/>
      <c r="L158" s="396"/>
      <c r="M158" s="585"/>
      <c r="N158" s="585"/>
      <c r="O158" s="734"/>
      <c r="P158" s="734"/>
      <c r="Q158" s="516"/>
      <c r="R158" s="516"/>
      <c r="S158" s="516"/>
      <c r="T158" s="521"/>
      <c r="U158" s="516"/>
      <c r="V158" s="517"/>
      <c r="W158" s="517"/>
      <c r="X158" s="517"/>
      <c r="Y158" s="517"/>
      <c r="Z158" s="517"/>
      <c r="AA158" s="648"/>
      <c r="AB158" s="517"/>
      <c r="AC158" s="517"/>
      <c r="AD158" s="517"/>
      <c r="AE158" s="517"/>
      <c r="AF158" s="517"/>
    </row>
    <row r="159" spans="1:33" s="518" customFormat="1" ht="15" customHeight="1">
      <c r="A159" s="515"/>
      <c r="B159" s="658" t="s">
        <v>673</v>
      </c>
      <c r="C159" s="457" t="s">
        <v>1089</v>
      </c>
      <c r="D159" s="575"/>
      <c r="E159" s="575"/>
      <c r="F159" s="575"/>
      <c r="G159" s="575"/>
      <c r="H159" s="575"/>
      <c r="I159" s="575"/>
      <c r="J159" s="575"/>
      <c r="K159" s="575"/>
      <c r="L159" s="575"/>
      <c r="M159" s="575"/>
      <c r="N159" s="575"/>
      <c r="O159" s="575"/>
      <c r="P159" s="575"/>
      <c r="Q159" s="525"/>
      <c r="R159" s="659"/>
      <c r="S159" s="660"/>
      <c r="T159" s="521"/>
      <c r="U159" s="516"/>
      <c r="V159" s="517"/>
      <c r="W159" s="517"/>
      <c r="X159" s="517"/>
      <c r="Y159" s="517"/>
      <c r="Z159" s="517"/>
      <c r="AA159" s="517"/>
      <c r="AB159" s="517"/>
      <c r="AC159" s="524"/>
      <c r="AD159" s="517"/>
      <c r="AE159" s="517"/>
      <c r="AF159" s="517"/>
      <c r="AG159" s="517"/>
    </row>
    <row r="160" spans="1:33" s="518" customFormat="1" ht="12.75" hidden="1" customHeight="1">
      <c r="A160" s="515"/>
      <c r="B160" s="515"/>
      <c r="C160" s="661"/>
      <c r="D160" s="577"/>
      <c r="E160" s="577"/>
      <c r="F160" s="577"/>
      <c r="G160" s="577"/>
      <c r="H160" s="662"/>
      <c r="I160" s="662"/>
      <c r="J160" s="577"/>
      <c r="K160" s="577"/>
      <c r="L160" s="577"/>
      <c r="M160" s="577"/>
      <c r="N160" s="577"/>
      <c r="O160" s="577"/>
      <c r="P160" s="663"/>
      <c r="Q160" s="525"/>
      <c r="R160" s="659"/>
      <c r="S160" s="664"/>
      <c r="T160" s="521"/>
      <c r="U160" s="516"/>
      <c r="V160" s="517"/>
      <c r="W160" s="517"/>
      <c r="X160" s="517"/>
      <c r="Y160" s="517"/>
      <c r="Z160" s="517"/>
      <c r="AA160" s="517"/>
      <c r="AB160" s="517"/>
      <c r="AC160" s="524"/>
      <c r="AD160" s="517"/>
      <c r="AE160" s="517"/>
      <c r="AF160" s="517"/>
      <c r="AG160" s="517"/>
    </row>
    <row r="161" spans="1:34" ht="15" customHeight="1">
      <c r="A161" s="492"/>
      <c r="B161" s="492"/>
      <c r="C161" s="579" t="s">
        <v>133</v>
      </c>
      <c r="D161" s="809" t="s">
        <v>1100</v>
      </c>
      <c r="E161" s="809"/>
      <c r="F161" s="809" t="s">
        <v>678</v>
      </c>
      <c r="G161" s="809"/>
      <c r="H161" s="809" t="s">
        <v>677</v>
      </c>
      <c r="I161" s="809"/>
      <c r="J161" s="818" t="s">
        <v>134</v>
      </c>
      <c r="K161" s="818"/>
      <c r="L161" s="646"/>
      <c r="M161" s="844" t="s">
        <v>1107</v>
      </c>
      <c r="N161" s="844"/>
      <c r="O161" s="809" t="s">
        <v>1108</v>
      </c>
      <c r="P161" s="809"/>
      <c r="Q161" s="665"/>
      <c r="R161" s="507"/>
      <c r="S161" s="507"/>
      <c r="T161" s="532"/>
      <c r="U161" s="507"/>
      <c r="V161" s="508"/>
      <c r="W161" s="508"/>
      <c r="X161" s="508"/>
      <c r="Y161" s="508"/>
      <c r="Z161" s="508"/>
      <c r="AA161" s="508"/>
      <c r="AB161" s="508"/>
      <c r="AC161" s="534"/>
      <c r="AD161" s="508"/>
      <c r="AE161" s="508"/>
      <c r="AF161" s="508"/>
      <c r="AG161" s="508"/>
    </row>
    <row r="162" spans="1:34">
      <c r="A162" s="492"/>
      <c r="B162" s="492"/>
      <c r="C162" s="463"/>
      <c r="D162" s="463"/>
      <c r="E162" s="463"/>
      <c r="F162" s="463"/>
      <c r="G162" s="463"/>
      <c r="H162" s="456"/>
      <c r="I162" s="456"/>
      <c r="J162" s="456"/>
      <c r="K162" s="456"/>
      <c r="L162" s="456"/>
      <c r="M162" s="456"/>
      <c r="N162" s="456"/>
      <c r="O162" s="456"/>
      <c r="P162" s="456"/>
      <c r="Q162" s="507"/>
      <c r="R162" s="507"/>
      <c r="S162" s="507"/>
      <c r="T162" s="532"/>
      <c r="U162" s="507"/>
      <c r="V162" s="508"/>
      <c r="W162" s="508"/>
      <c r="X162" s="508"/>
      <c r="Y162" s="508"/>
      <c r="Z162" s="508"/>
      <c r="AA162" s="508"/>
      <c r="AB162" s="508"/>
      <c r="AC162" s="524"/>
      <c r="AD162" s="508"/>
      <c r="AE162" s="517"/>
      <c r="AF162" s="508"/>
      <c r="AG162" s="508"/>
    </row>
    <row r="163" spans="1:34" s="518" customFormat="1" ht="12" customHeight="1">
      <c r="A163" s="515"/>
      <c r="B163" s="515"/>
      <c r="C163" s="464" t="str">
        <f>L28</f>
        <v>woonkamer / eetkamer</v>
      </c>
      <c r="D163" s="831">
        <f>SUMPRODUCT(($AE$1:$AE$28047)*($L$1:$L$28047=C163))</f>
        <v>28.45</v>
      </c>
      <c r="E163" s="831"/>
      <c r="F163" s="811">
        <v>1</v>
      </c>
      <c r="G163" s="811"/>
      <c r="H163" s="841">
        <f t="shared" ref="H163:H168" si="26">IF(F163=0,"",IF(F163=1,0.1,0.4))</f>
        <v>0.1</v>
      </c>
      <c r="I163" s="841"/>
      <c r="J163" s="842" t="s">
        <v>245</v>
      </c>
      <c r="K163" s="842"/>
      <c r="L163" s="404"/>
      <c r="M163" s="666">
        <f>verzamelblad!$S$7*D163/H163/1000</f>
        <v>0.85349999999999993</v>
      </c>
      <c r="N163" s="735"/>
      <c r="O163" s="843">
        <f>M163</f>
        <v>0.85349999999999993</v>
      </c>
      <c r="P163" s="843"/>
      <c r="Q163" s="525" t="str">
        <f t="shared" ref="Q163:Q168" si="27">IF(D163=0,"verbergen","")</f>
        <v/>
      </c>
      <c r="R163" s="516"/>
      <c r="S163" s="516"/>
      <c r="T163" s="516"/>
      <c r="U163" s="516"/>
      <c r="V163" s="517"/>
      <c r="W163" s="508">
        <v>1</v>
      </c>
      <c r="X163" s="517"/>
      <c r="Y163" s="517"/>
      <c r="Z163" s="517"/>
      <c r="AA163" s="517"/>
      <c r="AB163" s="517"/>
      <c r="AC163" s="517"/>
      <c r="AD163" s="517"/>
      <c r="AE163" s="517"/>
      <c r="AF163" s="517"/>
      <c r="AG163" s="517"/>
    </row>
    <row r="164" spans="1:34" s="518" customFormat="1" ht="12" customHeight="1">
      <c r="A164" s="515"/>
      <c r="B164" s="515"/>
      <c r="C164" s="464" t="s">
        <v>140</v>
      </c>
      <c r="D164" s="831">
        <f>SUMPRODUCT(($AE$1:$AE$28047)*($L$1:$L$28047=C164))</f>
        <v>0</v>
      </c>
      <c r="E164" s="831"/>
      <c r="F164" s="811">
        <v>2</v>
      </c>
      <c r="G164" s="811"/>
      <c r="H164" s="841">
        <f t="shared" si="26"/>
        <v>0.4</v>
      </c>
      <c r="I164" s="841"/>
      <c r="J164" s="842" t="s">
        <v>245</v>
      </c>
      <c r="K164" s="842"/>
      <c r="L164" s="404"/>
      <c r="M164" s="666">
        <f>verzamelblad!$S$7*D164/H164/1000</f>
        <v>0</v>
      </c>
      <c r="N164" s="735"/>
      <c r="O164" s="843">
        <f t="shared" ref="O164:O168" si="28">M164</f>
        <v>0</v>
      </c>
      <c r="P164" s="843"/>
      <c r="Q164" s="525" t="str">
        <f t="shared" si="27"/>
        <v>verbergen</v>
      </c>
      <c r="R164" s="516"/>
      <c r="S164" s="516"/>
      <c r="T164" s="516"/>
      <c r="U164" s="516"/>
      <c r="V164" s="517"/>
      <c r="W164" s="508">
        <v>1</v>
      </c>
      <c r="X164" s="517"/>
      <c r="Y164" s="517"/>
      <c r="Z164" s="517"/>
      <c r="AA164" s="517"/>
      <c r="AB164" s="517"/>
      <c r="AC164" s="517"/>
      <c r="AD164" s="517"/>
      <c r="AE164" s="517"/>
      <c r="AF164" s="517"/>
      <c r="AG164" s="517"/>
    </row>
    <row r="165" spans="1:34" s="518" customFormat="1" ht="12" customHeight="1">
      <c r="A165" s="515"/>
      <c r="B165" s="515"/>
      <c r="C165" s="464" t="s">
        <v>140</v>
      </c>
      <c r="D165" s="831">
        <f>SUMPRODUCT(($AE$1:$AE$28047)*($L$1:$L$28047=C165))</f>
        <v>0</v>
      </c>
      <c r="E165" s="831"/>
      <c r="F165" s="811">
        <v>2</v>
      </c>
      <c r="G165" s="811"/>
      <c r="H165" s="841">
        <f t="shared" si="26"/>
        <v>0.4</v>
      </c>
      <c r="I165" s="841"/>
      <c r="J165" s="842" t="s">
        <v>245</v>
      </c>
      <c r="K165" s="842"/>
      <c r="L165" s="404"/>
      <c r="M165" s="666">
        <f>verzamelblad!$S$7*D165/H165/1000</f>
        <v>0</v>
      </c>
      <c r="N165" s="735"/>
      <c r="O165" s="845">
        <f t="shared" si="28"/>
        <v>0</v>
      </c>
      <c r="P165" s="846"/>
      <c r="Q165" s="525" t="str">
        <f t="shared" si="27"/>
        <v>verbergen</v>
      </c>
      <c r="R165" s="516"/>
      <c r="S165" s="516"/>
      <c r="T165" s="516"/>
      <c r="U165" s="516"/>
      <c r="V165" s="517"/>
      <c r="W165" s="508">
        <v>1</v>
      </c>
      <c r="X165" s="517"/>
      <c r="Y165" s="517"/>
      <c r="Z165" s="517"/>
      <c r="AA165" s="517"/>
      <c r="AB165" s="517"/>
      <c r="AC165" s="517"/>
      <c r="AD165" s="517"/>
      <c r="AE165" s="517"/>
      <c r="AF165" s="517"/>
      <c r="AG165" s="517"/>
    </row>
    <row r="166" spans="1:34" s="518" customFormat="1" ht="12" customHeight="1">
      <c r="A166" s="515"/>
      <c r="B166" s="515"/>
      <c r="C166" s="464" t="s">
        <v>140</v>
      </c>
      <c r="D166" s="831">
        <f>SUMPRODUCT(($AE$1:$AE$28047)*($L$1:$L$28047=C166))</f>
        <v>0</v>
      </c>
      <c r="E166" s="831"/>
      <c r="F166" s="811">
        <v>2</v>
      </c>
      <c r="G166" s="811"/>
      <c r="H166" s="841">
        <f t="shared" si="26"/>
        <v>0.4</v>
      </c>
      <c r="I166" s="841"/>
      <c r="J166" s="842" t="s">
        <v>245</v>
      </c>
      <c r="K166" s="842"/>
      <c r="L166" s="404"/>
      <c r="M166" s="666">
        <f>verzamelblad!$S$7*D166/H166/1000</f>
        <v>0</v>
      </c>
      <c r="N166" s="735"/>
      <c r="O166" s="843">
        <f t="shared" si="28"/>
        <v>0</v>
      </c>
      <c r="P166" s="843"/>
      <c r="Q166" s="525" t="str">
        <f t="shared" si="27"/>
        <v>verbergen</v>
      </c>
      <c r="R166" s="516"/>
      <c r="S166" s="516"/>
      <c r="T166" s="516"/>
      <c r="U166" s="516"/>
      <c r="V166" s="517"/>
      <c r="W166" s="508">
        <v>1</v>
      </c>
      <c r="X166" s="517"/>
      <c r="Y166" s="517"/>
      <c r="Z166" s="517"/>
      <c r="AA166" s="517"/>
      <c r="AB166" s="517"/>
      <c r="AC166" s="517"/>
      <c r="AD166" s="517"/>
      <c r="AE166" s="517"/>
      <c r="AF166" s="517"/>
      <c r="AG166" s="517"/>
    </row>
    <row r="167" spans="1:34" s="518" customFormat="1" ht="12" customHeight="1">
      <c r="A167" s="515"/>
      <c r="B167" s="515"/>
      <c r="C167" s="667" t="s">
        <v>140</v>
      </c>
      <c r="D167" s="847">
        <f>SUMPRODUCT(($AE$1:$AE$28047)*($L$1:$L$28047=C167))</f>
        <v>0</v>
      </c>
      <c r="E167" s="847"/>
      <c r="F167" s="812">
        <v>2</v>
      </c>
      <c r="G167" s="812"/>
      <c r="H167" s="848">
        <f t="shared" si="26"/>
        <v>0.4</v>
      </c>
      <c r="I167" s="848"/>
      <c r="J167" s="849" t="s">
        <v>245</v>
      </c>
      <c r="K167" s="849"/>
      <c r="L167" s="628"/>
      <c r="M167" s="668">
        <f>verzamelblad!$S$7*D167/H167/1000</f>
        <v>0</v>
      </c>
      <c r="N167" s="738"/>
      <c r="O167" s="850">
        <f t="shared" si="28"/>
        <v>0</v>
      </c>
      <c r="P167" s="850"/>
      <c r="Q167" s="525" t="str">
        <f t="shared" si="27"/>
        <v>verbergen</v>
      </c>
      <c r="R167" s="516"/>
      <c r="S167" s="516"/>
      <c r="T167" s="516"/>
      <c r="U167" s="516"/>
      <c r="V167" s="517"/>
      <c r="W167" s="508">
        <v>1</v>
      </c>
      <c r="X167" s="517"/>
      <c r="Y167" s="517"/>
      <c r="Z167" s="517"/>
      <c r="AA167" s="517"/>
      <c r="AB167" s="517"/>
      <c r="AC167" s="517"/>
      <c r="AD167" s="517"/>
      <c r="AE167" s="517"/>
      <c r="AF167" s="517"/>
      <c r="AG167" s="517"/>
    </row>
    <row r="168" spans="1:34" s="518" customFormat="1" ht="12" customHeight="1">
      <c r="A168" s="515"/>
      <c r="B168" s="590">
        <v>1</v>
      </c>
      <c r="C168" s="480">
        <f>B168</f>
        <v>1</v>
      </c>
      <c r="D168" s="851">
        <f>SUMPRODUCT(($AD$1:$AD$50004)*($AC$1:$AC$50004=B168))</f>
        <v>28.45</v>
      </c>
      <c r="E168" s="851"/>
      <c r="F168" s="852">
        <v>1</v>
      </c>
      <c r="G168" s="852"/>
      <c r="H168" s="853">
        <f t="shared" si="26"/>
        <v>0.1</v>
      </c>
      <c r="I168" s="853"/>
      <c r="J168" s="854" t="s">
        <v>245</v>
      </c>
      <c r="K168" s="854"/>
      <c r="L168" s="592"/>
      <c r="M168" s="669">
        <f>verzamelblad!$R$7*D168/H168/1000</f>
        <v>1.7069999999999999</v>
      </c>
      <c r="N168" s="739"/>
      <c r="O168" s="855">
        <f t="shared" si="28"/>
        <v>1.7069999999999999</v>
      </c>
      <c r="P168" s="855"/>
      <c r="Q168" s="525" t="str">
        <f t="shared" si="27"/>
        <v/>
      </c>
      <c r="R168" s="516"/>
      <c r="S168" s="516"/>
      <c r="T168" s="516"/>
      <c r="U168" s="516"/>
      <c r="V168" s="517"/>
      <c r="W168" s="508">
        <v>1</v>
      </c>
      <c r="X168" s="517"/>
      <c r="Y168" s="517"/>
      <c r="Z168" s="517"/>
      <c r="AA168" s="517"/>
      <c r="AB168" s="517"/>
      <c r="AC168" s="524"/>
      <c r="AD168" s="517"/>
      <c r="AE168" s="517"/>
      <c r="AF168" s="517"/>
      <c r="AG168" s="517"/>
    </row>
    <row r="169" spans="1:34" ht="12" customHeight="1">
      <c r="A169" s="492"/>
      <c r="B169" s="492"/>
      <c r="C169" s="463"/>
      <c r="D169" s="463"/>
      <c r="E169" s="463"/>
      <c r="F169" s="463"/>
      <c r="G169" s="463"/>
      <c r="H169" s="456"/>
      <c r="I169" s="456"/>
      <c r="J169" s="456"/>
      <c r="K169" s="456"/>
      <c r="L169" s="456"/>
      <c r="M169" s="456"/>
      <c r="N169" s="456"/>
      <c r="O169" s="456"/>
      <c r="P169" s="456"/>
      <c r="Q169" s="525"/>
      <c r="R169" s="507"/>
      <c r="S169" s="507"/>
      <c r="T169" s="532"/>
      <c r="U169" s="507"/>
      <c r="V169" s="508"/>
      <c r="W169" s="508">
        <v>1</v>
      </c>
      <c r="X169" s="508"/>
      <c r="Y169" s="508"/>
      <c r="Z169" s="508"/>
      <c r="AA169" s="508"/>
      <c r="AB169" s="508"/>
      <c r="AC169" s="508"/>
      <c r="AD169" s="508"/>
      <c r="AE169" s="508"/>
      <c r="AF169" s="508"/>
      <c r="AG169" s="508"/>
    </row>
    <row r="170" spans="1:34" s="541" customFormat="1" ht="12" customHeight="1">
      <c r="A170" s="543"/>
      <c r="B170" s="543"/>
      <c r="C170" s="464" t="str">
        <f>L29</f>
        <v>keuken</v>
      </c>
      <c r="D170" s="831">
        <f>SUMPRODUCT(($AE$1:$AE$27990)*($L$1:$L$27990=C170))</f>
        <v>15.1</v>
      </c>
      <c r="E170" s="831"/>
      <c r="F170" s="811">
        <v>1</v>
      </c>
      <c r="G170" s="811"/>
      <c r="H170" s="841">
        <f t="shared" ref="H170:H175" si="29">IF(F170=0,"",IF(F170=1,0.1,0.4))</f>
        <v>0.1</v>
      </c>
      <c r="I170" s="841"/>
      <c r="J170" s="842" t="s">
        <v>245</v>
      </c>
      <c r="K170" s="842"/>
      <c r="L170" s="404"/>
      <c r="M170" s="666">
        <f>verzamelblad!$S$7*D170/H170/1000</f>
        <v>0.45299999999999996</v>
      </c>
      <c r="N170" s="735"/>
      <c r="O170" s="843">
        <f>M170</f>
        <v>0.45299999999999996</v>
      </c>
      <c r="P170" s="843"/>
      <c r="Q170" s="403" t="str">
        <f>IF(D170=0,"verbergen","")</f>
        <v/>
      </c>
      <c r="R170" s="404"/>
      <c r="S170" s="404"/>
      <c r="T170" s="392"/>
      <c r="U170" s="392"/>
      <c r="V170" s="392"/>
      <c r="W170" s="547">
        <f>W169+1</f>
        <v>2</v>
      </c>
      <c r="X170" s="392"/>
      <c r="Y170" s="392"/>
      <c r="Z170" s="392"/>
      <c r="AA170" s="404"/>
      <c r="AB170" s="516"/>
      <c r="AC170" s="516"/>
      <c r="AD170" s="516"/>
      <c r="AE170" s="516"/>
      <c r="AF170" s="516"/>
      <c r="AG170" s="516"/>
      <c r="AH170" s="516"/>
    </row>
    <row r="171" spans="1:34" s="541" customFormat="1" ht="12" customHeight="1">
      <c r="A171" s="543"/>
      <c r="B171" s="543"/>
      <c r="C171" s="464" t="str">
        <f>L30</f>
        <v>bijkeuken</v>
      </c>
      <c r="D171" s="831">
        <f>SUMPRODUCT(($AE$1:$AE$27990)*($L$1:$L$27990=C171))</f>
        <v>5.96</v>
      </c>
      <c r="E171" s="831"/>
      <c r="F171" s="811">
        <v>1</v>
      </c>
      <c r="G171" s="811"/>
      <c r="H171" s="841">
        <f t="shared" si="29"/>
        <v>0.1</v>
      </c>
      <c r="I171" s="841"/>
      <c r="J171" s="842" t="s">
        <v>245</v>
      </c>
      <c r="K171" s="842"/>
      <c r="L171" s="404"/>
      <c r="M171" s="666">
        <f>verzamelblad!$S$7*D171/H171/1000</f>
        <v>0.17879999999999999</v>
      </c>
      <c r="N171" s="735"/>
      <c r="O171" s="843">
        <f t="shared" ref="O171:O175" si="30">M171</f>
        <v>0.17879999999999999</v>
      </c>
      <c r="P171" s="843"/>
      <c r="Q171" s="403" t="str">
        <f t="shared" ref="Q171:Q175" si="31">IF(D171=0,"verbergen","")</f>
        <v/>
      </c>
      <c r="R171" s="404"/>
      <c r="S171" s="404"/>
      <c r="T171" s="392"/>
      <c r="U171" s="392"/>
      <c r="V171" s="392"/>
      <c r="W171" s="547">
        <f t="shared" ref="W171:W176" si="32">W170</f>
        <v>2</v>
      </c>
      <c r="X171" s="392"/>
      <c r="Y171" s="392"/>
      <c r="Z171" s="392"/>
      <c r="AA171" s="404"/>
      <c r="AB171" s="516"/>
      <c r="AC171" s="516"/>
      <c r="AD171" s="516"/>
      <c r="AE171" s="516"/>
      <c r="AF171" s="516"/>
      <c r="AG171" s="516"/>
      <c r="AH171" s="516"/>
    </row>
    <row r="172" spans="1:34" s="541" customFormat="1" ht="12" customHeight="1">
      <c r="A172" s="543"/>
      <c r="B172" s="543"/>
      <c r="C172" s="464" t="s">
        <v>140</v>
      </c>
      <c r="D172" s="831">
        <f>SUMPRODUCT(($AE$1:$AE$27990)*($L$1:$L$27990=C172))</f>
        <v>0</v>
      </c>
      <c r="E172" s="831"/>
      <c r="F172" s="811">
        <v>2</v>
      </c>
      <c r="G172" s="811"/>
      <c r="H172" s="841">
        <f t="shared" si="29"/>
        <v>0.4</v>
      </c>
      <c r="I172" s="841"/>
      <c r="J172" s="842" t="s">
        <v>245</v>
      </c>
      <c r="K172" s="842"/>
      <c r="L172" s="404"/>
      <c r="M172" s="666">
        <f>verzamelblad!$S$7*D172/H172/1000</f>
        <v>0</v>
      </c>
      <c r="N172" s="735"/>
      <c r="O172" s="843">
        <f t="shared" si="30"/>
        <v>0</v>
      </c>
      <c r="P172" s="843"/>
      <c r="Q172" s="403" t="str">
        <f t="shared" si="31"/>
        <v>verbergen</v>
      </c>
      <c r="R172" s="404"/>
      <c r="S172" s="404"/>
      <c r="T172" s="392"/>
      <c r="U172" s="392"/>
      <c r="V172" s="392"/>
      <c r="W172" s="547">
        <f t="shared" si="32"/>
        <v>2</v>
      </c>
      <c r="X172" s="392"/>
      <c r="Y172" s="392"/>
      <c r="Z172" s="392"/>
      <c r="AA172" s="404"/>
      <c r="AB172" s="516"/>
      <c r="AC172" s="516"/>
      <c r="AD172" s="516"/>
      <c r="AE172" s="516"/>
      <c r="AF172" s="516"/>
      <c r="AG172" s="516"/>
      <c r="AH172" s="516"/>
    </row>
    <row r="173" spans="1:34" s="541" customFormat="1" ht="12" customHeight="1">
      <c r="A173" s="543"/>
      <c r="B173" s="543"/>
      <c r="C173" s="464" t="s">
        <v>140</v>
      </c>
      <c r="D173" s="831">
        <f>SUMPRODUCT(($AE$1:$AE$27990)*($L$1:$L$27990=C173))</f>
        <v>0</v>
      </c>
      <c r="E173" s="831"/>
      <c r="F173" s="811">
        <v>2</v>
      </c>
      <c r="G173" s="811"/>
      <c r="H173" s="841">
        <f t="shared" si="29"/>
        <v>0.4</v>
      </c>
      <c r="I173" s="841"/>
      <c r="J173" s="842" t="s">
        <v>245</v>
      </c>
      <c r="K173" s="842"/>
      <c r="L173" s="404"/>
      <c r="M173" s="666">
        <f>verzamelblad!$S$7*D173/H173/1000</f>
        <v>0</v>
      </c>
      <c r="N173" s="735"/>
      <c r="O173" s="843">
        <f t="shared" si="30"/>
        <v>0</v>
      </c>
      <c r="P173" s="843"/>
      <c r="Q173" s="403" t="str">
        <f t="shared" si="31"/>
        <v>verbergen</v>
      </c>
      <c r="R173" s="404"/>
      <c r="S173" s="404"/>
      <c r="T173" s="392"/>
      <c r="U173" s="392"/>
      <c r="V173" s="392"/>
      <c r="W173" s="547">
        <f t="shared" si="32"/>
        <v>2</v>
      </c>
      <c r="X173" s="392"/>
      <c r="Y173" s="392"/>
      <c r="Z173" s="392"/>
      <c r="AA173" s="404"/>
      <c r="AB173" s="516"/>
      <c r="AC173" s="516"/>
      <c r="AD173" s="516"/>
      <c r="AE173" s="516"/>
      <c r="AF173" s="516"/>
      <c r="AG173" s="516"/>
      <c r="AH173" s="516"/>
    </row>
    <row r="174" spans="1:34" s="541" customFormat="1" ht="12" customHeight="1">
      <c r="A174" s="543"/>
      <c r="B174" s="543"/>
      <c r="C174" s="464" t="s">
        <v>140</v>
      </c>
      <c r="D174" s="847">
        <f>SUMPRODUCT(($AE$1:$AE$27990)*($L$1:$L$27990=C174))</f>
        <v>0</v>
      </c>
      <c r="E174" s="847"/>
      <c r="F174" s="812">
        <v>2</v>
      </c>
      <c r="G174" s="812"/>
      <c r="H174" s="848">
        <f t="shared" si="29"/>
        <v>0.4</v>
      </c>
      <c r="I174" s="848"/>
      <c r="J174" s="849" t="s">
        <v>245</v>
      </c>
      <c r="K174" s="849"/>
      <c r="L174" s="628"/>
      <c r="M174" s="668">
        <f>verzamelblad!$S$7*D174/H174/1000</f>
        <v>0</v>
      </c>
      <c r="N174" s="738"/>
      <c r="O174" s="850">
        <f t="shared" si="30"/>
        <v>0</v>
      </c>
      <c r="P174" s="850"/>
      <c r="Q174" s="403" t="str">
        <f>IF(D174=0,"verbergen","")</f>
        <v>verbergen</v>
      </c>
      <c r="R174" s="404"/>
      <c r="S174" s="404"/>
      <c r="T174" s="392"/>
      <c r="U174" s="392"/>
      <c r="V174" s="392"/>
      <c r="W174" s="547">
        <f t="shared" si="32"/>
        <v>2</v>
      </c>
      <c r="X174" s="392"/>
      <c r="Y174" s="392"/>
      <c r="Z174" s="392"/>
      <c r="AA174" s="404"/>
      <c r="AB174" s="516"/>
      <c r="AC174" s="516"/>
      <c r="AD174" s="516"/>
      <c r="AE174" s="516"/>
      <c r="AF174" s="516"/>
      <c r="AG174" s="516"/>
      <c r="AH174" s="516"/>
    </row>
    <row r="175" spans="1:34" s="541" customFormat="1" ht="12" customHeight="1">
      <c r="A175" s="543"/>
      <c r="B175" s="556">
        <f>B168+1</f>
        <v>2</v>
      </c>
      <c r="C175" s="480">
        <f>B175</f>
        <v>2</v>
      </c>
      <c r="D175" s="851">
        <f>SUMPRODUCT(($AD$1:$AD$50016)*($AC$1:$AC$50016=B175))</f>
        <v>22.4</v>
      </c>
      <c r="E175" s="851"/>
      <c r="F175" s="852">
        <v>2</v>
      </c>
      <c r="G175" s="852"/>
      <c r="H175" s="853">
        <f t="shared" si="29"/>
        <v>0.4</v>
      </c>
      <c r="I175" s="853"/>
      <c r="J175" s="854" t="s">
        <v>245</v>
      </c>
      <c r="K175" s="854"/>
      <c r="L175" s="592"/>
      <c r="M175" s="669">
        <f>verzamelblad!$R$7*D175/H175/1000</f>
        <v>0.33599999999999997</v>
      </c>
      <c r="N175" s="739"/>
      <c r="O175" s="855">
        <f t="shared" si="30"/>
        <v>0.33599999999999997</v>
      </c>
      <c r="P175" s="855"/>
      <c r="Q175" s="403" t="str">
        <f t="shared" si="31"/>
        <v/>
      </c>
      <c r="R175" s="404"/>
      <c r="S175" s="404"/>
      <c r="T175" s="392"/>
      <c r="U175" s="392"/>
      <c r="V175" s="392"/>
      <c r="W175" s="547">
        <f t="shared" si="32"/>
        <v>2</v>
      </c>
      <c r="X175" s="392"/>
      <c r="Y175" s="392"/>
      <c r="Z175" s="392"/>
      <c r="AA175" s="404"/>
      <c r="AB175" s="516"/>
      <c r="AC175" s="516"/>
      <c r="AD175" s="516"/>
      <c r="AE175" s="516"/>
      <c r="AF175" s="516"/>
      <c r="AG175" s="516"/>
      <c r="AH175" s="516"/>
    </row>
    <row r="176" spans="1:34" s="493" customFormat="1" ht="12" customHeight="1">
      <c r="A176" s="560"/>
      <c r="B176" s="560"/>
      <c r="C176" s="463"/>
      <c r="D176" s="463"/>
      <c r="E176" s="463"/>
      <c r="F176" s="463"/>
      <c r="G176" s="463"/>
      <c r="H176" s="456"/>
      <c r="I176" s="456"/>
      <c r="J176" s="456"/>
      <c r="K176" s="456"/>
      <c r="L176" s="456"/>
      <c r="M176" s="456"/>
      <c r="N176" s="456"/>
      <c r="O176" s="456"/>
      <c r="P176" s="456"/>
      <c r="Q176" s="451"/>
      <c r="R176" s="451"/>
      <c r="S176" s="451"/>
      <c r="T176" s="561"/>
      <c r="U176" s="547"/>
      <c r="V176" s="547"/>
      <c r="W176" s="547">
        <f t="shared" si="32"/>
        <v>2</v>
      </c>
      <c r="X176" s="547"/>
      <c r="Y176" s="547"/>
      <c r="Z176" s="547"/>
      <c r="AA176" s="451"/>
      <c r="AB176" s="507"/>
      <c r="AC176" s="507"/>
      <c r="AD176" s="507"/>
      <c r="AE176" s="507"/>
      <c r="AF176" s="507"/>
      <c r="AG176" s="507"/>
      <c r="AH176" s="507"/>
    </row>
    <row r="177" spans="1:34" s="541" customFormat="1" ht="12" customHeight="1">
      <c r="A177" s="543"/>
      <c r="B177" s="543"/>
      <c r="C177" s="640" t="str">
        <f>L31</f>
        <v>slaapkamer 1</v>
      </c>
      <c r="D177" s="831">
        <f>SUMPRODUCT(($AE$1:$AE$27974)*($L$1:$L$27974=C177))</f>
        <v>15.87</v>
      </c>
      <c r="E177" s="831"/>
      <c r="F177" s="811">
        <v>1</v>
      </c>
      <c r="G177" s="811"/>
      <c r="H177" s="841">
        <f t="shared" ref="H177:H182" si="33">IF(F177=0,"",IF(F177=1,0.1,0.4))</f>
        <v>0.1</v>
      </c>
      <c r="I177" s="841"/>
      <c r="J177" s="842" t="s">
        <v>245</v>
      </c>
      <c r="K177" s="842"/>
      <c r="L177" s="404"/>
      <c r="M177" s="666">
        <f>verzamelblad!$S$7*D177/H177/1000</f>
        <v>0.47609999999999997</v>
      </c>
      <c r="N177" s="735"/>
      <c r="O177" s="856">
        <f>M177</f>
        <v>0.47609999999999997</v>
      </c>
      <c r="P177" s="856"/>
      <c r="Q177" s="403" t="str">
        <f>IF(D177=0,"verbergen","")</f>
        <v/>
      </c>
      <c r="R177" s="404"/>
      <c r="S177" s="404"/>
      <c r="T177" s="392"/>
      <c r="U177" s="392"/>
      <c r="V177" s="392"/>
      <c r="W177" s="547">
        <f>W176+1</f>
        <v>3</v>
      </c>
      <c r="X177" s="392"/>
      <c r="Y177" s="392"/>
      <c r="Z177" s="392"/>
      <c r="AA177" s="404"/>
      <c r="AB177" s="516"/>
      <c r="AC177" s="516"/>
      <c r="AD177" s="516"/>
      <c r="AE177" s="516"/>
      <c r="AF177" s="516"/>
      <c r="AG177" s="516"/>
      <c r="AH177" s="516"/>
    </row>
    <row r="178" spans="1:34" s="541" customFormat="1" ht="12" customHeight="1">
      <c r="A178" s="543"/>
      <c r="B178" s="543"/>
      <c r="C178" s="640" t="str">
        <f>L32</f>
        <v>slaapkamer 2</v>
      </c>
      <c r="D178" s="831">
        <f>SUMPRODUCT(($AE$1:$AE$27974)*($L$1:$L$27974=C178))</f>
        <v>7.47</v>
      </c>
      <c r="E178" s="831"/>
      <c r="F178" s="811">
        <v>1</v>
      </c>
      <c r="G178" s="811"/>
      <c r="H178" s="841">
        <f t="shared" si="33"/>
        <v>0.1</v>
      </c>
      <c r="I178" s="841"/>
      <c r="J178" s="842" t="s">
        <v>245</v>
      </c>
      <c r="K178" s="842"/>
      <c r="L178" s="404"/>
      <c r="M178" s="666">
        <f>verzamelblad!$S$7*D178/H178/1000</f>
        <v>0.22409999999999999</v>
      </c>
      <c r="N178" s="735"/>
      <c r="O178" s="856">
        <f t="shared" ref="O178:O182" si="34">M178</f>
        <v>0.22409999999999999</v>
      </c>
      <c r="P178" s="856"/>
      <c r="Q178" s="403" t="str">
        <f t="shared" ref="Q178:Q182" si="35">IF(D178=0,"verbergen","")</f>
        <v/>
      </c>
      <c r="R178" s="404"/>
      <c r="S178" s="404"/>
      <c r="T178" s="392"/>
      <c r="U178" s="392"/>
      <c r="V178" s="392"/>
      <c r="W178" s="547">
        <f t="shared" ref="W178:W183" si="36">W177</f>
        <v>3</v>
      </c>
      <c r="X178" s="392"/>
      <c r="Y178" s="392"/>
      <c r="Z178" s="392"/>
      <c r="AA178" s="404"/>
      <c r="AB178" s="516"/>
      <c r="AC178" s="516"/>
      <c r="AD178" s="516"/>
      <c r="AE178" s="516"/>
      <c r="AF178" s="516"/>
      <c r="AG178" s="516"/>
      <c r="AH178" s="516"/>
    </row>
    <row r="179" spans="1:34" s="541" customFormat="1" ht="12" customHeight="1">
      <c r="A179" s="543"/>
      <c r="B179" s="543"/>
      <c r="C179" s="640" t="str">
        <f>L33</f>
        <v>studeerkamer</v>
      </c>
      <c r="D179" s="831">
        <f>SUMPRODUCT(($AE$1:$AE$27974)*($L$1:$L$27974=C179))</f>
        <v>3.66</v>
      </c>
      <c r="E179" s="831"/>
      <c r="F179" s="811">
        <v>1</v>
      </c>
      <c r="G179" s="811"/>
      <c r="H179" s="841">
        <f t="shared" si="33"/>
        <v>0.1</v>
      </c>
      <c r="I179" s="841"/>
      <c r="J179" s="842" t="s">
        <v>245</v>
      </c>
      <c r="K179" s="842"/>
      <c r="L179" s="404"/>
      <c r="M179" s="666">
        <f>verzamelblad!$S$7*D179/H179/1000</f>
        <v>0.10979999999999999</v>
      </c>
      <c r="N179" s="735"/>
      <c r="O179" s="856">
        <f t="shared" si="34"/>
        <v>0.10979999999999999</v>
      </c>
      <c r="P179" s="856"/>
      <c r="Q179" s="403" t="str">
        <f t="shared" si="35"/>
        <v/>
      </c>
      <c r="R179" s="404"/>
      <c r="S179" s="404"/>
      <c r="T179" s="392"/>
      <c r="U179" s="392"/>
      <c r="V179" s="392"/>
      <c r="W179" s="547">
        <f t="shared" si="36"/>
        <v>3</v>
      </c>
      <c r="X179" s="392"/>
      <c r="Y179" s="392"/>
      <c r="Z179" s="392"/>
      <c r="AA179" s="404"/>
      <c r="AB179" s="516"/>
      <c r="AC179" s="516"/>
      <c r="AD179" s="516"/>
      <c r="AE179" s="516"/>
      <c r="AF179" s="516"/>
      <c r="AG179" s="516"/>
      <c r="AH179" s="516"/>
    </row>
    <row r="180" spans="1:34" s="541" customFormat="1" ht="12" customHeight="1">
      <c r="A180" s="543"/>
      <c r="B180" s="543"/>
      <c r="C180" s="640" t="s">
        <v>140</v>
      </c>
      <c r="D180" s="831">
        <f>SUMPRODUCT(($AE$1:$AE$27974)*($L$1:$L$27974=C180))</f>
        <v>0</v>
      </c>
      <c r="E180" s="831"/>
      <c r="F180" s="811">
        <v>2</v>
      </c>
      <c r="G180" s="811"/>
      <c r="H180" s="841">
        <f t="shared" si="33"/>
        <v>0.4</v>
      </c>
      <c r="I180" s="841"/>
      <c r="J180" s="842" t="s">
        <v>245</v>
      </c>
      <c r="K180" s="842"/>
      <c r="L180" s="404"/>
      <c r="M180" s="666">
        <f>verzamelblad!$S$7*D180/H180/1000</f>
        <v>0</v>
      </c>
      <c r="N180" s="735"/>
      <c r="O180" s="856">
        <f t="shared" si="34"/>
        <v>0</v>
      </c>
      <c r="P180" s="856"/>
      <c r="Q180" s="403" t="str">
        <f t="shared" si="35"/>
        <v>verbergen</v>
      </c>
      <c r="R180" s="404"/>
      <c r="S180" s="404"/>
      <c r="T180" s="392"/>
      <c r="U180" s="392"/>
      <c r="V180" s="392"/>
      <c r="W180" s="547">
        <f t="shared" si="36"/>
        <v>3</v>
      </c>
      <c r="X180" s="392"/>
      <c r="Y180" s="392"/>
      <c r="Z180" s="392"/>
      <c r="AA180" s="404"/>
      <c r="AB180" s="516"/>
      <c r="AC180" s="516"/>
      <c r="AD180" s="516"/>
      <c r="AE180" s="516"/>
      <c r="AF180" s="516"/>
      <c r="AG180" s="516"/>
      <c r="AH180" s="516"/>
    </row>
    <row r="181" spans="1:34" s="541" customFormat="1" ht="12" customHeight="1">
      <c r="A181" s="543"/>
      <c r="B181" s="543"/>
      <c r="C181" s="667" t="s">
        <v>140</v>
      </c>
      <c r="D181" s="847">
        <f>SUMPRODUCT(($AE$1:$AE$27974)*($L$1:$L$27974=C181))</f>
        <v>0</v>
      </c>
      <c r="E181" s="847"/>
      <c r="F181" s="812">
        <v>2</v>
      </c>
      <c r="G181" s="812"/>
      <c r="H181" s="848">
        <f t="shared" si="33"/>
        <v>0.4</v>
      </c>
      <c r="I181" s="848"/>
      <c r="J181" s="849" t="s">
        <v>245</v>
      </c>
      <c r="K181" s="849"/>
      <c r="L181" s="628"/>
      <c r="M181" s="668">
        <f>verzamelblad!$S$7*D181/H181/1000</f>
        <v>0</v>
      </c>
      <c r="N181" s="738"/>
      <c r="O181" s="857">
        <f t="shared" si="34"/>
        <v>0</v>
      </c>
      <c r="P181" s="857"/>
      <c r="Q181" s="403" t="str">
        <f>IF(D181=0,"verbergen","")</f>
        <v>verbergen</v>
      </c>
      <c r="R181" s="404"/>
      <c r="S181" s="404"/>
      <c r="T181" s="392"/>
      <c r="U181" s="392"/>
      <c r="V181" s="392"/>
      <c r="W181" s="547">
        <f t="shared" si="36"/>
        <v>3</v>
      </c>
      <c r="X181" s="392"/>
      <c r="Y181" s="392"/>
      <c r="Z181" s="392"/>
      <c r="AA181" s="404"/>
      <c r="AB181" s="516"/>
      <c r="AC181" s="516"/>
      <c r="AD181" s="516"/>
      <c r="AE181" s="516"/>
      <c r="AF181" s="516"/>
      <c r="AG181" s="516"/>
      <c r="AH181" s="516"/>
    </row>
    <row r="182" spans="1:34" s="541" customFormat="1" ht="12" customHeight="1">
      <c r="A182" s="543"/>
      <c r="B182" s="556">
        <f>B175+1</f>
        <v>3</v>
      </c>
      <c r="C182" s="480">
        <f>B182</f>
        <v>3</v>
      </c>
      <c r="D182" s="851">
        <f>SUMPRODUCT(($AD$1:$AD$50000)*($AC$1:$AC$50000=B182))</f>
        <v>37.1</v>
      </c>
      <c r="E182" s="851"/>
      <c r="F182" s="852">
        <v>2</v>
      </c>
      <c r="G182" s="852"/>
      <c r="H182" s="853">
        <f t="shared" si="33"/>
        <v>0.4</v>
      </c>
      <c r="I182" s="853"/>
      <c r="J182" s="854" t="s">
        <v>245</v>
      </c>
      <c r="K182" s="854"/>
      <c r="L182" s="592"/>
      <c r="M182" s="669">
        <f>verzamelblad!$R$7*D182/H182/1000</f>
        <v>0.55649999999999999</v>
      </c>
      <c r="N182" s="739"/>
      <c r="O182" s="858">
        <f t="shared" si="34"/>
        <v>0.55649999999999999</v>
      </c>
      <c r="P182" s="858"/>
      <c r="Q182" s="403" t="str">
        <f t="shared" si="35"/>
        <v/>
      </c>
      <c r="R182" s="404"/>
      <c r="S182" s="404"/>
      <c r="T182" s="392"/>
      <c r="U182" s="392"/>
      <c r="V182" s="392"/>
      <c r="W182" s="547">
        <f t="shared" si="36"/>
        <v>3</v>
      </c>
      <c r="X182" s="392"/>
      <c r="Y182" s="392"/>
      <c r="Z182" s="392"/>
      <c r="AA182" s="404"/>
      <c r="AB182" s="516"/>
      <c r="AC182" s="516"/>
      <c r="AD182" s="516"/>
      <c r="AE182" s="516"/>
      <c r="AF182" s="516"/>
      <c r="AG182" s="516"/>
      <c r="AH182" s="516"/>
    </row>
    <row r="183" spans="1:34" s="493" customFormat="1" ht="12" customHeight="1">
      <c r="A183" s="560"/>
      <c r="B183" s="560"/>
      <c r="C183" s="463"/>
      <c r="D183" s="463"/>
      <c r="E183" s="463"/>
      <c r="F183" s="463"/>
      <c r="G183" s="463"/>
      <c r="H183" s="456"/>
      <c r="I183" s="456"/>
      <c r="J183" s="456"/>
      <c r="K183" s="456"/>
      <c r="L183" s="456"/>
      <c r="M183" s="456"/>
      <c r="N183" s="456"/>
      <c r="O183" s="456"/>
      <c r="P183" s="456"/>
      <c r="Q183" s="451"/>
      <c r="R183" s="451"/>
      <c r="S183" s="451"/>
      <c r="T183" s="561"/>
      <c r="U183" s="547"/>
      <c r="V183" s="547"/>
      <c r="W183" s="547">
        <f t="shared" si="36"/>
        <v>3</v>
      </c>
      <c r="X183" s="547"/>
      <c r="Y183" s="547"/>
      <c r="Z183" s="547"/>
      <c r="AA183" s="451"/>
      <c r="AB183" s="507"/>
      <c r="AC183" s="507"/>
      <c r="AD183" s="507"/>
      <c r="AE183" s="507"/>
      <c r="AF183" s="507"/>
      <c r="AG183" s="507"/>
      <c r="AH183" s="507"/>
    </row>
    <row r="184" spans="1:34" ht="12" customHeight="1"/>
  </sheetData>
  <sheetProtection algorithmName="SHA-512" hashValue="awNrHiP6S4+7LG6BRdWfBvEfBsWNpknpqkAKtkoKiqZ2MBfUVnFYCRzNGiheHLxfbh9MgcuM2mIDRoFzDUYw5w==" saltValue="GwIBWS2L9sJuCij84UFGmQ==" spinCount="100000" sheet="1" objects="1" scenarios="1"/>
  <dataConsolidate/>
  <mergeCells count="293">
    <mergeCell ref="C4:P4"/>
    <mergeCell ref="C5:L5"/>
    <mergeCell ref="C6:P6"/>
    <mergeCell ref="D8:F8"/>
    <mergeCell ref="D11:G11"/>
    <mergeCell ref="C13:P13"/>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F32:G32"/>
    <mergeCell ref="J32:K32"/>
    <mergeCell ref="N32:O32"/>
    <mergeCell ref="F33:G33"/>
    <mergeCell ref="J33:K33"/>
    <mergeCell ref="N33:O33"/>
    <mergeCell ref="F30:G30"/>
    <mergeCell ref="J30:K30"/>
    <mergeCell ref="N30:O30"/>
    <mergeCell ref="F31:G31"/>
    <mergeCell ref="J31:K31"/>
    <mergeCell ref="N31:O31"/>
    <mergeCell ref="D42:E42"/>
    <mergeCell ref="D43:E43"/>
    <mergeCell ref="D44:E44"/>
    <mergeCell ref="D45:E45"/>
    <mergeCell ref="D46:E46"/>
    <mergeCell ref="E47:G47"/>
    <mergeCell ref="F34:G34"/>
    <mergeCell ref="J34:K34"/>
    <mergeCell ref="N34:O34"/>
    <mergeCell ref="F36:G36"/>
    <mergeCell ref="D40:E40"/>
    <mergeCell ref="D41:F41"/>
    <mergeCell ref="D56:E56"/>
    <mergeCell ref="D57:E57"/>
    <mergeCell ref="D58:E58"/>
    <mergeCell ref="D59:E59"/>
    <mergeCell ref="D60:E60"/>
    <mergeCell ref="E61:G61"/>
    <mergeCell ref="D49:E49"/>
    <mergeCell ref="D50:E50"/>
    <mergeCell ref="D51:E51"/>
    <mergeCell ref="D52:E52"/>
    <mergeCell ref="D53:E53"/>
    <mergeCell ref="E54:G54"/>
    <mergeCell ref="L76:M76"/>
    <mergeCell ref="I77:J77"/>
    <mergeCell ref="L77:M77"/>
    <mergeCell ref="N77:O77"/>
    <mergeCell ref="I78:J78"/>
    <mergeCell ref="N78:O78"/>
    <mergeCell ref="D65:G65"/>
    <mergeCell ref="D67:G67"/>
    <mergeCell ref="D68:G68"/>
    <mergeCell ref="F74:H74"/>
    <mergeCell ref="F76:H76"/>
    <mergeCell ref="I76:J76"/>
    <mergeCell ref="F82:H82"/>
    <mergeCell ref="M82:N82"/>
    <mergeCell ref="I84:J84"/>
    <mergeCell ref="L84:M84"/>
    <mergeCell ref="N84:O84"/>
    <mergeCell ref="I85:J85"/>
    <mergeCell ref="L85:M85"/>
    <mergeCell ref="N85:O85"/>
    <mergeCell ref="AJ78:AL81"/>
    <mergeCell ref="I79:J79"/>
    <mergeCell ref="N79:O79"/>
    <mergeCell ref="I80:J80"/>
    <mergeCell ref="N80:O80"/>
    <mergeCell ref="I81:J81"/>
    <mergeCell ref="N81:O81"/>
    <mergeCell ref="F89:H89"/>
    <mergeCell ref="M89:N89"/>
    <mergeCell ref="I91:J91"/>
    <mergeCell ref="L91:M91"/>
    <mergeCell ref="N91:O91"/>
    <mergeCell ref="I86:J86"/>
    <mergeCell ref="L86:M86"/>
    <mergeCell ref="N86:O86"/>
    <mergeCell ref="I87:J87"/>
    <mergeCell ref="L87:M87"/>
    <mergeCell ref="N87:O87"/>
    <mergeCell ref="I92:J92"/>
    <mergeCell ref="L92:M92"/>
    <mergeCell ref="N92:O92"/>
    <mergeCell ref="I93:J93"/>
    <mergeCell ref="L93:M93"/>
    <mergeCell ref="N93:O93"/>
    <mergeCell ref="I88:J88"/>
    <mergeCell ref="L88:M88"/>
    <mergeCell ref="N88:O88"/>
    <mergeCell ref="I99:J99"/>
    <mergeCell ref="L99:M99"/>
    <mergeCell ref="N99:O99"/>
    <mergeCell ref="F96:H96"/>
    <mergeCell ref="M96:N96"/>
    <mergeCell ref="I94:J94"/>
    <mergeCell ref="L94:M94"/>
    <mergeCell ref="N94:O94"/>
    <mergeCell ref="I95:J95"/>
    <mergeCell ref="L95:M95"/>
    <mergeCell ref="N95:O95"/>
    <mergeCell ref="F103:H103"/>
    <mergeCell ref="M103:N103"/>
    <mergeCell ref="K107:P107"/>
    <mergeCell ref="I100:J100"/>
    <mergeCell ref="L100:M100"/>
    <mergeCell ref="N100:O100"/>
    <mergeCell ref="I101:J101"/>
    <mergeCell ref="L101:M101"/>
    <mergeCell ref="N101:O101"/>
    <mergeCell ref="K108:P108"/>
    <mergeCell ref="K109:P109"/>
    <mergeCell ref="K110:P110"/>
    <mergeCell ref="K111:P111"/>
    <mergeCell ref="K112:P112"/>
    <mergeCell ref="M113:P113"/>
    <mergeCell ref="I102:J102"/>
    <mergeCell ref="L102:M102"/>
    <mergeCell ref="N102:O102"/>
    <mergeCell ref="D126:E126"/>
    <mergeCell ref="M126:N126"/>
    <mergeCell ref="I129:J129"/>
    <mergeCell ref="D114:E114"/>
    <mergeCell ref="M114:N114"/>
    <mergeCell ref="K119:P119"/>
    <mergeCell ref="K120:P120"/>
    <mergeCell ref="K121:P121"/>
    <mergeCell ref="K122:P122"/>
    <mergeCell ref="I130:J130"/>
    <mergeCell ref="K130:P130"/>
    <mergeCell ref="I131:J131"/>
    <mergeCell ref="K131:P131"/>
    <mergeCell ref="I132:J132"/>
    <mergeCell ref="K132:P132"/>
    <mergeCell ref="K123:P123"/>
    <mergeCell ref="K124:P124"/>
    <mergeCell ref="M125:P125"/>
    <mergeCell ref="I137:J137"/>
    <mergeCell ref="K137:P137"/>
    <mergeCell ref="I138:J138"/>
    <mergeCell ref="K138:P138"/>
    <mergeCell ref="I139:J139"/>
    <mergeCell ref="K139:P139"/>
    <mergeCell ref="I133:J133"/>
    <mergeCell ref="K133:P133"/>
    <mergeCell ref="I134:J134"/>
    <mergeCell ref="K134:P134"/>
    <mergeCell ref="K135:P135"/>
    <mergeCell ref="K136:L136"/>
    <mergeCell ref="M136:N136"/>
    <mergeCell ref="O136:P136"/>
    <mergeCell ref="I144:J144"/>
    <mergeCell ref="K144:P144"/>
    <mergeCell ref="I145:J145"/>
    <mergeCell ref="K145:P145"/>
    <mergeCell ref="I146:J146"/>
    <mergeCell ref="K146:P146"/>
    <mergeCell ref="I140:J140"/>
    <mergeCell ref="K140:P140"/>
    <mergeCell ref="I141:J141"/>
    <mergeCell ref="K141:P141"/>
    <mergeCell ref="K142:P142"/>
    <mergeCell ref="K143:L143"/>
    <mergeCell ref="M143:N143"/>
    <mergeCell ref="O143:P143"/>
    <mergeCell ref="I151:J151"/>
    <mergeCell ref="K151:P151"/>
    <mergeCell ref="I152:J152"/>
    <mergeCell ref="K152:P152"/>
    <mergeCell ref="I153:J153"/>
    <mergeCell ref="K153:P153"/>
    <mergeCell ref="I147:J147"/>
    <mergeCell ref="K147:P147"/>
    <mergeCell ref="I148:J148"/>
    <mergeCell ref="K148:P148"/>
    <mergeCell ref="K149:P149"/>
    <mergeCell ref="K150:L150"/>
    <mergeCell ref="M150:N150"/>
    <mergeCell ref="O150:P150"/>
    <mergeCell ref="O161:P161"/>
    <mergeCell ref="D163:E163"/>
    <mergeCell ref="F163:G163"/>
    <mergeCell ref="H163:I163"/>
    <mergeCell ref="J163:K163"/>
    <mergeCell ref="O163:P163"/>
    <mergeCell ref="I154:J154"/>
    <mergeCell ref="K154:P154"/>
    <mergeCell ref="I155:J155"/>
    <mergeCell ref="K155:P155"/>
    <mergeCell ref="K156:P156"/>
    <mergeCell ref="D161:E161"/>
    <mergeCell ref="F161:G161"/>
    <mergeCell ref="H161:I161"/>
    <mergeCell ref="J161:K161"/>
    <mergeCell ref="M161:N161"/>
    <mergeCell ref="D164:E164"/>
    <mergeCell ref="F164:G164"/>
    <mergeCell ref="H164:I164"/>
    <mergeCell ref="J164:K164"/>
    <mergeCell ref="O164:P164"/>
    <mergeCell ref="D165:E165"/>
    <mergeCell ref="F165:G165"/>
    <mergeCell ref="H165:I165"/>
    <mergeCell ref="J165:K165"/>
    <mergeCell ref="O165:P165"/>
    <mergeCell ref="D166:E166"/>
    <mergeCell ref="F166:G166"/>
    <mergeCell ref="H166:I166"/>
    <mergeCell ref="J166:K166"/>
    <mergeCell ref="O166:P166"/>
    <mergeCell ref="D167:E167"/>
    <mergeCell ref="F167:G167"/>
    <mergeCell ref="H167:I167"/>
    <mergeCell ref="J167:K167"/>
    <mergeCell ref="O167:P167"/>
    <mergeCell ref="D168:E168"/>
    <mergeCell ref="F168:G168"/>
    <mergeCell ref="H168:I168"/>
    <mergeCell ref="J168:K168"/>
    <mergeCell ref="O168:P168"/>
    <mergeCell ref="D170:E170"/>
    <mergeCell ref="F170:G170"/>
    <mergeCell ref="H170:I170"/>
    <mergeCell ref="J170:K170"/>
    <mergeCell ref="O170:P170"/>
    <mergeCell ref="D171:E171"/>
    <mergeCell ref="F171:G171"/>
    <mergeCell ref="H171:I171"/>
    <mergeCell ref="J171:K171"/>
    <mergeCell ref="O171:P171"/>
    <mergeCell ref="D172:E172"/>
    <mergeCell ref="F172:G172"/>
    <mergeCell ref="H172:I172"/>
    <mergeCell ref="J172:K172"/>
    <mergeCell ref="O172:P172"/>
    <mergeCell ref="D173:E173"/>
    <mergeCell ref="F173:G173"/>
    <mergeCell ref="H173:I173"/>
    <mergeCell ref="J173:K173"/>
    <mergeCell ref="O173:P173"/>
    <mergeCell ref="D174:E174"/>
    <mergeCell ref="F174:G174"/>
    <mergeCell ref="H174:I174"/>
    <mergeCell ref="J174:K174"/>
    <mergeCell ref="O174:P174"/>
    <mergeCell ref="D175:E175"/>
    <mergeCell ref="F175:G175"/>
    <mergeCell ref="H175:I175"/>
    <mergeCell ref="J175:K175"/>
    <mergeCell ref="O175:P175"/>
    <mergeCell ref="D177:E177"/>
    <mergeCell ref="F177:G177"/>
    <mergeCell ref="H177:I177"/>
    <mergeCell ref="J177:K177"/>
    <mergeCell ref="O177:P177"/>
    <mergeCell ref="D178:E178"/>
    <mergeCell ref="F178:G178"/>
    <mergeCell ref="H178:I178"/>
    <mergeCell ref="J178:K178"/>
    <mergeCell ref="O178:P178"/>
    <mergeCell ref="D179:E179"/>
    <mergeCell ref="F179:G179"/>
    <mergeCell ref="H179:I179"/>
    <mergeCell ref="J179:K179"/>
    <mergeCell ref="O179:P179"/>
    <mergeCell ref="D182:E182"/>
    <mergeCell ref="F182:G182"/>
    <mergeCell ref="H182:I182"/>
    <mergeCell ref="J182:K182"/>
    <mergeCell ref="O182:P182"/>
    <mergeCell ref="D180:E180"/>
    <mergeCell ref="F180:G180"/>
    <mergeCell ref="H180:I180"/>
    <mergeCell ref="J180:K180"/>
    <mergeCell ref="O180:P180"/>
    <mergeCell ref="D181:E181"/>
    <mergeCell ref="F181:G181"/>
    <mergeCell ref="H181:I181"/>
    <mergeCell ref="J181:K181"/>
    <mergeCell ref="O181:P181"/>
  </mergeCells>
  <conditionalFormatting sqref="F20">
    <cfRule type="expression" dxfId="846" priority="179" stopIfTrue="1">
      <formula>F19&lt;18</formula>
    </cfRule>
    <cfRule type="expression" dxfId="845" priority="180" stopIfTrue="1">
      <formula>F19&lt;F18</formula>
    </cfRule>
  </conditionalFormatting>
  <conditionalFormatting sqref="H22:I23">
    <cfRule type="expression" dxfId="844" priority="178" stopIfTrue="1">
      <formula>H22&lt;F22</formula>
    </cfRule>
  </conditionalFormatting>
  <conditionalFormatting sqref="I15 K15:P15 H8:P11">
    <cfRule type="cellIs" dxfId="843" priority="181" stopIfTrue="1" operator="equal">
      <formula>"&lt;PROJECTNUMMER&gt;"</formula>
    </cfRule>
  </conditionalFormatting>
  <conditionalFormatting sqref="L16:L20">
    <cfRule type="expression" dxfId="842" priority="177">
      <formula>L16=0</formula>
    </cfRule>
  </conditionalFormatting>
  <conditionalFormatting sqref="F28:F29">
    <cfRule type="expression" dxfId="841" priority="176" stopIfTrue="1">
      <formula>D28-E28&lt;5</formula>
    </cfRule>
  </conditionalFormatting>
  <conditionalFormatting sqref="D28:D29">
    <cfRule type="expression" dxfId="840" priority="182" stopIfTrue="1">
      <formula>C28=""</formula>
    </cfRule>
  </conditionalFormatting>
  <conditionalFormatting sqref="I79:P81 I78:K78 AJ78 M78:P78 I77:P77">
    <cfRule type="expression" dxfId="839" priority="175">
      <formula>$S$16&lt;&gt;1</formula>
    </cfRule>
  </conditionalFormatting>
  <conditionalFormatting sqref="N77:P81">
    <cfRule type="expression" dxfId="838" priority="174">
      <formula>$S$12="nader te bepalen"</formula>
    </cfRule>
  </conditionalFormatting>
  <conditionalFormatting sqref="H16">
    <cfRule type="expression" dxfId="837" priority="171">
      <formula>AND(SUM(L16:L20)&gt;=10,SUM(L16:L20)&lt;100)</formula>
    </cfRule>
    <cfRule type="expression" dxfId="836" priority="172">
      <formula>SUM(L16:L20)&gt;=100</formula>
    </cfRule>
    <cfRule type="expression" dxfId="835" priority="173">
      <formula>SUM(L16:L20)&lt;10</formula>
    </cfRule>
  </conditionalFormatting>
  <conditionalFormatting sqref="F17">
    <cfRule type="expression" dxfId="834" priority="168">
      <formula>F17&lt;10</formula>
    </cfRule>
    <cfRule type="expression" dxfId="833" priority="169">
      <formula>AND(F17&gt;=10,F17&lt;100)</formula>
    </cfRule>
    <cfRule type="expression" dxfId="832" priority="170">
      <formula>F17&gt;=100</formula>
    </cfRule>
  </conditionalFormatting>
  <conditionalFormatting sqref="F18">
    <cfRule type="expression" dxfId="831" priority="165">
      <formula>F18&lt;10</formula>
    </cfRule>
    <cfRule type="expression" dxfId="830" priority="166">
      <formula>AND(F18&gt;=10,F18&lt;100)</formula>
    </cfRule>
    <cfRule type="expression" dxfId="829" priority="167">
      <formula>F18&gt;=100</formula>
    </cfRule>
  </conditionalFormatting>
  <conditionalFormatting sqref="F19">
    <cfRule type="expression" dxfId="828" priority="162">
      <formula>F19&lt;10</formula>
    </cfRule>
    <cfRule type="expression" dxfId="827" priority="163">
      <formula>AND(F19&gt;=10,F19&lt;100)</formula>
    </cfRule>
    <cfRule type="expression" dxfId="826" priority="164">
      <formula>F19&gt;=100</formula>
    </cfRule>
  </conditionalFormatting>
  <conditionalFormatting sqref="K47">
    <cfRule type="expression" dxfId="825" priority="161" stopIfTrue="1">
      <formula>A47="nee"</formula>
    </cfRule>
  </conditionalFormatting>
  <conditionalFormatting sqref="K47">
    <cfRule type="expression" dxfId="824" priority="160" stopIfTrue="1">
      <formula>A47="nee"</formula>
    </cfRule>
  </conditionalFormatting>
  <conditionalFormatting sqref="E47">
    <cfRule type="cellIs" dxfId="823" priority="159" stopIfTrue="1" operator="equal">
      <formula>"voldoet niet"</formula>
    </cfRule>
  </conditionalFormatting>
  <conditionalFormatting sqref="K47">
    <cfRule type="expression" dxfId="822" priority="158" stopIfTrue="1">
      <formula>A47="nee"</formula>
    </cfRule>
  </conditionalFormatting>
  <conditionalFormatting sqref="K47">
    <cfRule type="expression" dxfId="821" priority="157" stopIfTrue="1">
      <formula>A47="nee"</formula>
    </cfRule>
  </conditionalFormatting>
  <conditionalFormatting sqref="F77:H82">
    <cfRule type="expression" dxfId="820" priority="156">
      <formula>$S$16=3</formula>
    </cfRule>
  </conditionalFormatting>
  <conditionalFormatting sqref="H107:P114">
    <cfRule type="expression" dxfId="819" priority="155">
      <formula>$S$16=3</formula>
    </cfRule>
  </conditionalFormatting>
  <conditionalFormatting sqref="H119:P126">
    <cfRule type="expression" dxfId="818" priority="154">
      <formula>$S$16=3</formula>
    </cfRule>
  </conditionalFormatting>
  <conditionalFormatting sqref="F102:H103">
    <cfRule type="expression" dxfId="817" priority="124">
      <formula>$S$16=3</formula>
    </cfRule>
  </conditionalFormatting>
  <conditionalFormatting sqref="I99:P101">
    <cfRule type="expression" dxfId="816" priority="151">
      <formula>$S$16&lt;&gt;1</formula>
    </cfRule>
  </conditionalFormatting>
  <conditionalFormatting sqref="N99:P101">
    <cfRule type="expression" dxfId="815" priority="150">
      <formula>$S$12="nader te bepalen"</formula>
    </cfRule>
  </conditionalFormatting>
  <conditionalFormatting sqref="I99:P101">
    <cfRule type="expression" dxfId="814" priority="145">
      <formula>$S$16&lt;&gt;1</formula>
    </cfRule>
  </conditionalFormatting>
  <conditionalFormatting sqref="N99:P101">
    <cfRule type="expression" dxfId="813" priority="144">
      <formula>$S$12="nader te bepalen"</formula>
    </cfRule>
  </conditionalFormatting>
  <conditionalFormatting sqref="I99:P101">
    <cfRule type="expression" dxfId="812" priority="153">
      <formula>$S$16&lt;&gt;1</formula>
    </cfRule>
  </conditionalFormatting>
  <conditionalFormatting sqref="I99:P101">
    <cfRule type="expression" dxfId="811" priority="152">
      <formula>$S$16&lt;&gt;1</formula>
    </cfRule>
  </conditionalFormatting>
  <conditionalFormatting sqref="I99:P101">
    <cfRule type="expression" dxfId="810" priority="149">
      <formula>$S$16&lt;&gt;1</formula>
    </cfRule>
  </conditionalFormatting>
  <conditionalFormatting sqref="N99:P101">
    <cfRule type="expression" dxfId="809" priority="148">
      <formula>$S$12="nader te bepalen"</formula>
    </cfRule>
  </conditionalFormatting>
  <conditionalFormatting sqref="I99:P101">
    <cfRule type="expression" dxfId="808" priority="147">
      <formula>$S$16&lt;&gt;1</formula>
    </cfRule>
  </conditionalFormatting>
  <conditionalFormatting sqref="I99:P101">
    <cfRule type="expression" dxfId="807" priority="146">
      <formula>$S$16&lt;&gt;1</formula>
    </cfRule>
  </conditionalFormatting>
  <conditionalFormatting sqref="I99:P101">
    <cfRule type="expression" dxfId="806" priority="143">
      <formula>$S$16&lt;&gt;1</formula>
    </cfRule>
  </conditionalFormatting>
  <conditionalFormatting sqref="N99:P101">
    <cfRule type="expression" dxfId="805" priority="142">
      <formula>$S$12="nader te bepalen"</formula>
    </cfRule>
  </conditionalFormatting>
  <conditionalFormatting sqref="I99:P101">
    <cfRule type="expression" dxfId="804" priority="141">
      <formula>$S$16&lt;&gt;1</formula>
    </cfRule>
  </conditionalFormatting>
  <conditionalFormatting sqref="N99:P101">
    <cfRule type="expression" dxfId="803" priority="140">
      <formula>$S$12="nader te bepalen"</formula>
    </cfRule>
  </conditionalFormatting>
  <conditionalFormatting sqref="F99:H101">
    <cfRule type="expression" dxfId="802" priority="139">
      <formula>$S$16=3</formula>
    </cfRule>
  </conditionalFormatting>
  <conditionalFormatting sqref="I102:P102">
    <cfRule type="expression" dxfId="801" priority="136">
      <formula>$S$16&lt;&gt;1</formula>
    </cfRule>
  </conditionalFormatting>
  <conditionalFormatting sqref="N102:P102">
    <cfRule type="expression" dxfId="800" priority="135">
      <formula>$S$12="nader te bepalen"</formula>
    </cfRule>
  </conditionalFormatting>
  <conditionalFormatting sqref="I102:P102">
    <cfRule type="expression" dxfId="799" priority="130">
      <formula>$S$16&lt;&gt;1</formula>
    </cfRule>
  </conditionalFormatting>
  <conditionalFormatting sqref="N102:P102">
    <cfRule type="expression" dxfId="798" priority="129">
      <formula>$S$12="nader te bepalen"</formula>
    </cfRule>
  </conditionalFormatting>
  <conditionalFormatting sqref="I102:P102">
    <cfRule type="expression" dxfId="797" priority="138">
      <formula>$S$16&lt;&gt;1</formula>
    </cfRule>
  </conditionalFormatting>
  <conditionalFormatting sqref="I102:P102">
    <cfRule type="expression" dxfId="796" priority="137">
      <formula>$S$16&lt;&gt;1</formula>
    </cfRule>
  </conditionalFormatting>
  <conditionalFormatting sqref="I102:P102">
    <cfRule type="expression" dxfId="795" priority="134">
      <formula>$S$16&lt;&gt;1</formula>
    </cfRule>
  </conditionalFormatting>
  <conditionalFormatting sqref="N102:P102">
    <cfRule type="expression" dxfId="794" priority="133">
      <formula>$S$12="nader te bepalen"</formula>
    </cfRule>
  </conditionalFormatting>
  <conditionalFormatting sqref="I102:P102">
    <cfRule type="expression" dxfId="793" priority="132">
      <formula>$S$16&lt;&gt;1</formula>
    </cfRule>
  </conditionalFormatting>
  <conditionalFormatting sqref="I102:P102">
    <cfRule type="expression" dxfId="792" priority="131">
      <formula>$S$16&lt;&gt;1</formula>
    </cfRule>
  </conditionalFormatting>
  <conditionalFormatting sqref="I102:P102">
    <cfRule type="expression" dxfId="791" priority="128">
      <formula>$S$16&lt;&gt;1</formula>
    </cfRule>
  </conditionalFormatting>
  <conditionalFormatting sqref="N102:P102">
    <cfRule type="expression" dxfId="790" priority="127">
      <formula>$S$12="nader te bepalen"</formula>
    </cfRule>
  </conditionalFormatting>
  <conditionalFormatting sqref="I102:P102">
    <cfRule type="expression" dxfId="789" priority="126">
      <formula>$S$16&lt;&gt;1</formula>
    </cfRule>
  </conditionalFormatting>
  <conditionalFormatting sqref="N102:P102">
    <cfRule type="expression" dxfId="788" priority="125">
      <formula>$S$12="nader te bepalen"</formula>
    </cfRule>
  </conditionalFormatting>
  <conditionalFormatting sqref="P78">
    <cfRule type="expression" dxfId="787" priority="115" stopIfTrue="1">
      <formula>P78="-"</formula>
    </cfRule>
    <cfRule type="expression" dxfId="786" priority="120" stopIfTrue="1">
      <formula>P78&lt;H78</formula>
    </cfRule>
  </conditionalFormatting>
  <conditionalFormatting sqref="P79">
    <cfRule type="expression" dxfId="785" priority="116" stopIfTrue="1">
      <formula>P79="-"</formula>
    </cfRule>
    <cfRule type="expression" dxfId="784" priority="121" stopIfTrue="1">
      <formula>P79&lt;H79</formula>
    </cfRule>
  </conditionalFormatting>
  <conditionalFormatting sqref="P80">
    <cfRule type="expression" dxfId="783" priority="117" stopIfTrue="1">
      <formula>P80="-"</formula>
    </cfRule>
    <cfRule type="expression" dxfId="782" priority="122" stopIfTrue="1">
      <formula>P80&lt;H80</formula>
    </cfRule>
  </conditionalFormatting>
  <conditionalFormatting sqref="P81">
    <cfRule type="expression" dxfId="781" priority="118" stopIfTrue="1">
      <formula>P81="-"</formula>
    </cfRule>
    <cfRule type="expression" dxfId="780" priority="123" stopIfTrue="1">
      <formula>P81&lt;H81</formula>
    </cfRule>
  </conditionalFormatting>
  <conditionalFormatting sqref="P77">
    <cfRule type="expression" dxfId="779" priority="114" stopIfTrue="1">
      <formula>P77="-"</formula>
    </cfRule>
    <cfRule type="expression" dxfId="778" priority="119" stopIfTrue="1">
      <formula>P77&lt;H77</formula>
    </cfRule>
  </conditionalFormatting>
  <conditionalFormatting sqref="P99">
    <cfRule type="expression" dxfId="777" priority="106" stopIfTrue="1">
      <formula>P99="-"</formula>
    </cfRule>
    <cfRule type="expression" dxfId="776" priority="110" stopIfTrue="1">
      <formula>P99&lt;H99</formula>
    </cfRule>
  </conditionalFormatting>
  <conditionalFormatting sqref="P100">
    <cfRule type="expression" dxfId="775" priority="107" stopIfTrue="1">
      <formula>P100="-"</formula>
    </cfRule>
    <cfRule type="expression" dxfId="774" priority="111" stopIfTrue="1">
      <formula>P100&lt;H100</formula>
    </cfRule>
  </conditionalFormatting>
  <conditionalFormatting sqref="P101">
    <cfRule type="expression" dxfId="773" priority="108" stopIfTrue="1">
      <formula>P101="-"</formula>
    </cfRule>
    <cfRule type="expression" dxfId="772" priority="112" stopIfTrue="1">
      <formula>P101&lt;H101</formula>
    </cfRule>
  </conditionalFormatting>
  <conditionalFormatting sqref="P102">
    <cfRule type="expression" dxfId="771" priority="109" stopIfTrue="1">
      <formula>P102="-"</formula>
    </cfRule>
    <cfRule type="expression" dxfId="770" priority="113" stopIfTrue="1">
      <formula>P102&lt;H102</formula>
    </cfRule>
  </conditionalFormatting>
  <conditionalFormatting sqref="F82:H82">
    <cfRule type="containsText" dxfId="769" priority="105" operator="containsText" text="voldoet niet op VG-niveau">
      <formula>NOT(ISERROR(SEARCH("voldoet niet op VG-niveau",F82)))</formula>
    </cfRule>
  </conditionalFormatting>
  <conditionalFormatting sqref="K54">
    <cfRule type="expression" dxfId="768" priority="104" stopIfTrue="1">
      <formula>A54="nee"</formula>
    </cfRule>
  </conditionalFormatting>
  <conditionalFormatting sqref="K54">
    <cfRule type="expression" dxfId="767" priority="103" stopIfTrue="1">
      <formula>A54="nee"</formula>
    </cfRule>
  </conditionalFormatting>
  <conditionalFormatting sqref="E54">
    <cfRule type="cellIs" dxfId="766" priority="102" stopIfTrue="1" operator="equal">
      <formula>"voldoet niet"</formula>
    </cfRule>
  </conditionalFormatting>
  <conditionalFormatting sqref="K54">
    <cfRule type="expression" dxfId="765" priority="101" stopIfTrue="1">
      <formula>A54="nee"</formula>
    </cfRule>
  </conditionalFormatting>
  <conditionalFormatting sqref="K54">
    <cfRule type="expression" dxfId="764" priority="100" stopIfTrue="1">
      <formula>A54="nee"</formula>
    </cfRule>
  </conditionalFormatting>
  <conditionalFormatting sqref="I84:P88">
    <cfRule type="expression" dxfId="763" priority="99">
      <formula>$S$16&lt;&gt;1</formula>
    </cfRule>
  </conditionalFormatting>
  <conditionalFormatting sqref="N84:P88">
    <cfRule type="expression" dxfId="762" priority="98">
      <formula>$S$12="nader te bepalen"</formula>
    </cfRule>
  </conditionalFormatting>
  <conditionalFormatting sqref="F84:H89">
    <cfRule type="expression" dxfId="761" priority="97">
      <formula>$S$16=3</formula>
    </cfRule>
  </conditionalFormatting>
  <conditionalFormatting sqref="Q84:Q88">
    <cfRule type="expression" dxfId="760" priority="96">
      <formula>SUM(Q80:Q84)&lt;E85</formula>
    </cfRule>
  </conditionalFormatting>
  <conditionalFormatting sqref="P84">
    <cfRule type="expression" dxfId="759" priority="86" stopIfTrue="1">
      <formula>P84="-"</formula>
    </cfRule>
    <cfRule type="expression" dxfId="758" priority="91" stopIfTrue="1">
      <formula>P84&lt;H84</formula>
    </cfRule>
  </conditionalFormatting>
  <conditionalFormatting sqref="P85">
    <cfRule type="expression" dxfId="757" priority="87" stopIfTrue="1">
      <formula>P85="-"</formula>
    </cfRule>
    <cfRule type="expression" dxfId="756" priority="92" stopIfTrue="1">
      <formula>P85&lt;H85</formula>
    </cfRule>
  </conditionalFormatting>
  <conditionalFormatting sqref="P86">
    <cfRule type="expression" dxfId="755" priority="88" stopIfTrue="1">
      <formula>P86="-"</formula>
    </cfRule>
    <cfRule type="expression" dxfId="754" priority="93" stopIfTrue="1">
      <formula>P86&lt;H86</formula>
    </cfRule>
  </conditionalFormatting>
  <conditionalFormatting sqref="P87">
    <cfRule type="expression" dxfId="753" priority="89" stopIfTrue="1">
      <formula>P87="-"</formula>
    </cfRule>
    <cfRule type="expression" dxfId="752" priority="94" stopIfTrue="1">
      <formula>P87&lt;H87</formula>
    </cfRule>
  </conditionalFormatting>
  <conditionalFormatting sqref="P88">
    <cfRule type="expression" dxfId="751" priority="90" stopIfTrue="1">
      <formula>P88="-"</formula>
    </cfRule>
    <cfRule type="expression" dxfId="750" priority="95" stopIfTrue="1">
      <formula>P88&lt;H88</formula>
    </cfRule>
  </conditionalFormatting>
  <conditionalFormatting sqref="F89:H89">
    <cfRule type="containsText" dxfId="749" priority="85" operator="containsText" text="voldoet niet op VG-niveau">
      <formula>NOT(ISERROR(SEARCH("voldoet niet op VG-niveau",F89)))</formula>
    </cfRule>
  </conditionalFormatting>
  <conditionalFormatting sqref="G8:G10">
    <cfRule type="cellIs" dxfId="748" priority="84" stopIfTrue="1" operator="equal">
      <formula>"&lt;PROJECTNUMMER&gt;"</formula>
    </cfRule>
  </conditionalFormatting>
  <conditionalFormatting sqref="D8">
    <cfRule type="cellIs" dxfId="747" priority="83" stopIfTrue="1" operator="equal">
      <formula>"&lt;PROJECTNUMMER&gt;"</formula>
    </cfRule>
  </conditionalFormatting>
  <conditionalFormatting sqref="D9">
    <cfRule type="cellIs" dxfId="746" priority="82" stopIfTrue="1" operator="equal">
      <formula>"&lt;PROJECTNUMMER&gt;"</formula>
    </cfRule>
  </conditionalFormatting>
  <conditionalFormatting sqref="D10">
    <cfRule type="cellIs" dxfId="745" priority="81" stopIfTrue="1" operator="equal">
      <formula>"&lt;PROJECTNUMMER&gt;"</formula>
    </cfRule>
  </conditionalFormatting>
  <conditionalFormatting sqref="F30">
    <cfRule type="expression" dxfId="744" priority="78" stopIfTrue="1">
      <formula>D30-E30&lt;5</formula>
    </cfRule>
  </conditionalFormatting>
  <conditionalFormatting sqref="F30">
    <cfRule type="expression" dxfId="743" priority="77" stopIfTrue="1">
      <formula>D30-E30&lt;5</formula>
    </cfRule>
  </conditionalFormatting>
  <conditionalFormatting sqref="F30">
    <cfRule type="expression" dxfId="742" priority="74" stopIfTrue="1">
      <formula>D30-E30&lt;5</formula>
    </cfRule>
  </conditionalFormatting>
  <conditionalFormatting sqref="D30">
    <cfRule type="expression" dxfId="741" priority="73" stopIfTrue="1">
      <formula>C30=""</formula>
    </cfRule>
  </conditionalFormatting>
  <conditionalFormatting sqref="F30">
    <cfRule type="expression" dxfId="740" priority="80" stopIfTrue="1">
      <formula>D30=""</formula>
    </cfRule>
  </conditionalFormatting>
  <conditionalFormatting sqref="F30">
    <cfRule type="expression" dxfId="739" priority="79" stopIfTrue="1">
      <formula>D30=""</formula>
    </cfRule>
  </conditionalFormatting>
  <conditionalFormatting sqref="D30">
    <cfRule type="expression" dxfId="738" priority="76" stopIfTrue="1">
      <formula>C30=""</formula>
    </cfRule>
  </conditionalFormatting>
  <conditionalFormatting sqref="F30">
    <cfRule type="expression" dxfId="737" priority="75" stopIfTrue="1">
      <formula>D30-E30&lt;5</formula>
    </cfRule>
  </conditionalFormatting>
  <conditionalFormatting sqref="F31">
    <cfRule type="expression" dxfId="736" priority="70" stopIfTrue="1">
      <formula>D31-E31&lt;5</formula>
    </cfRule>
  </conditionalFormatting>
  <conditionalFormatting sqref="F31">
    <cfRule type="expression" dxfId="735" priority="69" stopIfTrue="1">
      <formula>D31-E31&lt;5</formula>
    </cfRule>
  </conditionalFormatting>
  <conditionalFormatting sqref="F31">
    <cfRule type="expression" dxfId="734" priority="66" stopIfTrue="1">
      <formula>D31-E31&lt;5</formula>
    </cfRule>
  </conditionalFormatting>
  <conditionalFormatting sqref="D31">
    <cfRule type="expression" dxfId="733" priority="65" stopIfTrue="1">
      <formula>C31=""</formula>
    </cfRule>
  </conditionalFormatting>
  <conditionalFormatting sqref="F31">
    <cfRule type="expression" dxfId="732" priority="72" stopIfTrue="1">
      <formula>D31=""</formula>
    </cfRule>
  </conditionalFormatting>
  <conditionalFormatting sqref="F31">
    <cfRule type="expression" dxfId="731" priority="71" stopIfTrue="1">
      <formula>D31=""</formula>
    </cfRule>
  </conditionalFormatting>
  <conditionalFormatting sqref="D31">
    <cfRule type="expression" dxfId="730" priority="68" stopIfTrue="1">
      <formula>C31=""</formula>
    </cfRule>
  </conditionalFormatting>
  <conditionalFormatting sqref="F31">
    <cfRule type="expression" dxfId="729" priority="67" stopIfTrue="1">
      <formula>D31-E31&lt;5</formula>
    </cfRule>
  </conditionalFormatting>
  <conditionalFormatting sqref="F32">
    <cfRule type="expression" dxfId="728" priority="62" stopIfTrue="1">
      <formula>D32-E32&lt;5</formula>
    </cfRule>
  </conditionalFormatting>
  <conditionalFormatting sqref="F32">
    <cfRule type="expression" dxfId="727" priority="61" stopIfTrue="1">
      <formula>D32-E32&lt;5</formula>
    </cfRule>
  </conditionalFormatting>
  <conditionalFormatting sqref="F32">
    <cfRule type="expression" dxfId="726" priority="58" stopIfTrue="1">
      <formula>D32-E32&lt;5</formula>
    </cfRule>
  </conditionalFormatting>
  <conditionalFormatting sqref="D32">
    <cfRule type="expression" dxfId="725" priority="57" stopIfTrue="1">
      <formula>C32=""</formula>
    </cfRule>
  </conditionalFormatting>
  <conditionalFormatting sqref="F32">
    <cfRule type="expression" dxfId="724" priority="64" stopIfTrue="1">
      <formula>D32=""</formula>
    </cfRule>
  </conditionalFormatting>
  <conditionalFormatting sqref="F32">
    <cfRule type="expression" dxfId="723" priority="63" stopIfTrue="1">
      <formula>D32=""</formula>
    </cfRule>
  </conditionalFormatting>
  <conditionalFormatting sqref="D32">
    <cfRule type="expression" dxfId="722" priority="60" stopIfTrue="1">
      <formula>C32=""</formula>
    </cfRule>
  </conditionalFormatting>
  <conditionalFormatting sqref="F32">
    <cfRule type="expression" dxfId="721" priority="59" stopIfTrue="1">
      <formula>D32-E32&lt;5</formula>
    </cfRule>
  </conditionalFormatting>
  <conditionalFormatting sqref="F33">
    <cfRule type="expression" dxfId="720" priority="54" stopIfTrue="1">
      <formula>D33-E33&lt;5</formula>
    </cfRule>
  </conditionalFormatting>
  <conditionalFormatting sqref="F33">
    <cfRule type="expression" dxfId="719" priority="53" stopIfTrue="1">
      <formula>D33-E33&lt;5</formula>
    </cfRule>
  </conditionalFormatting>
  <conditionalFormatting sqref="F33">
    <cfRule type="expression" dxfId="718" priority="50" stopIfTrue="1">
      <formula>D33-E33&lt;5</formula>
    </cfRule>
  </conditionalFormatting>
  <conditionalFormatting sqref="D33">
    <cfRule type="expression" dxfId="717" priority="49" stopIfTrue="1">
      <formula>C33=""</formula>
    </cfRule>
  </conditionalFormatting>
  <conditionalFormatting sqref="F33">
    <cfRule type="expression" dxfId="716" priority="56" stopIfTrue="1">
      <formula>D33=""</formula>
    </cfRule>
  </conditionalFormatting>
  <conditionalFormatting sqref="F33">
    <cfRule type="expression" dxfId="715" priority="55" stopIfTrue="1">
      <formula>D33=""</formula>
    </cfRule>
  </conditionalFormatting>
  <conditionalFormatting sqref="D33">
    <cfRule type="expression" dxfId="714" priority="52" stopIfTrue="1">
      <formula>C33=""</formula>
    </cfRule>
  </conditionalFormatting>
  <conditionalFormatting sqref="F33">
    <cfRule type="expression" dxfId="713" priority="51" stopIfTrue="1">
      <formula>D33-E33&lt;5</formula>
    </cfRule>
  </conditionalFormatting>
  <conditionalFormatting sqref="F34">
    <cfRule type="expression" dxfId="712" priority="46" stopIfTrue="1">
      <formula>D34-E34&lt;5</formula>
    </cfRule>
  </conditionalFormatting>
  <conditionalFormatting sqref="F34">
    <cfRule type="expression" dxfId="711" priority="45" stopIfTrue="1">
      <formula>D34-E34&lt;5</formula>
    </cfRule>
  </conditionalFormatting>
  <conditionalFormatting sqref="F34">
    <cfRule type="expression" dxfId="710" priority="42" stopIfTrue="1">
      <formula>D34-E34&lt;5</formula>
    </cfRule>
  </conditionalFormatting>
  <conditionalFormatting sqref="D34">
    <cfRule type="expression" dxfId="709" priority="41" stopIfTrue="1">
      <formula>C34=""</formula>
    </cfRule>
  </conditionalFormatting>
  <conditionalFormatting sqref="F34">
    <cfRule type="expression" dxfId="708" priority="48" stopIfTrue="1">
      <formula>D34=""</formula>
    </cfRule>
  </conditionalFormatting>
  <conditionalFormatting sqref="F34">
    <cfRule type="expression" dxfId="707" priority="47" stopIfTrue="1">
      <formula>D34=""</formula>
    </cfRule>
  </conditionalFormatting>
  <conditionalFormatting sqref="D34">
    <cfRule type="expression" dxfId="706" priority="44" stopIfTrue="1">
      <formula>C34=""</formula>
    </cfRule>
  </conditionalFormatting>
  <conditionalFormatting sqref="F34">
    <cfRule type="expression" dxfId="705" priority="43" stopIfTrue="1">
      <formula>D34-E34&lt;5</formula>
    </cfRule>
  </conditionalFormatting>
  <conditionalFormatting sqref="K61">
    <cfRule type="expression" dxfId="704" priority="40" stopIfTrue="1">
      <formula>A61="nee"</formula>
    </cfRule>
  </conditionalFormatting>
  <conditionalFormatting sqref="K61">
    <cfRule type="expression" dxfId="703" priority="39" stopIfTrue="1">
      <formula>A61="nee"</formula>
    </cfRule>
  </conditionalFormatting>
  <conditionalFormatting sqref="E61">
    <cfRule type="cellIs" dxfId="702" priority="38" stopIfTrue="1" operator="equal">
      <formula>"voldoet niet"</formula>
    </cfRule>
  </conditionalFormatting>
  <conditionalFormatting sqref="K61">
    <cfRule type="expression" dxfId="701" priority="37" stopIfTrue="1">
      <formula>A61="nee"</formula>
    </cfRule>
  </conditionalFormatting>
  <conditionalFormatting sqref="K61">
    <cfRule type="expression" dxfId="700" priority="36" stopIfTrue="1">
      <formula>A61="nee"</formula>
    </cfRule>
  </conditionalFormatting>
  <conditionalFormatting sqref="I91:P95">
    <cfRule type="expression" dxfId="699" priority="35">
      <formula>$S$16&lt;&gt;1</formula>
    </cfRule>
  </conditionalFormatting>
  <conditionalFormatting sqref="N91:P95">
    <cfRule type="expression" dxfId="698" priority="34">
      <formula>$S$12="nader te bepalen"</formula>
    </cfRule>
  </conditionalFormatting>
  <conditionalFormatting sqref="F91:H96">
    <cfRule type="expression" dxfId="697" priority="33">
      <formula>$S$16=3</formula>
    </cfRule>
  </conditionalFormatting>
  <conditionalFormatting sqref="Q91:Q95">
    <cfRule type="expression" dxfId="696" priority="32">
      <formula>SUM(Q87:Q91)&lt;E92</formula>
    </cfRule>
  </conditionalFormatting>
  <conditionalFormatting sqref="P91">
    <cfRule type="expression" dxfId="695" priority="22" stopIfTrue="1">
      <formula>P91="-"</formula>
    </cfRule>
    <cfRule type="expression" dxfId="694" priority="27" stopIfTrue="1">
      <formula>P91&lt;H91</formula>
    </cfRule>
  </conditionalFormatting>
  <conditionalFormatting sqref="P92">
    <cfRule type="expression" dxfId="693" priority="23" stopIfTrue="1">
      <formula>P92="-"</formula>
    </cfRule>
    <cfRule type="expression" dxfId="692" priority="28" stopIfTrue="1">
      <formula>P92&lt;H92</formula>
    </cfRule>
  </conditionalFormatting>
  <conditionalFormatting sqref="P93">
    <cfRule type="expression" dxfId="691" priority="24" stopIfTrue="1">
      <formula>P93="-"</formula>
    </cfRule>
    <cfRule type="expression" dxfId="690" priority="29" stopIfTrue="1">
      <formula>P93&lt;H93</formula>
    </cfRule>
  </conditionalFormatting>
  <conditionalFormatting sqref="P94">
    <cfRule type="expression" dxfId="689" priority="25" stopIfTrue="1">
      <formula>P94="-"</formula>
    </cfRule>
    <cfRule type="expression" dxfId="688" priority="30" stopIfTrue="1">
      <formula>P94&lt;H94</formula>
    </cfRule>
  </conditionalFormatting>
  <conditionalFormatting sqref="P95">
    <cfRule type="expression" dxfId="687" priority="26" stopIfTrue="1">
      <formula>P95="-"</formula>
    </cfRule>
    <cfRule type="expression" dxfId="686" priority="31" stopIfTrue="1">
      <formula>P95&lt;H95</formula>
    </cfRule>
  </conditionalFormatting>
  <conditionalFormatting sqref="F96:H96">
    <cfRule type="containsText" dxfId="685" priority="21" operator="containsText" text="voldoet niet op VG-niveau">
      <formula>NOT(ISERROR(SEARCH("voldoet niet op VG-niveau",F96)))</formula>
    </cfRule>
  </conditionalFormatting>
  <dataValidations disablePrompts="1" count="7">
    <dataValidation type="whole" operator="greaterThan" allowBlank="1" showInputMessage="1" showErrorMessage="1" errorTitle="Getal invoeren" error="Voer een getal in om het verblijfsgebied aan te geven." sqref="C29:C34" xr:uid="{3BC082C9-04F2-470C-AB44-BD68188EC2BA}">
      <formula1>0</formula1>
    </dataValidation>
    <dataValidation type="list" allowBlank="1" showInputMessage="1" showErrorMessage="1" sqref="H65:M65" xr:uid="{11DC129A-318B-4E05-BED8-9B65C0FD8379}">
      <formula1>PD_70procent</formula1>
    </dataValidation>
    <dataValidation type="list" allowBlank="1" showInputMessage="1" showErrorMessage="1" sqref="D65:G65" xr:uid="{FD44EA4B-B989-456A-AADD-04848428C7EF}">
      <formula1>PD_Uitgangspunten</formula1>
    </dataValidation>
    <dataValidation type="list" allowBlank="1" showInputMessage="1" showErrorMessage="1" sqref="D68:G68" xr:uid="{7DA2A683-B015-4371-B967-6EAE7BE11F9F}">
      <formula1>PD_RoosterFabrikant</formula1>
    </dataValidation>
    <dataValidation type="list" allowBlank="1" showInputMessage="1" showErrorMessage="1" sqref="D67:G67" xr:uid="{06C185C6-BA1B-47B8-B60F-AEE41111B346}">
      <formula1>PD_TypeVentilatie</formula1>
    </dataValidation>
    <dataValidation type="list" allowBlank="1" showInputMessage="1" showErrorMessage="1" sqref="F99:F102 F77:F81 F84:F88 F91:F95" xr:uid="{B36DE50C-B94B-42FE-878D-898D8131A6EA}">
      <formula1>$T$16:$T$18</formula1>
    </dataValidation>
    <dataValidation type="list" allowBlank="1" showInputMessage="1" showErrorMessage="1" sqref="N99:O102 N77:O81 N84:O88 N91:O95" xr:uid="{7CD1ADA8-A767-463C-883F-FD2D109754FD}">
      <formula1>INDIRECT($S$12)</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63"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1489"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91490"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91491" r:id="rId7" name="Button 9">
              <controlPr defaultSize="0" print="0" autoFill="0" autoPict="0" macro="[0]!daglichtad1">
                <anchor moveWithCells="1" sizeWithCells="1">
                  <from>
                    <xdr:col>14</xdr:col>
                    <xdr:colOff>182880</xdr:colOff>
                    <xdr:row>37</xdr:row>
                    <xdr:rowOff>7620</xdr:rowOff>
                  </from>
                  <to>
                    <xdr:col>15</xdr:col>
                    <xdr:colOff>792480</xdr:colOff>
                    <xdr:row>38</xdr:row>
                    <xdr:rowOff>0</xdr:rowOff>
                  </to>
                </anchor>
              </controlPr>
            </control>
          </mc:Choice>
        </mc:AlternateContent>
        <mc:AlternateContent xmlns:mc="http://schemas.openxmlformats.org/markup-compatibility/2006">
          <mc:Choice Requires="x14">
            <control shapeId="191492" r:id="rId8" name="Button 11">
              <controlPr defaultSize="0" print="0" autoFill="0" autoPict="0" macro="[0]!spuiad1">
                <anchor moveWithCells="1" sizeWithCells="1">
                  <from>
                    <xdr:col>14</xdr:col>
                    <xdr:colOff>137160</xdr:colOff>
                    <xdr:row>158</xdr:row>
                    <xdr:rowOff>7620</xdr:rowOff>
                  </from>
                  <to>
                    <xdr:col>15</xdr:col>
                    <xdr:colOff>746760</xdr:colOff>
                    <xdr:row>159</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B7F4B-8186-431A-9D63-28BA7F12A748}">
  <sheetPr codeName="Blad28">
    <tabColor indexed="11"/>
    <pageSetUpPr fitToPage="1"/>
  </sheetPr>
  <dimension ref="A1:AQ184"/>
  <sheetViews>
    <sheetView tabSelected="1" view="pageBreakPreview" topLeftCell="C5" zoomScale="85" zoomScaleNormal="100" zoomScaleSheetLayoutView="85" workbookViewId="0">
      <selection activeCell="AM33" sqref="AM33"/>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697</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Twee dakkapellen achter</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7</v>
      </c>
      <c r="T7" s="519"/>
      <c r="U7" s="516"/>
      <c r="V7" s="517"/>
      <c r="W7" s="517"/>
      <c r="X7" s="517"/>
      <c r="AC7" s="500"/>
      <c r="AF7" s="498"/>
    </row>
    <row r="8" spans="1:34" s="518" customFormat="1" ht="12" customHeight="1">
      <c r="A8" s="515"/>
      <c r="B8" s="515"/>
      <c r="C8" s="387" t="s">
        <v>691</v>
      </c>
      <c r="D8" s="796" t="s">
        <v>1143</v>
      </c>
      <c r="E8" s="796"/>
      <c r="F8" s="796"/>
      <c r="G8" s="389"/>
      <c r="H8" s="390"/>
      <c r="I8" s="390"/>
      <c r="J8" s="390"/>
      <c r="K8" s="391"/>
      <c r="L8" s="391"/>
      <c r="M8" s="391"/>
      <c r="N8" s="391"/>
      <c r="O8" s="391"/>
      <c r="P8" s="391"/>
      <c r="Q8" s="516"/>
      <c r="R8" s="516" t="s">
        <v>254</v>
      </c>
      <c r="S8" s="512">
        <f>COUNTA(X:X)</f>
        <v>7</v>
      </c>
      <c r="T8" s="519"/>
      <c r="U8" s="516"/>
      <c r="V8" s="517"/>
      <c r="W8" s="517"/>
      <c r="X8" s="517"/>
      <c r="AC8" s="500"/>
      <c r="AF8" s="498"/>
    </row>
    <row r="9" spans="1:34" s="518" customFormat="1" ht="12" customHeight="1">
      <c r="A9" s="515"/>
      <c r="B9" s="515"/>
      <c r="C9" s="387" t="s">
        <v>692</v>
      </c>
      <c r="D9" s="396" t="s">
        <v>1129</v>
      </c>
      <c r="E9" s="388"/>
      <c r="F9" s="388"/>
      <c r="G9" s="392" t="s">
        <v>1041</v>
      </c>
      <c r="H9" s="393"/>
      <c r="I9" s="784">
        <v>45028</v>
      </c>
      <c r="J9" s="390"/>
      <c r="K9" s="391"/>
      <c r="L9" s="391"/>
      <c r="M9" s="391"/>
      <c r="N9" s="391"/>
      <c r="O9" s="391"/>
      <c r="P9" s="391"/>
      <c r="Q9" s="516"/>
      <c r="R9" s="516" t="s">
        <v>253</v>
      </c>
      <c r="S9" s="520">
        <f>COUNTA(C28:C37)-1</f>
        <v>4</v>
      </c>
      <c r="T9" s="519"/>
      <c r="U9" s="516"/>
      <c r="V9" s="517"/>
      <c r="W9" s="517"/>
      <c r="X9" s="517"/>
      <c r="AC9" s="500"/>
      <c r="AF9" s="498"/>
    </row>
    <row r="10" spans="1:34" s="518" customFormat="1" ht="12" customHeight="1">
      <c r="A10" s="515"/>
      <c r="B10" s="515"/>
      <c r="C10" s="387" t="s">
        <v>693</v>
      </c>
      <c r="D10" s="396" t="s">
        <v>1145</v>
      </c>
      <c r="E10" s="388"/>
      <c r="F10" s="388"/>
      <c r="G10" s="395"/>
      <c r="H10" s="393"/>
      <c r="I10" s="396" t="s">
        <v>1144</v>
      </c>
      <c r="J10" s="390"/>
      <c r="K10" s="391"/>
      <c r="L10" s="391"/>
      <c r="M10" s="391"/>
      <c r="N10" s="391"/>
      <c r="O10" s="391"/>
      <c r="P10" s="391"/>
      <c r="Q10" s="516"/>
      <c r="R10" s="516" t="s">
        <v>253</v>
      </c>
      <c r="S10" s="512">
        <f>MAX(U:W)</f>
        <v>3</v>
      </c>
      <c r="T10" s="519"/>
      <c r="U10" s="516"/>
      <c r="V10" s="517"/>
      <c r="W10" s="517"/>
      <c r="X10" s="517"/>
      <c r="AC10" s="500"/>
      <c r="AF10" s="498"/>
    </row>
    <row r="11" spans="1:34" s="518" customFormat="1" ht="12" customHeight="1">
      <c r="A11" s="515"/>
      <c r="B11" s="515"/>
      <c r="C11" s="387" t="s">
        <v>694</v>
      </c>
      <c r="D11" s="797">
        <v>45028</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D68</f>
        <v>nader te bepalen</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1146</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10.81</v>
      </c>
      <c r="M16" s="411"/>
      <c r="N16" s="409"/>
      <c r="O16" s="412"/>
      <c r="P16" s="412"/>
      <c r="Q16" s="525"/>
      <c r="R16" s="526"/>
      <c r="S16" s="527">
        <f>IF(D65="berekening op basis van minimale capaciteit",3,IF(D67="systeem A - natuurlijke toevoer &amp;  afvoer",1,IF(D67="systeem C - natuurlijke toevoer &amp; mechanische afvoer",1,2)))</f>
        <v>2</v>
      </c>
      <c r="T16" s="516" t="str">
        <f>IF(S16=1,"NT","MT")</f>
        <v>MT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156.73000000000002</v>
      </c>
      <c r="G17" s="403"/>
      <c r="H17" s="414"/>
      <c r="I17" s="404"/>
      <c r="J17" s="408" t="s">
        <v>687</v>
      </c>
      <c r="K17" s="409"/>
      <c r="L17" s="410">
        <v>68.98</v>
      </c>
      <c r="M17" s="415"/>
      <c r="N17" s="409"/>
      <c r="O17" s="404"/>
      <c r="P17" s="416"/>
      <c r="Q17" s="525"/>
      <c r="R17" s="526"/>
      <c r="S17" s="527">
        <f>IF(D68="nader te bepalen",1,2)</f>
        <v>1</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86.20150000000001</v>
      </c>
      <c r="G18" s="417"/>
      <c r="H18" s="418"/>
      <c r="I18" s="419"/>
      <c r="J18" s="408" t="s">
        <v>688</v>
      </c>
      <c r="K18" s="409"/>
      <c r="L18" s="410">
        <v>76.94</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F36</f>
        <v>88.03</v>
      </c>
      <c r="G19" s="420" t="s">
        <v>661</v>
      </c>
      <c r="H19" s="421">
        <f>IF(OR(F17=0,F19=0),0,F19/F17)</f>
        <v>0.56166656032667639</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ja, &gt;=55% &amp; VG &gt;= 18m²</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2</v>
      </c>
      <c r="I22" s="805"/>
      <c r="J22" s="427" t="str">
        <f>IF(H22&lt;F22,"voldoet niet","")</f>
        <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1</v>
      </c>
      <c r="I23" s="805"/>
      <c r="J23" s="427" t="str">
        <f>IF(H23&lt;F23,"voldoet niet","")</f>
        <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28.45</v>
      </c>
      <c r="E28" s="433">
        <f>IF(C28="","",SUMPRODUCT(($Y$1:$Y$28047)*($U$1:$U$28047=C28)))</f>
        <v>0</v>
      </c>
      <c r="F28" s="799">
        <f>IF(E28="","",IF(SUMPRODUCT(($AD$1:$AD$28102)*($AC$1:$AC$28102=C28))-E28&lt;verzamelblad!$AG$7,"&lt; " &amp; verzamelblad!$AG$7 &amp; " m², geen VG",SUMPRODUCT(($AD$1:$AD$28102)*($AC$1:$AC$28102=C28))-E28))</f>
        <v>28.45</v>
      </c>
      <c r="G28" s="799"/>
      <c r="H28" s="434">
        <f>IF(C28="","",0)</f>
        <v>0</v>
      </c>
      <c r="I28" s="435"/>
      <c r="J28" s="800">
        <f t="shared" ref="J28:J34" si="0">A28</f>
        <v>1</v>
      </c>
      <c r="K28" s="800"/>
      <c r="L28" s="436" t="s">
        <v>1147</v>
      </c>
      <c r="M28" s="436"/>
      <c r="N28" s="801">
        <v>28.45</v>
      </c>
      <c r="O28" s="801"/>
      <c r="P28" s="437"/>
      <c r="Q28" s="392"/>
      <c r="R28" s="516"/>
      <c r="S28" s="516"/>
      <c r="T28" s="521"/>
      <c r="U28" s="516"/>
      <c r="V28" s="517"/>
      <c r="W28" s="517"/>
      <c r="X28" s="536">
        <f t="shared" ref="X28:X34" si="1">A28</f>
        <v>1</v>
      </c>
      <c r="Y28" s="517"/>
      <c r="Z28" s="517"/>
      <c r="AA28" s="517"/>
      <c r="AB28" s="517"/>
      <c r="AC28" s="537">
        <f t="shared" ref="AC28" si="2">IF(C28&lt;&gt;"",C28,AC27)</f>
        <v>1</v>
      </c>
      <c r="AD28" s="538">
        <f>IF(C28&lt;&gt;"",D28+H28,0)</f>
        <v>28.45</v>
      </c>
      <c r="AE28" s="539">
        <f t="shared" ref="AE28:AE34" si="3">N28</f>
        <v>28.45</v>
      </c>
      <c r="AF28" s="540"/>
      <c r="AG28" s="517"/>
      <c r="AH28" s="535"/>
    </row>
    <row r="29" spans="1:34" s="518" customFormat="1" ht="12" customHeight="1">
      <c r="A29" s="527">
        <f t="shared" ref="A29:A34" si="4">A28+1</f>
        <v>2</v>
      </c>
      <c r="B29" s="515" t="s">
        <v>258</v>
      </c>
      <c r="C29" s="438">
        <v>2</v>
      </c>
      <c r="D29" s="432">
        <v>22.4</v>
      </c>
      <c r="E29" s="725">
        <f>IF(C29="","",SUMPRODUCT(($Y$1:$Y$28153)*($U$1:$U$28153=C29)))</f>
        <v>0</v>
      </c>
      <c r="F29" s="802">
        <f>IF(E29="","",IF(SUMPRODUCT(($AD$1:$AD$28153)*($AC$1:$AC$28153=C29))-E29&lt;verzamelblad!$AG$7,"&lt; " &amp; verzamelblad!$AG$7 &amp; " m², geen VG",SUMPRODUCT(($AD$1:$AD$28153)*($AC$1:$AC$28153=C29))-E29))</f>
        <v>22.4</v>
      </c>
      <c r="G29" s="802"/>
      <c r="H29" s="434">
        <f t="shared" ref="H29:H34" si="5">IF(C29="","",0)</f>
        <v>0</v>
      </c>
      <c r="I29" s="439"/>
      <c r="J29" s="803">
        <f t="shared" si="0"/>
        <v>2</v>
      </c>
      <c r="K29" s="803"/>
      <c r="L29" s="440" t="s">
        <v>727</v>
      </c>
      <c r="M29" s="440"/>
      <c r="N29" s="804">
        <v>15.1</v>
      </c>
      <c r="O29" s="804"/>
      <c r="P29" s="441"/>
      <c r="Q29" s="404"/>
      <c r="R29" s="541"/>
      <c r="S29" s="541"/>
      <c r="T29" s="521"/>
      <c r="U29" s="516"/>
      <c r="V29" s="517"/>
      <c r="W29" s="517"/>
      <c r="X29" s="536">
        <f t="shared" si="1"/>
        <v>2</v>
      </c>
      <c r="Y29" s="517"/>
      <c r="Z29" s="517"/>
      <c r="AA29" s="517"/>
      <c r="AB29" s="517"/>
      <c r="AC29" s="537">
        <f>IF(C29&lt;&gt;"",C29,AC28)</f>
        <v>2</v>
      </c>
      <c r="AD29" s="538">
        <f t="shared" ref="AD29:AD34" si="6">IF(C29&lt;&gt;"",D29+H29,0)</f>
        <v>22.4</v>
      </c>
      <c r="AE29" s="539">
        <f t="shared" si="3"/>
        <v>15.1</v>
      </c>
      <c r="AF29" s="540"/>
      <c r="AG29" s="517"/>
      <c r="AH29" s="535"/>
    </row>
    <row r="30" spans="1:34" s="518" customFormat="1" ht="12" customHeight="1">
      <c r="A30" s="542">
        <f t="shared" si="4"/>
        <v>3</v>
      </c>
      <c r="B30" s="543" t="s">
        <v>258</v>
      </c>
      <c r="C30" s="438"/>
      <c r="D30" s="740">
        <v>0</v>
      </c>
      <c r="E30" s="725" t="str">
        <f>IF(C30="","",SUMPRODUCT(($Y$1:$Y$28212)*($U$1:$U$28212=C30)))</f>
        <v/>
      </c>
      <c r="F30" s="802" t="str">
        <f>IF(E30="","",IF(SUMPRODUCT(($AD$1:$AD$28212)*($AC$1:$AC$28212=C30))-E30&lt;verzamelblad!$AG$7,"&lt; " &amp; verzamelblad!$AG$7 &amp; " m², geen VG",SUMPRODUCT(($AD$1:$AD$28212)*($AC$1:$AC$28212=C30))-E30))</f>
        <v/>
      </c>
      <c r="G30" s="802"/>
      <c r="H30" s="756" t="str">
        <f t="shared" si="5"/>
        <v/>
      </c>
      <c r="I30" s="439"/>
      <c r="J30" s="803">
        <f t="shared" si="0"/>
        <v>3</v>
      </c>
      <c r="K30" s="803"/>
      <c r="L30" s="440" t="s">
        <v>1149</v>
      </c>
      <c r="M30" s="440"/>
      <c r="N30" s="804">
        <v>5.96</v>
      </c>
      <c r="O30" s="804"/>
      <c r="P30" s="441"/>
      <c r="Q30" s="404"/>
      <c r="R30" s="404"/>
      <c r="S30" s="404"/>
      <c r="T30" s="544"/>
      <c r="U30" s="392"/>
      <c r="V30" s="545"/>
      <c r="W30" s="545"/>
      <c r="X30" s="757">
        <f t="shared" si="1"/>
        <v>3</v>
      </c>
      <c r="Y30" s="545"/>
      <c r="Z30" s="545"/>
      <c r="AA30" s="546"/>
      <c r="AB30" s="517"/>
      <c r="AC30" s="537">
        <f t="shared" ref="AC30:AC34" si="7">IF(C30&lt;&gt;"",C30,AC29)</f>
        <v>2</v>
      </c>
      <c r="AD30" s="538">
        <f t="shared" si="6"/>
        <v>0</v>
      </c>
      <c r="AE30" s="539">
        <f t="shared" si="3"/>
        <v>5.96</v>
      </c>
      <c r="AF30" s="517"/>
      <c r="AG30" s="517">
        <f>IF(P30="ja",1,0)</f>
        <v>0</v>
      </c>
      <c r="AH30" s="535"/>
    </row>
    <row r="31" spans="1:34" s="518" customFormat="1" ht="12" customHeight="1">
      <c r="A31" s="542">
        <f t="shared" si="4"/>
        <v>4</v>
      </c>
      <c r="B31" s="543" t="s">
        <v>258</v>
      </c>
      <c r="C31" s="438">
        <v>3</v>
      </c>
      <c r="D31" s="740">
        <v>27.86</v>
      </c>
      <c r="E31" s="725">
        <f>IF(C31="","",SUMPRODUCT(($Y$1:$Y$28211)*($U$1:$U$28211=C31)))</f>
        <v>0</v>
      </c>
      <c r="F31" s="802">
        <f>IF(E31="","",IF(SUMPRODUCT(($AD$1:$AD$28211)*($AC$1:$AC$28211=C31))-E31&lt;verzamelblad!$AG$7,"&lt; " &amp; verzamelblad!$AG$7 &amp; " m², geen VG",SUMPRODUCT(($AD$1:$AD$28211)*($AC$1:$AC$28211=C31))-E31))</f>
        <v>27.86</v>
      </c>
      <c r="G31" s="802"/>
      <c r="H31" s="756">
        <f t="shared" si="5"/>
        <v>0</v>
      </c>
      <c r="I31" s="439"/>
      <c r="J31" s="803">
        <f t="shared" si="0"/>
        <v>4</v>
      </c>
      <c r="K31" s="803"/>
      <c r="L31" s="440" t="s">
        <v>742</v>
      </c>
      <c r="M31" s="440"/>
      <c r="N31" s="804">
        <v>16.53</v>
      </c>
      <c r="O31" s="804"/>
      <c r="P31" s="441"/>
      <c r="Q31" s="404"/>
      <c r="R31" s="404"/>
      <c r="S31" s="404"/>
      <c r="T31" s="544"/>
      <c r="U31" s="392"/>
      <c r="V31" s="545"/>
      <c r="W31" s="545"/>
      <c r="X31" s="757">
        <f t="shared" si="1"/>
        <v>4</v>
      </c>
      <c r="Y31" s="545"/>
      <c r="Z31" s="545"/>
      <c r="AA31" s="546"/>
      <c r="AB31" s="517"/>
      <c r="AC31" s="537">
        <f t="shared" si="7"/>
        <v>3</v>
      </c>
      <c r="AD31" s="538">
        <f t="shared" si="6"/>
        <v>27.86</v>
      </c>
      <c r="AE31" s="539">
        <f t="shared" si="3"/>
        <v>16.53</v>
      </c>
      <c r="AF31" s="517"/>
      <c r="AG31" s="517">
        <f>IF(P31="ja",1,0)</f>
        <v>0</v>
      </c>
      <c r="AH31" s="535"/>
    </row>
    <row r="32" spans="1:34" s="518" customFormat="1" ht="12" customHeight="1">
      <c r="A32" s="542">
        <f t="shared" si="4"/>
        <v>5</v>
      </c>
      <c r="B32" s="543" t="s">
        <v>258</v>
      </c>
      <c r="C32" s="438"/>
      <c r="D32" s="740">
        <v>0</v>
      </c>
      <c r="E32" s="725" t="str">
        <f>IF(C32="","",SUMPRODUCT(($Y$1:$Y$28224)*($U$1:$U$28224=C32)))</f>
        <v/>
      </c>
      <c r="F32" s="802" t="str">
        <f>IF(E32="","",IF(SUMPRODUCT(($AD$1:$AD$28224)*($AC$1:$AC$28224=C32))-E32&lt;verzamelblad!$AG$7,"&lt; " &amp; verzamelblad!$AG$7 &amp; " m², geen VG",SUMPRODUCT(($AD$1:$AD$28224)*($AC$1:$AC$28224=C32))-E32))</f>
        <v/>
      </c>
      <c r="G32" s="802"/>
      <c r="H32" s="756" t="str">
        <f t="shared" si="5"/>
        <v/>
      </c>
      <c r="I32" s="439"/>
      <c r="J32" s="803">
        <f t="shared" si="0"/>
        <v>5</v>
      </c>
      <c r="K32" s="803"/>
      <c r="L32" s="440" t="s">
        <v>1131</v>
      </c>
      <c r="M32" s="440"/>
      <c r="N32" s="804">
        <v>7.47</v>
      </c>
      <c r="O32" s="804"/>
      <c r="P32" s="441"/>
      <c r="Q32" s="404"/>
      <c r="R32" s="404"/>
      <c r="S32" s="404"/>
      <c r="T32" s="544"/>
      <c r="U32" s="392"/>
      <c r="V32" s="545"/>
      <c r="W32" s="545"/>
      <c r="X32" s="757">
        <f t="shared" si="1"/>
        <v>5</v>
      </c>
      <c r="Y32" s="545"/>
      <c r="Z32" s="545"/>
      <c r="AA32" s="546"/>
      <c r="AB32" s="517"/>
      <c r="AC32" s="537">
        <f t="shared" si="7"/>
        <v>3</v>
      </c>
      <c r="AD32" s="538">
        <f t="shared" si="6"/>
        <v>0</v>
      </c>
      <c r="AE32" s="539">
        <f t="shared" si="3"/>
        <v>7.47</v>
      </c>
      <c r="AF32" s="517"/>
      <c r="AG32" s="517">
        <f>IF(P32="ja",1,0)</f>
        <v>0</v>
      </c>
      <c r="AH32" s="535"/>
    </row>
    <row r="33" spans="1:34" s="518" customFormat="1" ht="12" customHeight="1">
      <c r="A33" s="542">
        <f t="shared" si="4"/>
        <v>6</v>
      </c>
      <c r="B33" s="543" t="s">
        <v>258</v>
      </c>
      <c r="C33" s="438"/>
      <c r="D33" s="740">
        <v>0</v>
      </c>
      <c r="E33" s="725" t="str">
        <f>IF(C33="","",SUMPRODUCT(($Y$1:$Y$28223)*($U$1:$U$28223=C33)))</f>
        <v/>
      </c>
      <c r="F33" s="802" t="str">
        <f>IF(E33="","",IF(SUMPRODUCT(($AD$1:$AD$28223)*($AC$1:$AC$28223=C33))-E33&lt;verzamelblad!$AG$7,"&lt; " &amp; verzamelblad!$AG$7 &amp; " m², geen VG",SUMPRODUCT(($AD$1:$AD$28223)*($AC$1:$AC$28223=C33))-E33))</f>
        <v/>
      </c>
      <c r="G33" s="802"/>
      <c r="H33" s="756" t="str">
        <f t="shared" si="5"/>
        <v/>
      </c>
      <c r="I33" s="439"/>
      <c r="J33" s="803">
        <f t="shared" si="0"/>
        <v>6</v>
      </c>
      <c r="K33" s="803"/>
      <c r="L33" s="440" t="s">
        <v>1148</v>
      </c>
      <c r="M33" s="440"/>
      <c r="N33" s="804">
        <v>3.66</v>
      </c>
      <c r="O33" s="804"/>
      <c r="P33" s="441"/>
      <c r="Q33" s="404"/>
      <c r="R33" s="404"/>
      <c r="S33" s="404"/>
      <c r="T33" s="544"/>
      <c r="U33" s="392"/>
      <c r="V33" s="545"/>
      <c r="W33" s="545"/>
      <c r="X33" s="757">
        <f t="shared" si="1"/>
        <v>6</v>
      </c>
      <c r="Y33" s="545"/>
      <c r="Z33" s="545"/>
      <c r="AA33" s="546"/>
      <c r="AB33" s="517"/>
      <c r="AC33" s="537">
        <f t="shared" si="7"/>
        <v>3</v>
      </c>
      <c r="AD33" s="538">
        <f t="shared" si="6"/>
        <v>0</v>
      </c>
      <c r="AE33" s="539">
        <f t="shared" si="3"/>
        <v>3.66</v>
      </c>
      <c r="AF33" s="517"/>
      <c r="AG33" s="517">
        <f>IF(P33="ja",1,0)</f>
        <v>0</v>
      </c>
      <c r="AH33" s="535"/>
    </row>
    <row r="34" spans="1:34" s="518" customFormat="1" ht="12" customHeight="1">
      <c r="A34" s="542">
        <f t="shared" si="4"/>
        <v>7</v>
      </c>
      <c r="B34" s="543" t="s">
        <v>258</v>
      </c>
      <c r="C34" s="438">
        <v>4</v>
      </c>
      <c r="D34" s="740">
        <v>9.32</v>
      </c>
      <c r="E34" s="725">
        <f>IF(C34="","",SUMPRODUCT(($Y$1:$Y$28222)*($U$1:$U$28222=C34)))</f>
        <v>0</v>
      </c>
      <c r="F34" s="802">
        <f>IF(E34="","",IF(SUMPRODUCT(($AD$1:$AD$28222)*($AC$1:$AC$28222=C34))-E34&lt;verzamelblad!$AG$7,"&lt; " &amp; verzamelblad!$AG$7 &amp; " m², geen VG",SUMPRODUCT(($AD$1:$AD$28222)*($AC$1:$AC$28222=C34))-E34))</f>
        <v>9.32</v>
      </c>
      <c r="G34" s="802"/>
      <c r="H34" s="756">
        <f t="shared" si="5"/>
        <v>0</v>
      </c>
      <c r="I34" s="439"/>
      <c r="J34" s="803">
        <f t="shared" si="0"/>
        <v>7</v>
      </c>
      <c r="K34" s="803"/>
      <c r="L34" s="440" t="s">
        <v>1132</v>
      </c>
      <c r="M34" s="440"/>
      <c r="N34" s="804">
        <v>9.3000000000000007</v>
      </c>
      <c r="O34" s="804"/>
      <c r="P34" s="441"/>
      <c r="Q34" s="404"/>
      <c r="R34" s="404"/>
      <c r="S34" s="404"/>
      <c r="T34" s="544"/>
      <c r="U34" s="392"/>
      <c r="V34" s="545"/>
      <c r="W34" s="545"/>
      <c r="X34" s="757">
        <f t="shared" si="1"/>
        <v>7</v>
      </c>
      <c r="Y34" s="545"/>
      <c r="Z34" s="545"/>
      <c r="AA34" s="546"/>
      <c r="AB34" s="517"/>
      <c r="AC34" s="537">
        <f t="shared" si="7"/>
        <v>4</v>
      </c>
      <c r="AD34" s="538">
        <f t="shared" si="6"/>
        <v>9.32</v>
      </c>
      <c r="AE34" s="539">
        <f t="shared" si="3"/>
        <v>9.3000000000000007</v>
      </c>
      <c r="AF34" s="517"/>
      <c r="AG34" s="517">
        <f>IF(P34="ja",1,0)</f>
        <v>0</v>
      </c>
      <c r="AH34" s="535"/>
    </row>
    <row r="35" spans="1:34" ht="12" customHeight="1">
      <c r="A35" s="492"/>
      <c r="B35" s="492"/>
      <c r="C35" s="442"/>
      <c r="D35" s="443"/>
      <c r="E35" s="443"/>
      <c r="F35" s="443"/>
      <c r="G35" s="444"/>
      <c r="H35" s="444"/>
      <c r="I35" s="444"/>
      <c r="J35" s="444"/>
      <c r="K35" s="445"/>
      <c r="L35" s="445"/>
      <c r="M35" s="445"/>
      <c r="N35" s="445"/>
      <c r="O35" s="445"/>
      <c r="P35" s="445"/>
      <c r="Q35" s="547"/>
      <c r="R35" s="516"/>
      <c r="S35" s="515"/>
      <c r="T35" s="532"/>
      <c r="U35" s="507"/>
      <c r="V35" s="508"/>
      <c r="W35" s="508"/>
      <c r="X35" s="508"/>
      <c r="Y35" s="508"/>
      <c r="Z35" s="508"/>
      <c r="AA35" s="508"/>
      <c r="AB35" s="508"/>
      <c r="AC35" s="524"/>
      <c r="AD35" s="508"/>
      <c r="AE35" s="517"/>
      <c r="AF35" s="508"/>
      <c r="AG35" s="508"/>
    </row>
    <row r="36" spans="1:34" ht="12" customHeight="1">
      <c r="A36" s="492"/>
      <c r="B36" s="492"/>
      <c r="C36" s="446" t="s">
        <v>16</v>
      </c>
      <c r="D36" s="728">
        <f>SUM(D24:D35)</f>
        <v>88.03</v>
      </c>
      <c r="E36" s="447"/>
      <c r="F36" s="808">
        <f>SUM(F24:F35)</f>
        <v>88.03</v>
      </c>
      <c r="G36" s="808"/>
      <c r="H36" s="448"/>
      <c r="I36" s="448"/>
      <c r="J36" s="728"/>
      <c r="K36" s="449"/>
      <c r="L36" s="450"/>
      <c r="M36" s="404"/>
      <c r="N36" s="728">
        <f>SUM(N24:N35)</f>
        <v>86.469999999999985</v>
      </c>
      <c r="O36" s="451"/>
      <c r="P36" s="452"/>
      <c r="Q36" s="452"/>
      <c r="R36" s="516"/>
      <c r="S36" s="515"/>
      <c r="T36" s="532"/>
      <c r="U36" s="507"/>
      <c r="V36" s="508"/>
      <c r="W36" s="508"/>
      <c r="X36" s="508"/>
      <c r="Y36" s="508"/>
      <c r="Z36" s="508"/>
      <c r="AA36" s="508"/>
      <c r="AB36" s="508"/>
      <c r="AC36" s="524"/>
      <c r="AD36" s="508"/>
      <c r="AE36" s="517"/>
      <c r="AF36" s="508"/>
      <c r="AG36" s="508"/>
      <c r="AH36" s="508"/>
    </row>
    <row r="37" spans="1:34" ht="12" customHeight="1">
      <c r="A37" s="492"/>
      <c r="B37" s="492"/>
      <c r="C37" s="453"/>
      <c r="D37" s="454"/>
      <c r="E37" s="454"/>
      <c r="F37" s="454"/>
      <c r="G37" s="455"/>
      <c r="H37" s="455"/>
      <c r="I37" s="455"/>
      <c r="J37" s="455"/>
      <c r="K37" s="456"/>
      <c r="L37" s="456"/>
      <c r="M37" s="456"/>
      <c r="N37" s="456"/>
      <c r="O37" s="456"/>
      <c r="P37" s="456"/>
      <c r="Q37" s="547"/>
      <c r="R37" s="516"/>
      <c r="S37" s="515"/>
      <c r="T37" s="532"/>
      <c r="U37" s="507"/>
      <c r="V37" s="508"/>
      <c r="W37" s="508"/>
      <c r="X37" s="508"/>
      <c r="Y37" s="508"/>
      <c r="Z37" s="508"/>
      <c r="AA37" s="508"/>
      <c r="AB37" s="508"/>
      <c r="AC37" s="524"/>
      <c r="AD37" s="508"/>
      <c r="AE37" s="517"/>
      <c r="AF37" s="508"/>
      <c r="AG37" s="508"/>
    </row>
    <row r="38" spans="1:34" s="518" customFormat="1" ht="15" customHeight="1">
      <c r="A38" s="515"/>
      <c r="B38" s="515"/>
      <c r="C38" s="457" t="s">
        <v>1083</v>
      </c>
      <c r="D38" s="457"/>
      <c r="E38" s="457"/>
      <c r="F38" s="457"/>
      <c r="G38" s="457"/>
      <c r="H38" s="457"/>
      <c r="I38" s="457"/>
      <c r="J38" s="457"/>
      <c r="K38" s="457"/>
      <c r="L38" s="457"/>
      <c r="M38" s="457"/>
      <c r="N38" s="457"/>
      <c r="O38" s="457"/>
      <c r="P38" s="457"/>
      <c r="Q38" s="522"/>
      <c r="R38" s="516"/>
      <c r="S38" s="516"/>
      <c r="T38" s="516"/>
      <c r="U38" s="516"/>
      <c r="V38" s="517"/>
      <c r="W38" s="548"/>
      <c r="X38" s="548"/>
      <c r="Y38" s="548"/>
      <c r="Z38" s="517"/>
      <c r="AA38" s="517"/>
      <c r="AB38" s="517"/>
      <c r="AC38" s="524"/>
      <c r="AD38" s="517"/>
      <c r="AE38" s="517"/>
      <c r="AF38" s="517"/>
      <c r="AG38" s="517"/>
    </row>
    <row r="39" spans="1:34" s="518" customFormat="1" ht="12.75" hidden="1" customHeight="1">
      <c r="A39" s="515"/>
      <c r="B39" s="515"/>
      <c r="C39" s="458"/>
      <c r="D39" s="458"/>
      <c r="E39" s="458"/>
      <c r="F39" s="458"/>
      <c r="G39" s="458"/>
      <c r="H39" s="459"/>
      <c r="I39" s="459"/>
      <c r="J39" s="459"/>
      <c r="K39" s="459"/>
      <c r="L39" s="459"/>
      <c r="M39" s="459"/>
      <c r="N39" s="459"/>
      <c r="O39" s="459"/>
      <c r="P39" s="459"/>
      <c r="Q39" s="522"/>
      <c r="R39" s="516"/>
      <c r="S39" s="516"/>
      <c r="T39" s="516"/>
      <c r="U39" s="516"/>
      <c r="V39" s="548"/>
      <c r="W39" s="548"/>
      <c r="X39" s="548"/>
      <c r="Y39" s="548"/>
      <c r="Z39" s="517"/>
      <c r="AA39" s="517"/>
      <c r="AB39" s="517"/>
      <c r="AC39" s="524"/>
      <c r="AD39" s="517"/>
      <c r="AE39" s="517"/>
      <c r="AF39" s="517"/>
      <c r="AG39" s="517"/>
      <c r="AH39" s="517"/>
    </row>
    <row r="40" spans="1:34" ht="15" customHeight="1">
      <c r="A40" s="492"/>
      <c r="B40" s="492"/>
      <c r="C40" s="736" t="s">
        <v>133</v>
      </c>
      <c r="D40" s="809" t="s">
        <v>134</v>
      </c>
      <c r="E40" s="809"/>
      <c r="F40" s="460" t="s">
        <v>135</v>
      </c>
      <c r="G40" s="460" t="s">
        <v>1101</v>
      </c>
      <c r="H40" s="460" t="s">
        <v>655</v>
      </c>
      <c r="I40" s="460" t="s">
        <v>1094</v>
      </c>
      <c r="J40" s="460" t="s">
        <v>1095</v>
      </c>
      <c r="K40" s="461" t="s">
        <v>1102</v>
      </c>
      <c r="L40" s="460" t="s">
        <v>1103</v>
      </c>
      <c r="M40" s="460" t="s">
        <v>1104</v>
      </c>
      <c r="N40" s="460" t="s">
        <v>1105</v>
      </c>
      <c r="O40" s="460" t="s">
        <v>16</v>
      </c>
      <c r="P40" s="460" t="s">
        <v>662</v>
      </c>
      <c r="Q40" s="507"/>
      <c r="R40" s="507"/>
      <c r="S40" s="507"/>
      <c r="T40" s="507"/>
      <c r="U40" s="507"/>
      <c r="V40" s="508"/>
      <c r="W40" s="508"/>
      <c r="X40" s="508"/>
      <c r="Y40" s="508"/>
      <c r="Z40" s="508"/>
      <c r="AA40" s="508"/>
      <c r="AB40" s="508"/>
      <c r="AC40" s="534"/>
      <c r="AD40" s="508"/>
      <c r="AE40" s="508"/>
      <c r="AF40" s="508"/>
      <c r="AG40" s="508"/>
      <c r="AH40" s="508"/>
    </row>
    <row r="41" spans="1:34" ht="12.75" customHeight="1">
      <c r="A41" s="492"/>
      <c r="B41" s="492"/>
      <c r="C41" s="462"/>
      <c r="D41" s="810"/>
      <c r="E41" s="810"/>
      <c r="F41" s="810"/>
      <c r="G41" s="456"/>
      <c r="H41" s="463"/>
      <c r="I41" s="463"/>
      <c r="J41" s="456"/>
      <c r="K41" s="456"/>
      <c r="L41" s="456"/>
      <c r="M41" s="456"/>
      <c r="N41" s="456"/>
      <c r="O41" s="456"/>
      <c r="P41" s="456"/>
      <c r="Q41" s="507"/>
      <c r="R41" s="507"/>
      <c r="S41" s="507"/>
      <c r="T41" s="507" t="str">
        <f>IF($B41&gt;0,$B41,"")</f>
        <v/>
      </c>
      <c r="U41" s="507"/>
      <c r="V41" s="508"/>
      <c r="W41" s="508"/>
      <c r="X41" s="508"/>
      <c r="Y41" s="508"/>
      <c r="Z41" s="508"/>
      <c r="AA41" s="508"/>
      <c r="AB41" s="508"/>
      <c r="AC41" s="524"/>
      <c r="AD41" s="508"/>
      <c r="AE41" s="517"/>
      <c r="AF41" s="508"/>
      <c r="AG41" s="508"/>
      <c r="AH41" s="508"/>
    </row>
    <row r="42" spans="1:34" s="518" customFormat="1" ht="12" customHeight="1">
      <c r="A42" s="515"/>
      <c r="B42" s="515"/>
      <c r="C42" s="464" t="str">
        <f>L28</f>
        <v>woonkamer / eetkamer</v>
      </c>
      <c r="D42" s="811" t="s">
        <v>1150</v>
      </c>
      <c r="E42" s="811"/>
      <c r="F42" s="657">
        <v>1</v>
      </c>
      <c r="G42" s="465">
        <v>2.4900000000000002</v>
      </c>
      <c r="H42" s="466">
        <v>90</v>
      </c>
      <c r="I42" s="466">
        <v>20</v>
      </c>
      <c r="J42" s="466">
        <v>25</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0.77</v>
      </c>
      <c r="N42" s="469">
        <f>ROUND(F42*G42*L42*M42,2)</f>
        <v>1.92</v>
      </c>
      <c r="O42" s="470"/>
      <c r="P42" s="404"/>
      <c r="Q42" s="525" t="str">
        <f t="shared" ref="Q42:Q46" si="8">IF(G42=0,"verbergen","")</f>
        <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49"/>
      <c r="B43" s="515"/>
      <c r="C43" s="464" t="str">
        <f>L28</f>
        <v>woonkamer / eetkamer</v>
      </c>
      <c r="D43" s="811" t="s">
        <v>1151</v>
      </c>
      <c r="E43" s="811"/>
      <c r="F43" s="657">
        <v>2</v>
      </c>
      <c r="G43" s="465">
        <v>0.89</v>
      </c>
      <c r="H43" s="466">
        <v>90</v>
      </c>
      <c r="I43" s="466">
        <v>31</v>
      </c>
      <c r="J43" s="466">
        <v>30</v>
      </c>
      <c r="K43" s="467" t="s">
        <v>737</v>
      </c>
      <c r="L43" s="467">
        <v>1</v>
      </c>
      <c r="M43" s="468">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0.67</v>
      </c>
      <c r="N43" s="469">
        <f>ROUND(F43*G43*L43*M43,2)</f>
        <v>1.19</v>
      </c>
      <c r="O43" s="470"/>
      <c r="P43" s="471"/>
      <c r="Q43" s="525" t="str">
        <f t="shared" si="8"/>
        <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20"/>
      <c r="B44" s="515"/>
      <c r="C44" s="464" t="str">
        <f>L28</f>
        <v>woonkamer / eetkamer</v>
      </c>
      <c r="D44" s="811" t="s">
        <v>1152</v>
      </c>
      <c r="E44" s="811"/>
      <c r="F44" s="657">
        <v>2</v>
      </c>
      <c r="G44" s="465">
        <v>0.89</v>
      </c>
      <c r="H44" s="466">
        <v>90</v>
      </c>
      <c r="I44" s="466">
        <v>31</v>
      </c>
      <c r="J44" s="466">
        <v>30</v>
      </c>
      <c r="K44" s="467" t="s">
        <v>737</v>
      </c>
      <c r="L44" s="467">
        <v>1</v>
      </c>
      <c r="M44" s="468">
        <f>IF(H44&gt;80,(IF(J44&gt;75,0,IF(I44&gt;80,0,INDEX(verzamelblad!$A$81:$BK$158, MATCH((CEILING(IF(J44&gt;=75,75,J44),1)),verzamelblad!$A$81:$A$158,), MATCH((CEILING(IF(I44&lt;=20,20,IF(I44&gt;=80,80,I44)),1)),verzamelblad!$A$81:$BK$81,))))),IF(I44&gt;75,0,INDEX(verzamelblad!$A$164:$BM$245, MATCH((CEILING(IF(H44&gt;=80,80,H44),1)),verzamelblad!$A$164:$A$245,), MATCH((CEILING(IF(I44&lt;=1,1,IF(I44&gt;=75,75,I44)),1)),verzamelblad!$A$164:$BM$164,))))</f>
        <v>0.67</v>
      </c>
      <c r="N44" s="469">
        <f>ROUND(F44*G44*L44*M44,2)</f>
        <v>1.19</v>
      </c>
      <c r="O44" s="470"/>
      <c r="P44" s="471"/>
      <c r="Q44" s="525" t="str">
        <f t="shared" si="8"/>
        <v/>
      </c>
      <c r="R44" s="516"/>
      <c r="S44" s="516"/>
      <c r="T44" s="507"/>
      <c r="U44" s="507">
        <v>1</v>
      </c>
      <c r="V44" s="508"/>
      <c r="W44" s="508"/>
      <c r="X44" s="508"/>
      <c r="Y44" s="508"/>
      <c r="Z44" s="508"/>
      <c r="AA44" s="508"/>
      <c r="AB44" s="508"/>
      <c r="AC44" s="524"/>
      <c r="AD44" s="517"/>
      <c r="AE44" s="517"/>
      <c r="AF44" s="517"/>
      <c r="AG44" s="517"/>
      <c r="AH44" s="517"/>
    </row>
    <row r="45" spans="1:34" s="518" customFormat="1" ht="12" customHeight="1">
      <c r="A45" s="520"/>
      <c r="B45" s="515"/>
      <c r="C45" s="464" t="s">
        <v>252</v>
      </c>
      <c r="D45" s="811" t="s">
        <v>251</v>
      </c>
      <c r="E45" s="811"/>
      <c r="F45" s="657">
        <v>1</v>
      </c>
      <c r="G45" s="465">
        <v>0</v>
      </c>
      <c r="H45" s="466">
        <v>90</v>
      </c>
      <c r="I45" s="466">
        <v>20</v>
      </c>
      <c r="J45" s="466">
        <v>0</v>
      </c>
      <c r="K45" s="467" t="s">
        <v>737</v>
      </c>
      <c r="L45" s="467">
        <v>1</v>
      </c>
      <c r="M45" s="468">
        <f>IF(H45&gt;80,(IF(J45&gt;75,0,IF(I45&gt;80,0,INDEX(verzamelblad!$A$81:$BK$158, MATCH((CEILING(IF(J45&gt;=75,75,J45),1)),verzamelblad!$A$81:$A$158,), MATCH((CEILING(IF(I45&lt;=20,20,IF(I45&gt;=80,80,I45)),1)),verzamelblad!$A$81:$BK$81,))))),IF(I45&gt;75,0,INDEX(verzamelblad!$A$164:$BM$245, MATCH((CEILING(IF(H45&gt;=80,80,H45),1)),verzamelblad!$A$164:$A$245,), MATCH((CEILING(IF(I45&lt;=1,1,IF(I45&gt;=75,75,I45)),1)),verzamelblad!$A$164:$BM$164,))))</f>
        <v>0.8</v>
      </c>
      <c r="N45" s="469">
        <f>ROUND(F45*G45*L45*M45,2)</f>
        <v>0</v>
      </c>
      <c r="O45" s="470"/>
      <c r="P45" s="471"/>
      <c r="Q45" s="525" t="str">
        <f t="shared" si="8"/>
        <v>verbergen</v>
      </c>
      <c r="R45" s="516"/>
      <c r="S45" s="516"/>
      <c r="T45" s="507"/>
      <c r="U45" s="507">
        <v>1</v>
      </c>
      <c r="V45" s="508"/>
      <c r="W45" s="508"/>
      <c r="X45" s="508"/>
      <c r="Y45" s="508"/>
      <c r="Z45" s="508"/>
      <c r="AA45" s="508"/>
      <c r="AB45" s="508"/>
      <c r="AC45" s="524"/>
      <c r="AD45" s="517"/>
      <c r="AE45" s="517"/>
      <c r="AF45" s="517"/>
      <c r="AG45" s="517"/>
      <c r="AH45" s="517"/>
    </row>
    <row r="46" spans="1:34" s="518" customFormat="1" ht="12" customHeight="1">
      <c r="A46" s="550"/>
      <c r="B46" s="551"/>
      <c r="C46" s="472" t="s">
        <v>252</v>
      </c>
      <c r="D46" s="812" t="s">
        <v>251</v>
      </c>
      <c r="E46" s="812"/>
      <c r="F46" s="727">
        <v>1</v>
      </c>
      <c r="G46" s="473">
        <v>0</v>
      </c>
      <c r="H46" s="474">
        <v>90</v>
      </c>
      <c r="I46" s="474">
        <v>20</v>
      </c>
      <c r="J46" s="474">
        <v>0</v>
      </c>
      <c r="K46" s="475" t="s">
        <v>737</v>
      </c>
      <c r="L46" s="475">
        <v>1</v>
      </c>
      <c r="M46" s="476">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77">
        <f>ROUND(F46*G46*L46*M46,2)</f>
        <v>0</v>
      </c>
      <c r="O46" s="478"/>
      <c r="P46" s="479"/>
      <c r="Q46" s="525" t="str">
        <f t="shared" si="8"/>
        <v>verbergen</v>
      </c>
      <c r="R46" s="516"/>
      <c r="S46" s="516"/>
      <c r="T46" s="507"/>
      <c r="U46" s="507">
        <v>1</v>
      </c>
      <c r="V46" s="508"/>
      <c r="W46" s="508"/>
      <c r="X46" s="508"/>
      <c r="Y46" s="508"/>
      <c r="Z46" s="508"/>
      <c r="AA46" s="508"/>
      <c r="AB46" s="508"/>
      <c r="AC46" s="524"/>
      <c r="AD46" s="517"/>
      <c r="AE46" s="517"/>
      <c r="AF46" s="517"/>
      <c r="AG46" s="517"/>
      <c r="AH46" s="517"/>
    </row>
    <row r="47" spans="1:34" s="518" customFormat="1" ht="12" customHeight="1">
      <c r="A47" s="552"/>
      <c r="B47" s="553">
        <v>1</v>
      </c>
      <c r="C47" s="480">
        <f>B47</f>
        <v>1</v>
      </c>
      <c r="D47" s="481">
        <f>IF(O47&gt;P47,P47*10,O47*10)</f>
        <v>28.450000000000003</v>
      </c>
      <c r="E47" s="813" t="str">
        <f>IF(O47&lt;P47,(P47*10)-(O47*10),"(voldoet)")</f>
        <v>(voldoet)</v>
      </c>
      <c r="F47" s="813"/>
      <c r="G47" s="813"/>
      <c r="H47" s="482"/>
      <c r="I47" s="482"/>
      <c r="J47" s="483"/>
      <c r="K47" s="484"/>
      <c r="L47" s="485"/>
      <c r="M47" s="485"/>
      <c r="N47" s="485"/>
      <c r="O47" s="486">
        <f>SUM(N42:N47)</f>
        <v>4.3</v>
      </c>
      <c r="P47" s="486">
        <f>SUMPRODUCT(($AD$1:$AD$28204)*($AC$1:$AC$28204=B47))*verzamelblad!$Y$7/100</f>
        <v>2.8450000000000002</v>
      </c>
      <c r="Q47" s="554"/>
      <c r="R47" s="554"/>
      <c r="S47" s="554"/>
      <c r="T47" s="554"/>
      <c r="U47" s="507">
        <v>1</v>
      </c>
      <c r="V47" s="508"/>
      <c r="W47" s="508"/>
      <c r="X47" s="508"/>
      <c r="Y47" s="555">
        <f>IF(E47="(voldoet)",0,IF(E47="(voldoet niet)",D47,E47))</f>
        <v>0</v>
      </c>
      <c r="Z47" s="508"/>
      <c r="AA47" s="508"/>
      <c r="AB47" s="508"/>
      <c r="AC47" s="517"/>
      <c r="AD47" s="517"/>
      <c r="AE47" s="508"/>
      <c r="AF47" s="517"/>
      <c r="AG47" s="517"/>
      <c r="AH47" s="517"/>
    </row>
    <row r="48" spans="1:34" ht="12" customHeight="1">
      <c r="A48" s="492"/>
      <c r="B48" s="492"/>
      <c r="C48" s="487"/>
      <c r="D48" s="487"/>
      <c r="E48" s="487"/>
      <c r="F48" s="463"/>
      <c r="G48" s="463"/>
      <c r="H48" s="456"/>
      <c r="I48" s="456"/>
      <c r="J48" s="456"/>
      <c r="K48" s="456"/>
      <c r="L48" s="456"/>
      <c r="M48" s="456"/>
      <c r="N48" s="456"/>
      <c r="O48" s="488"/>
      <c r="P48" s="489"/>
      <c r="Q48" s="507"/>
      <c r="R48" s="507"/>
      <c r="S48" s="507"/>
      <c r="T48" s="507"/>
      <c r="U48" s="507">
        <v>1</v>
      </c>
      <c r="V48" s="508"/>
      <c r="W48" s="508"/>
      <c r="X48" s="508"/>
      <c r="Y48" s="508"/>
      <c r="Z48" s="508"/>
      <c r="AA48" s="508"/>
      <c r="AB48" s="508"/>
      <c r="AC48" s="524"/>
      <c r="AD48" s="508"/>
      <c r="AE48" s="508"/>
      <c r="AF48" s="508"/>
      <c r="AG48" s="508"/>
      <c r="AH48" s="508"/>
    </row>
    <row r="49" spans="1:34" s="541" customFormat="1" ht="12" customHeight="1">
      <c r="A49" s="543"/>
      <c r="B49" s="543"/>
      <c r="C49" s="464" t="str">
        <f>L29</f>
        <v>keuken</v>
      </c>
      <c r="D49" s="811" t="s">
        <v>1153</v>
      </c>
      <c r="E49" s="811"/>
      <c r="F49" s="657">
        <v>1</v>
      </c>
      <c r="G49" s="465">
        <v>4.95</v>
      </c>
      <c r="H49" s="466">
        <v>90</v>
      </c>
      <c r="I49" s="466">
        <v>20</v>
      </c>
      <c r="J49" s="466">
        <v>66</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0.39</v>
      </c>
      <c r="N49" s="469">
        <f>ROUND(F49*G49*L49*M49,2)</f>
        <v>1.93</v>
      </c>
      <c r="O49" s="470"/>
      <c r="P49" s="404"/>
      <c r="Q49" s="729" t="str">
        <f>IF(G49=0,"verbergen","")</f>
        <v/>
      </c>
      <c r="R49" s="404"/>
      <c r="S49" s="404"/>
      <c r="T49" s="392"/>
      <c r="U49" s="547">
        <f>U48+1</f>
        <v>2</v>
      </c>
      <c r="V49" s="547"/>
      <c r="W49" s="547"/>
      <c r="X49" s="547"/>
      <c r="Y49" s="547"/>
      <c r="Z49" s="547"/>
      <c r="AA49" s="404"/>
      <c r="AB49" s="507"/>
      <c r="AC49" s="516"/>
      <c r="AD49" s="516"/>
      <c r="AE49" s="516"/>
      <c r="AF49" s="507"/>
      <c r="AG49" s="516"/>
      <c r="AH49" s="516"/>
    </row>
    <row r="50" spans="1:34" s="541" customFormat="1" ht="12" customHeight="1">
      <c r="A50" s="543"/>
      <c r="B50" s="543"/>
      <c r="C50" s="464" t="str">
        <f>L29</f>
        <v>keuken</v>
      </c>
      <c r="D50" s="811" t="s">
        <v>1154</v>
      </c>
      <c r="E50" s="811"/>
      <c r="F50" s="657">
        <v>1</v>
      </c>
      <c r="G50" s="465">
        <v>1.01</v>
      </c>
      <c r="H50" s="466">
        <v>90</v>
      </c>
      <c r="I50" s="466">
        <v>20</v>
      </c>
      <c r="J50" s="466">
        <v>39</v>
      </c>
      <c r="K50" s="467" t="s">
        <v>737</v>
      </c>
      <c r="L50" s="467">
        <v>1</v>
      </c>
      <c r="M50" s="468">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0.71</v>
      </c>
      <c r="N50" s="469">
        <f>ROUND(F50*G50*L50*M50,2)</f>
        <v>0.72</v>
      </c>
      <c r="O50" s="470"/>
      <c r="P50" s="471"/>
      <c r="Q50" s="729" t="str">
        <f>IF(G50=0,"verbergen","")</f>
        <v/>
      </c>
      <c r="R50" s="404"/>
      <c r="S50" s="404"/>
      <c r="T50" s="392"/>
      <c r="U50" s="547">
        <f t="shared" ref="U50:U55" si="9">U49</f>
        <v>2</v>
      </c>
      <c r="V50" s="547"/>
      <c r="W50" s="547"/>
      <c r="X50" s="547"/>
      <c r="Y50" s="547"/>
      <c r="Z50" s="547"/>
      <c r="AA50" s="404"/>
      <c r="AB50" s="507"/>
      <c r="AC50" s="516"/>
      <c r="AD50" s="516"/>
      <c r="AE50" s="516"/>
      <c r="AF50" s="507"/>
      <c r="AG50" s="516"/>
      <c r="AH50" s="516"/>
    </row>
    <row r="51" spans="1:34" s="541" customFormat="1" ht="12" customHeight="1">
      <c r="A51" s="543"/>
      <c r="B51" s="543"/>
      <c r="C51" s="464" t="str">
        <f>L30</f>
        <v>bijkeuken</v>
      </c>
      <c r="D51" s="811" t="s">
        <v>1152</v>
      </c>
      <c r="E51" s="811"/>
      <c r="F51" s="657">
        <v>2</v>
      </c>
      <c r="G51" s="465">
        <v>0.89</v>
      </c>
      <c r="H51" s="466">
        <v>90</v>
      </c>
      <c r="I51" s="466">
        <v>31</v>
      </c>
      <c r="J51" s="466">
        <v>30</v>
      </c>
      <c r="K51" s="467" t="s">
        <v>737</v>
      </c>
      <c r="L51" s="467">
        <v>1</v>
      </c>
      <c r="M51" s="468">
        <f>IF(H51&gt;80,(IF(J51&gt;75,0,IF(I51&gt;80,0,INDEX(verzamelblad!$A$81:$BK$158, MATCH((CEILING(IF(J51&gt;=75,75,J51),1)),verzamelblad!$A$81:$A$158,), MATCH((CEILING(IF(I51&lt;=20,20,IF(I51&gt;=80,80,I51)),1)),verzamelblad!$A$81:$BK$81,))))),IF(I51&gt;75,0,INDEX(verzamelblad!$A$164:$BM$245, MATCH((CEILING(IF(H51&gt;=80,80,H51),1)),verzamelblad!$A$164:$A$245,), MATCH((CEILING(IF(I51&lt;=1,1,IF(I51&gt;=75,75,I51)),1)),verzamelblad!$A$164:$BM$164,))))</f>
        <v>0.67</v>
      </c>
      <c r="N51" s="469">
        <f>ROUND(F51*G51*L51*M51,2)</f>
        <v>1.19</v>
      </c>
      <c r="O51" s="470"/>
      <c r="P51" s="471"/>
      <c r="Q51" s="729" t="str">
        <f>IF(G51=0,"verbergen","")</f>
        <v/>
      </c>
      <c r="R51" s="404"/>
      <c r="S51" s="404"/>
      <c r="T51" s="392"/>
      <c r="U51" s="547">
        <f t="shared" si="9"/>
        <v>2</v>
      </c>
      <c r="V51" s="547"/>
      <c r="W51" s="547"/>
      <c r="X51" s="547"/>
      <c r="Y51" s="547"/>
      <c r="Z51" s="547"/>
      <c r="AA51" s="404"/>
      <c r="AB51" s="507"/>
      <c r="AC51" s="516"/>
      <c r="AD51" s="516"/>
      <c r="AE51" s="516"/>
      <c r="AF51" s="507"/>
      <c r="AG51" s="516"/>
      <c r="AH51" s="516"/>
    </row>
    <row r="52" spans="1:34" s="541" customFormat="1" ht="12" customHeight="1">
      <c r="A52" s="543"/>
      <c r="B52" s="543"/>
      <c r="C52" s="464" t="s">
        <v>252</v>
      </c>
      <c r="D52" s="811" t="s">
        <v>251</v>
      </c>
      <c r="E52" s="811"/>
      <c r="F52" s="657">
        <v>1</v>
      </c>
      <c r="G52" s="465">
        <v>0</v>
      </c>
      <c r="H52" s="466">
        <v>90</v>
      </c>
      <c r="I52" s="466">
        <v>20</v>
      </c>
      <c r="J52" s="466">
        <v>0</v>
      </c>
      <c r="K52" s="467" t="s">
        <v>737</v>
      </c>
      <c r="L52" s="467">
        <v>1</v>
      </c>
      <c r="M52" s="468">
        <f>IF(H52&gt;80,(IF(J52&gt;75,0,IF(I52&gt;80,0,INDEX(verzamelblad!$A$81:$BK$158, MATCH((CEILING(IF(J52&gt;=75,75,J52),1)),verzamelblad!$A$81:$A$158,), MATCH((CEILING(IF(I52&lt;=20,20,IF(I52&gt;=80,80,I52)),1)),verzamelblad!$A$81:$BK$81,))))),IF(I52&gt;75,0,INDEX(verzamelblad!$A$164:$BM$245, MATCH((CEILING(IF(H52&gt;=80,80,H52),1)),verzamelblad!$A$164:$A$245,), MATCH((CEILING(IF(I52&lt;=1,1,IF(I52&gt;=75,75,I52)),1)),verzamelblad!$A$164:$BM$164,))))</f>
        <v>0.8</v>
      </c>
      <c r="N52" s="469">
        <f>ROUND(F52*G52*L52*M52,2)</f>
        <v>0</v>
      </c>
      <c r="O52" s="470"/>
      <c r="P52" s="471"/>
      <c r="Q52" s="729" t="str">
        <f>IF(G52=0,"verbergen","")</f>
        <v>verbergen</v>
      </c>
      <c r="R52" s="404"/>
      <c r="S52" s="404"/>
      <c r="T52" s="392"/>
      <c r="U52" s="547">
        <f t="shared" si="9"/>
        <v>2</v>
      </c>
      <c r="V52" s="547"/>
      <c r="W52" s="547"/>
      <c r="X52" s="547"/>
      <c r="Y52" s="547"/>
      <c r="Z52" s="547"/>
      <c r="AA52" s="404"/>
      <c r="AB52" s="507"/>
      <c r="AC52" s="516"/>
      <c r="AD52" s="516"/>
      <c r="AE52" s="516"/>
      <c r="AF52" s="507"/>
      <c r="AG52" s="516"/>
      <c r="AH52" s="516"/>
    </row>
    <row r="53" spans="1:34" s="541" customFormat="1" ht="12" customHeight="1">
      <c r="A53" s="543"/>
      <c r="B53" s="543"/>
      <c r="C53" s="464" t="s">
        <v>252</v>
      </c>
      <c r="D53" s="812" t="s">
        <v>251</v>
      </c>
      <c r="E53" s="812"/>
      <c r="F53" s="727">
        <v>1</v>
      </c>
      <c r="G53" s="473">
        <v>0</v>
      </c>
      <c r="H53" s="474">
        <v>90</v>
      </c>
      <c r="I53" s="474">
        <v>20</v>
      </c>
      <c r="J53" s="474">
        <v>0</v>
      </c>
      <c r="K53" s="475" t="s">
        <v>737</v>
      </c>
      <c r="L53" s="475">
        <v>1</v>
      </c>
      <c r="M53" s="476">
        <f>IF(H53&gt;80,(IF(J53&gt;75,0,IF(I53&gt;80,0,INDEX(verzamelblad!$A$81:$BK$158, MATCH((CEILING(IF(J53&gt;=75,75,J53),1)),verzamelblad!$A$81:$A$158,), MATCH((CEILING(IF(I53&lt;=20,20,IF(I53&gt;=80,80,I53)),1)),verzamelblad!$A$81:$BK$81,))))),IF(I53&gt;75,0,INDEX(verzamelblad!$A$164:$BM$245, MATCH((CEILING(IF(H53&gt;=80,80,H53),1)),verzamelblad!$A$164:$A$245,), MATCH((CEILING(IF(I53&lt;=1,1,IF(I53&gt;=75,75,I53)),1)),verzamelblad!$A$164:$BM$164,))))</f>
        <v>0.8</v>
      </c>
      <c r="N53" s="477">
        <f>ROUND(F53*G53*L53*M53,2)</f>
        <v>0</v>
      </c>
      <c r="O53" s="478"/>
      <c r="P53" s="479"/>
      <c r="Q53" s="729" t="str">
        <f>IF(G53=0,"verbergen","")</f>
        <v>verbergen</v>
      </c>
      <c r="R53" s="404"/>
      <c r="S53" s="404"/>
      <c r="T53" s="392"/>
      <c r="U53" s="547">
        <f t="shared" si="9"/>
        <v>2</v>
      </c>
      <c r="V53" s="547"/>
      <c r="W53" s="547"/>
      <c r="X53" s="547"/>
      <c r="Y53" s="547"/>
      <c r="Z53" s="547"/>
      <c r="AA53" s="404"/>
      <c r="AB53" s="507"/>
      <c r="AC53" s="516"/>
      <c r="AD53" s="516"/>
      <c r="AE53" s="516"/>
      <c r="AF53" s="507"/>
      <c r="AG53" s="516"/>
      <c r="AH53" s="516"/>
    </row>
    <row r="54" spans="1:34" s="404" customFormat="1" ht="12" customHeight="1">
      <c r="A54" s="542"/>
      <c r="B54" s="556">
        <f>B47+1</f>
        <v>2</v>
      </c>
      <c r="C54" s="480">
        <f>B54</f>
        <v>2</v>
      </c>
      <c r="D54" s="481">
        <f>IF(O54&gt;P54,P54*10,O54*10)</f>
        <v>22.400000000000002</v>
      </c>
      <c r="E54" s="813" t="str">
        <f>IF(O54&lt;P54,(P54*10)-(O54*10),"(voldoet)")</f>
        <v>(voldoet)</v>
      </c>
      <c r="F54" s="813"/>
      <c r="G54" s="813"/>
      <c r="H54" s="482"/>
      <c r="I54" s="482"/>
      <c r="J54" s="483"/>
      <c r="K54" s="484"/>
      <c r="L54" s="485"/>
      <c r="M54" s="485"/>
      <c r="N54" s="485"/>
      <c r="O54" s="486">
        <f>SUM(N49:N54)</f>
        <v>3.84</v>
      </c>
      <c r="P54" s="486">
        <f>SUMPRODUCT(($AD$1:$AD$28194)*($AC$1:$AC$28194=B54))*verzamelblad!$Y$7/100</f>
        <v>2.2400000000000002</v>
      </c>
      <c r="Q54" s="557"/>
      <c r="R54" s="557"/>
      <c r="S54" s="557"/>
      <c r="T54" s="558"/>
      <c r="U54" s="547">
        <f t="shared" si="9"/>
        <v>2</v>
      </c>
      <c r="V54" s="547"/>
      <c r="W54" s="547"/>
      <c r="X54" s="547"/>
      <c r="Y54" s="559">
        <f>IF(E54="(voldoet)",0,IF(E54="(voldoet niet)",D54,E54))</f>
        <v>0</v>
      </c>
      <c r="Z54" s="547"/>
      <c r="AB54" s="547"/>
      <c r="AC54" s="392"/>
      <c r="AD54" s="392"/>
      <c r="AE54" s="392"/>
      <c r="AF54" s="547"/>
      <c r="AG54" s="392"/>
      <c r="AH54" s="392"/>
    </row>
    <row r="55" spans="1:34" s="493" customFormat="1" ht="12" customHeight="1">
      <c r="A55" s="560"/>
      <c r="B55" s="560"/>
      <c r="C55" s="487"/>
      <c r="D55" s="487"/>
      <c r="E55" s="487"/>
      <c r="F55" s="463"/>
      <c r="G55" s="463"/>
      <c r="H55" s="456"/>
      <c r="I55" s="456"/>
      <c r="J55" s="456"/>
      <c r="K55" s="456"/>
      <c r="L55" s="456"/>
      <c r="M55" s="456"/>
      <c r="N55" s="456"/>
      <c r="O55" s="488"/>
      <c r="P55" s="489"/>
      <c r="Q55" s="451"/>
      <c r="R55" s="451"/>
      <c r="S55" s="451"/>
      <c r="T55" s="561"/>
      <c r="U55" s="547">
        <f t="shared" si="9"/>
        <v>2</v>
      </c>
      <c r="V55" s="547"/>
      <c r="W55" s="547"/>
      <c r="X55" s="547"/>
      <c r="Y55" s="547"/>
      <c r="Z55" s="547"/>
      <c r="AA55" s="451"/>
      <c r="AB55" s="507"/>
      <c r="AC55" s="507"/>
      <c r="AD55" s="507"/>
      <c r="AE55" s="507"/>
      <c r="AF55" s="507"/>
      <c r="AG55" s="507"/>
      <c r="AH55" s="507"/>
    </row>
    <row r="56" spans="1:34" s="541" customFormat="1" ht="12" customHeight="1">
      <c r="A56" s="543"/>
      <c r="B56" s="543"/>
      <c r="C56" s="464" t="str">
        <f>L31</f>
        <v>slaapkamer 1</v>
      </c>
      <c r="D56" s="811" t="s">
        <v>1155</v>
      </c>
      <c r="E56" s="811"/>
      <c r="F56" s="657">
        <v>1</v>
      </c>
      <c r="G56" s="465">
        <v>1.39</v>
      </c>
      <c r="H56" s="466">
        <v>90</v>
      </c>
      <c r="I56" s="466">
        <v>20</v>
      </c>
      <c r="J56" s="466">
        <v>33</v>
      </c>
      <c r="K56" s="467" t="s">
        <v>737</v>
      </c>
      <c r="L56" s="467">
        <v>1</v>
      </c>
      <c r="M56" s="468">
        <f>IF(H56&gt;80,(IF(J56&gt;75,0,IF(I56&gt;80,0,INDEX(verzamelblad!$A$81:$BK$158, MATCH((CEILING(IF(J56&gt;=75,75,J56),1)),verzamelblad!$A$81:$A$158,), MATCH((CEILING(IF(I56&lt;=20,20,IF(I56&gt;=80,80,I56)),1)),verzamelblad!$A$81:$BK$81,))))),IF(I56&gt;75,0,INDEX(verzamelblad!$A$164:$BM$245, MATCH((CEILING(IF(H56&gt;=80,80,H56),1)),verzamelblad!$A$164:$A$245,), MATCH((CEILING(IF(I56&lt;=1,1,IF(I56&gt;=75,75,I56)),1)),verzamelblad!$A$164:$BM$164,))))</f>
        <v>0.74</v>
      </c>
      <c r="N56" s="469">
        <f>ROUND(F56*G56*L56*M56,2)</f>
        <v>1.03</v>
      </c>
      <c r="O56" s="470"/>
      <c r="P56" s="404"/>
      <c r="Q56" s="729" t="str">
        <f>IF(G56=0,"verbergen","")</f>
        <v/>
      </c>
      <c r="R56" s="404"/>
      <c r="S56" s="404"/>
      <c r="T56" s="392"/>
      <c r="U56" s="547">
        <f>U55+1</f>
        <v>3</v>
      </c>
      <c r="V56" s="547"/>
      <c r="W56" s="547"/>
      <c r="X56" s="547"/>
      <c r="Y56" s="547"/>
      <c r="Z56" s="547"/>
      <c r="AA56" s="404"/>
      <c r="AB56" s="507"/>
      <c r="AC56" s="516"/>
      <c r="AD56" s="516"/>
      <c r="AE56" s="516"/>
      <c r="AF56" s="507"/>
      <c r="AG56" s="516"/>
      <c r="AH56" s="516"/>
    </row>
    <row r="57" spans="1:34" s="541" customFormat="1" ht="12" customHeight="1">
      <c r="A57" s="543"/>
      <c r="B57" s="543"/>
      <c r="C57" s="464" t="str">
        <f>L32</f>
        <v>slaapkamer 2</v>
      </c>
      <c r="D57" s="811" t="s">
        <v>1156</v>
      </c>
      <c r="E57" s="811"/>
      <c r="F57" s="657">
        <v>1</v>
      </c>
      <c r="G57" s="465">
        <v>1.36</v>
      </c>
      <c r="H57" s="466">
        <v>90</v>
      </c>
      <c r="I57" s="466">
        <v>20</v>
      </c>
      <c r="J57" s="466">
        <v>33</v>
      </c>
      <c r="K57" s="467" t="s">
        <v>737</v>
      </c>
      <c r="L57" s="467">
        <v>1</v>
      </c>
      <c r="M57" s="468">
        <f>IF(H57&gt;80,(IF(J57&gt;75,0,IF(I57&gt;80,0,INDEX(verzamelblad!$A$81:$BK$158, MATCH((CEILING(IF(J57&gt;=75,75,J57),1)),verzamelblad!$A$81:$A$158,), MATCH((CEILING(IF(I57&lt;=20,20,IF(I57&gt;=80,80,I57)),1)),verzamelblad!$A$81:$BK$81,))))),IF(I57&gt;75,0,INDEX(verzamelblad!$A$164:$BM$245, MATCH((CEILING(IF(H57&gt;=80,80,H57),1)),verzamelblad!$A$164:$A$245,), MATCH((CEILING(IF(I57&lt;=1,1,IF(I57&gt;=75,75,I57)),1)),verzamelblad!$A$164:$BM$164,))))</f>
        <v>0.74</v>
      </c>
      <c r="N57" s="469">
        <f>ROUND(F57*G57*L57*M57,2)</f>
        <v>1.01</v>
      </c>
      <c r="O57" s="470"/>
      <c r="P57" s="471"/>
      <c r="Q57" s="729" t="str">
        <f>IF(G57=0,"verbergen","")</f>
        <v/>
      </c>
      <c r="R57" s="404"/>
      <c r="S57" s="404"/>
      <c r="T57" s="392"/>
      <c r="U57" s="547">
        <f t="shared" ref="U57:U62" si="10">U56</f>
        <v>3</v>
      </c>
      <c r="V57" s="547"/>
      <c r="W57" s="547"/>
      <c r="X57" s="547"/>
      <c r="Y57" s="547"/>
      <c r="Z57" s="547"/>
      <c r="AA57" s="404"/>
      <c r="AB57" s="507"/>
      <c r="AC57" s="516"/>
      <c r="AD57" s="516"/>
      <c r="AE57" s="516"/>
      <c r="AF57" s="507"/>
      <c r="AG57" s="516"/>
      <c r="AH57" s="516"/>
    </row>
    <row r="58" spans="1:34" s="541" customFormat="1" ht="12" customHeight="1">
      <c r="A58" s="543"/>
      <c r="B58" s="543"/>
      <c r="C58" s="464" t="str">
        <f>L33</f>
        <v>studeerkamer</v>
      </c>
      <c r="D58" s="811" t="s">
        <v>1157</v>
      </c>
      <c r="E58" s="811"/>
      <c r="F58" s="657">
        <v>1</v>
      </c>
      <c r="G58" s="465">
        <v>1.59</v>
      </c>
      <c r="H58" s="466">
        <v>90</v>
      </c>
      <c r="I58" s="466">
        <v>20</v>
      </c>
      <c r="J58" s="466">
        <v>39</v>
      </c>
      <c r="K58" s="467" t="s">
        <v>737</v>
      </c>
      <c r="L58" s="467">
        <v>1</v>
      </c>
      <c r="M58" s="468">
        <f>IF(H58&gt;80,(IF(J58&gt;75,0,IF(I58&gt;80,0,INDEX(verzamelblad!$A$81:$BK$158, MATCH((CEILING(IF(J58&gt;=75,75,J58),1)),verzamelblad!$A$81:$A$158,), MATCH((CEILING(IF(I58&lt;=20,20,IF(I58&gt;=80,80,I58)),1)),verzamelblad!$A$81:$BK$81,))))),IF(I58&gt;75,0,INDEX(verzamelblad!$A$164:$BM$245, MATCH((CEILING(IF(H58&gt;=80,80,H58),1)),verzamelblad!$A$164:$A$245,), MATCH((CEILING(IF(I58&lt;=1,1,IF(I58&gt;=75,75,I58)),1)),verzamelblad!$A$164:$BM$164,))))</f>
        <v>0.71</v>
      </c>
      <c r="N58" s="469">
        <f>ROUND(F58*G58*L58*M58,2)</f>
        <v>1.1299999999999999</v>
      </c>
      <c r="O58" s="470"/>
      <c r="P58" s="471"/>
      <c r="Q58" s="729" t="str">
        <f>IF(G58=0,"verbergen","")</f>
        <v/>
      </c>
      <c r="R58" s="404"/>
      <c r="S58" s="404"/>
      <c r="T58" s="392"/>
      <c r="U58" s="547">
        <f t="shared" si="10"/>
        <v>3</v>
      </c>
      <c r="V58" s="547"/>
      <c r="W58" s="547"/>
      <c r="X58" s="547"/>
      <c r="Y58" s="547"/>
      <c r="Z58" s="547"/>
      <c r="AA58" s="404"/>
      <c r="AB58" s="507"/>
      <c r="AC58" s="516"/>
      <c r="AD58" s="516"/>
      <c r="AE58" s="516"/>
      <c r="AF58" s="507"/>
      <c r="AG58" s="516"/>
      <c r="AH58" s="516"/>
    </row>
    <row r="59" spans="1:34" s="541" customFormat="1" ht="12" customHeight="1">
      <c r="A59" s="543"/>
      <c r="B59" s="543"/>
      <c r="C59" s="464" t="str">
        <f>L34</f>
        <v>slaapkamer 3</v>
      </c>
      <c r="D59" s="811" t="s">
        <v>1155</v>
      </c>
      <c r="E59" s="811"/>
      <c r="F59" s="657">
        <v>1</v>
      </c>
      <c r="G59" s="465">
        <v>1.39</v>
      </c>
      <c r="H59" s="466">
        <v>90</v>
      </c>
      <c r="I59" s="466">
        <v>20</v>
      </c>
      <c r="J59" s="466">
        <v>33</v>
      </c>
      <c r="K59" s="467" t="s">
        <v>737</v>
      </c>
      <c r="L59" s="467">
        <v>1</v>
      </c>
      <c r="M59" s="468">
        <f>IF(H59&gt;80,(IF(J59&gt;75,0,IF(I59&gt;80,0,INDEX(verzamelblad!$A$81:$BK$158, MATCH((CEILING(IF(J59&gt;=75,75,J59),1)),verzamelblad!$A$81:$A$158,), MATCH((CEILING(IF(I59&lt;=20,20,IF(I59&gt;=80,80,I59)),1)),verzamelblad!$A$81:$BK$81,))))),IF(I59&gt;75,0,INDEX(verzamelblad!$A$164:$BM$245, MATCH((CEILING(IF(H59&gt;=80,80,H59),1)),verzamelblad!$A$164:$A$245,), MATCH((CEILING(IF(I59&lt;=1,1,IF(I59&gt;=75,75,I59)),1)),verzamelblad!$A$164:$BM$164,))))</f>
        <v>0.74</v>
      </c>
      <c r="N59" s="469">
        <f>ROUND(F59*G59*L59*M59,2)</f>
        <v>1.03</v>
      </c>
      <c r="O59" s="470"/>
      <c r="P59" s="471"/>
      <c r="Q59" s="729" t="str">
        <f>IF(G59=0,"verbergen","")</f>
        <v/>
      </c>
      <c r="R59" s="404"/>
      <c r="S59" s="404"/>
      <c r="T59" s="392"/>
      <c r="U59" s="547">
        <f t="shared" si="10"/>
        <v>3</v>
      </c>
      <c r="V59" s="547"/>
      <c r="W59" s="547"/>
      <c r="X59" s="547"/>
      <c r="Y59" s="547"/>
      <c r="Z59" s="547"/>
      <c r="AA59" s="404"/>
      <c r="AB59" s="507"/>
      <c r="AC59" s="516"/>
      <c r="AD59" s="516"/>
      <c r="AE59" s="516"/>
      <c r="AF59" s="507"/>
      <c r="AG59" s="516"/>
      <c r="AH59" s="516"/>
    </row>
    <row r="60" spans="1:34" s="541" customFormat="1" ht="12" customHeight="1">
      <c r="A60" s="543"/>
      <c r="B60" s="543"/>
      <c r="C60" s="472" t="s">
        <v>252</v>
      </c>
      <c r="D60" s="812" t="s">
        <v>251</v>
      </c>
      <c r="E60" s="812"/>
      <c r="F60" s="727">
        <v>1</v>
      </c>
      <c r="G60" s="473">
        <v>0</v>
      </c>
      <c r="H60" s="474">
        <v>90</v>
      </c>
      <c r="I60" s="474">
        <v>20</v>
      </c>
      <c r="J60" s="474">
        <v>0</v>
      </c>
      <c r="K60" s="475" t="s">
        <v>737</v>
      </c>
      <c r="L60" s="475">
        <v>1</v>
      </c>
      <c r="M60" s="476">
        <f>IF(H60&gt;80,(IF(J60&gt;75,0,IF(I60&gt;80,0,INDEX(verzamelblad!$A$81:$BK$158, MATCH((CEILING(IF(J60&gt;=75,75,J60),1)),verzamelblad!$A$81:$A$158,), MATCH((CEILING(IF(I60&lt;=20,20,IF(I60&gt;=80,80,I60)),1)),verzamelblad!$A$81:$BK$81,))))),IF(I60&gt;75,0,INDEX(verzamelblad!$A$164:$BM$245, MATCH((CEILING(IF(H60&gt;=80,80,H60),1)),verzamelblad!$A$164:$A$245,), MATCH((CEILING(IF(I60&lt;=1,1,IF(I60&gt;=75,75,I60)),1)),verzamelblad!$A$164:$BM$164,))))</f>
        <v>0.8</v>
      </c>
      <c r="N60" s="477">
        <f>ROUND(F60*G60*L60*M60,2)</f>
        <v>0</v>
      </c>
      <c r="O60" s="478"/>
      <c r="P60" s="479"/>
      <c r="Q60" s="729" t="str">
        <f>IF(G60=0,"verbergen","")</f>
        <v>verbergen</v>
      </c>
      <c r="R60" s="404"/>
      <c r="S60" s="404"/>
      <c r="T60" s="392"/>
      <c r="U60" s="547">
        <f t="shared" si="10"/>
        <v>3</v>
      </c>
      <c r="V60" s="547"/>
      <c r="W60" s="547"/>
      <c r="X60" s="547"/>
      <c r="Y60" s="547"/>
      <c r="Z60" s="547"/>
      <c r="AA60" s="404"/>
      <c r="AB60" s="507"/>
      <c r="AC60" s="516"/>
      <c r="AD60" s="516"/>
      <c r="AE60" s="516"/>
      <c r="AF60" s="507"/>
      <c r="AG60" s="516"/>
      <c r="AH60" s="516"/>
    </row>
    <row r="61" spans="1:34" s="404" customFormat="1" ht="12" customHeight="1">
      <c r="A61" s="542"/>
      <c r="B61" s="556">
        <f>B54+1</f>
        <v>3</v>
      </c>
      <c r="C61" s="480">
        <f>B61</f>
        <v>3</v>
      </c>
      <c r="D61" s="481">
        <f>IF(O61&gt;P61,P61*10,O61*10)</f>
        <v>27.86</v>
      </c>
      <c r="E61" s="813" t="str">
        <f>IF(O61&lt;P61,(P61*10)-(O61*10),"(voldoet)")</f>
        <v>(voldoet)</v>
      </c>
      <c r="F61" s="813"/>
      <c r="G61" s="813"/>
      <c r="H61" s="482"/>
      <c r="I61" s="482"/>
      <c r="J61" s="483"/>
      <c r="K61" s="484"/>
      <c r="L61" s="485"/>
      <c r="M61" s="485"/>
      <c r="N61" s="485"/>
      <c r="O61" s="486">
        <f>SUM(N56:N61)</f>
        <v>4.2</v>
      </c>
      <c r="P61" s="486">
        <f>SUMPRODUCT(($AD$1:$AD$28178)*($AC$1:$AC$28178=B61))*verzamelblad!$Y$7/100</f>
        <v>2.786</v>
      </c>
      <c r="Q61" s="557"/>
      <c r="R61" s="557"/>
      <c r="S61" s="557"/>
      <c r="T61" s="558"/>
      <c r="U61" s="547">
        <f t="shared" si="10"/>
        <v>3</v>
      </c>
      <c r="V61" s="547"/>
      <c r="W61" s="547"/>
      <c r="X61" s="547"/>
      <c r="Y61" s="559">
        <f>IF(E61="(voldoet)",0,IF(E61="(voldoet niet)",D61,E61))</f>
        <v>0</v>
      </c>
      <c r="Z61" s="547"/>
      <c r="AB61" s="547"/>
      <c r="AC61" s="392"/>
      <c r="AD61" s="392"/>
      <c r="AE61" s="392"/>
      <c r="AF61" s="547"/>
      <c r="AG61" s="392"/>
      <c r="AH61" s="392"/>
    </row>
    <row r="62" spans="1:34" s="493" customFormat="1" ht="12" customHeight="1">
      <c r="A62" s="560"/>
      <c r="B62" s="560"/>
      <c r="C62" s="487"/>
      <c r="D62" s="487"/>
      <c r="E62" s="487"/>
      <c r="F62" s="463"/>
      <c r="G62" s="463"/>
      <c r="H62" s="456"/>
      <c r="I62" s="456"/>
      <c r="J62" s="456"/>
      <c r="K62" s="456"/>
      <c r="L62" s="456"/>
      <c r="M62" s="456"/>
      <c r="N62" s="456"/>
      <c r="O62" s="488"/>
      <c r="P62" s="489"/>
      <c r="Q62" s="451"/>
      <c r="R62" s="451"/>
      <c r="S62" s="451"/>
      <c r="T62" s="561"/>
      <c r="U62" s="547">
        <f t="shared" si="10"/>
        <v>3</v>
      </c>
      <c r="V62" s="547"/>
      <c r="W62" s="547"/>
      <c r="X62" s="547"/>
      <c r="Y62" s="547"/>
      <c r="Z62" s="547"/>
      <c r="AA62" s="451"/>
      <c r="AB62" s="507"/>
      <c r="AC62" s="507"/>
      <c r="AD62" s="507"/>
      <c r="AE62" s="507"/>
      <c r="AF62" s="507"/>
      <c r="AG62" s="507"/>
      <c r="AH62" s="507"/>
    </row>
    <row r="63" spans="1:34" ht="12" customHeight="1">
      <c r="A63" s="492"/>
      <c r="B63" s="492"/>
      <c r="C63" s="463"/>
      <c r="D63" s="463"/>
      <c r="E63" s="451"/>
      <c r="F63" s="463"/>
      <c r="G63" s="463"/>
      <c r="H63" s="456"/>
      <c r="I63" s="456"/>
      <c r="J63" s="456"/>
      <c r="K63" s="490"/>
      <c r="L63" s="491"/>
      <c r="M63" s="456"/>
      <c r="N63" s="456"/>
      <c r="O63" s="488"/>
      <c r="P63" s="489"/>
      <c r="Q63" s="507"/>
      <c r="R63" s="507"/>
      <c r="S63" s="507"/>
      <c r="T63" s="507"/>
      <c r="U63" s="507"/>
      <c r="V63" s="508"/>
      <c r="W63" s="508"/>
      <c r="X63" s="508"/>
      <c r="Y63" s="508"/>
      <c r="Z63" s="508"/>
      <c r="AA63" s="508"/>
      <c r="AB63" s="508"/>
      <c r="AC63" s="524"/>
      <c r="AD63" s="508"/>
      <c r="AE63" s="508"/>
      <c r="AF63" s="508"/>
      <c r="AG63" s="508"/>
      <c r="AH63" s="508"/>
    </row>
    <row r="64" spans="1:34" s="518" customFormat="1" ht="15" customHeight="1">
      <c r="A64" s="515"/>
      <c r="B64" s="515"/>
      <c r="C64" s="457" t="s">
        <v>1084</v>
      </c>
      <c r="D64" s="457"/>
      <c r="E64" s="457"/>
      <c r="F64" s="457"/>
      <c r="G64" s="457"/>
      <c r="H64" s="457"/>
      <c r="I64" s="457"/>
      <c r="J64" s="457"/>
      <c r="K64" s="457"/>
      <c r="L64" s="457"/>
      <c r="M64" s="457"/>
      <c r="N64" s="457"/>
      <c r="O64" s="457"/>
      <c r="P64" s="457"/>
      <c r="Q64" s="522"/>
      <c r="R64" s="562"/>
      <c r="S64" s="516"/>
      <c r="T64" s="521"/>
      <c r="U64" s="516"/>
      <c r="V64" s="548"/>
      <c r="W64" s="548"/>
      <c r="X64" s="548"/>
      <c r="Y64" s="548"/>
      <c r="Z64" s="517"/>
      <c r="AA64" s="517"/>
      <c r="AB64" s="517"/>
      <c r="AC64" s="524"/>
      <c r="AD64" s="517"/>
      <c r="AE64" s="517"/>
      <c r="AF64" s="517"/>
      <c r="AG64" s="517"/>
      <c r="AH64" s="517"/>
    </row>
    <row r="65" spans="1:43" s="518" customFormat="1" ht="12" customHeight="1">
      <c r="A65" s="543"/>
      <c r="B65" s="543"/>
      <c r="C65" s="563" t="s">
        <v>1019</v>
      </c>
      <c r="D65" s="814" t="s">
        <v>743</v>
      </c>
      <c r="E65" s="814"/>
      <c r="F65" s="814"/>
      <c r="G65" s="814"/>
      <c r="H65" s="566"/>
      <c r="I65" s="566"/>
      <c r="J65" s="566"/>
      <c r="K65" s="566"/>
      <c r="L65" s="566"/>
      <c r="M65" s="566"/>
      <c r="N65" s="566"/>
      <c r="O65" s="566"/>
      <c r="P65" s="566"/>
      <c r="Q65" s="459"/>
      <c r="Y65" s="517"/>
      <c r="Z65" s="517"/>
      <c r="AA65" s="517"/>
      <c r="AB65" s="517"/>
      <c r="AC65" s="517"/>
      <c r="AD65" s="517"/>
      <c r="AE65" s="517"/>
      <c r="AF65" s="517"/>
      <c r="AG65" s="517"/>
      <c r="AH65" s="517"/>
    </row>
    <row r="66" spans="1:43" s="518" customFormat="1" ht="12" customHeight="1">
      <c r="A66" s="543"/>
      <c r="B66" s="543"/>
      <c r="C66" s="563"/>
      <c r="D66" s="464"/>
      <c r="E66" s="464"/>
      <c r="F66" s="464"/>
      <c r="G66" s="464"/>
      <c r="H66" s="566"/>
      <c r="I66" s="566"/>
      <c r="J66" s="566"/>
      <c r="K66" s="566"/>
      <c r="L66" s="566"/>
      <c r="M66" s="566"/>
      <c r="N66" s="566"/>
      <c r="O66" s="566"/>
      <c r="P66" s="566"/>
      <c r="Q66" s="459"/>
      <c r="Y66" s="517"/>
      <c r="Z66" s="517"/>
      <c r="AA66" s="517"/>
      <c r="AB66" s="517"/>
      <c r="AC66" s="517"/>
      <c r="AD66" s="517"/>
      <c r="AE66" s="517"/>
      <c r="AF66" s="517"/>
      <c r="AG66" s="517"/>
      <c r="AH66" s="517"/>
    </row>
    <row r="67" spans="1:43" s="518" customFormat="1" ht="12" customHeight="1">
      <c r="A67" s="543"/>
      <c r="B67" s="546"/>
      <c r="C67" s="563" t="s">
        <v>726</v>
      </c>
      <c r="D67" s="814" t="s">
        <v>724</v>
      </c>
      <c r="E67" s="814"/>
      <c r="F67" s="814"/>
      <c r="G67" s="814"/>
      <c r="H67" s="566"/>
      <c r="I67" s="566"/>
      <c r="J67" s="566"/>
      <c r="K67" s="566"/>
      <c r="L67" s="566"/>
      <c r="M67" s="566"/>
      <c r="N67" s="566"/>
      <c r="O67" s="566"/>
      <c r="P67" s="566"/>
      <c r="Q67" s="459"/>
      <c r="Y67" s="517"/>
      <c r="Z67" s="517"/>
      <c r="AA67" s="517"/>
      <c r="AB67" s="517"/>
      <c r="AC67" s="517"/>
      <c r="AD67" s="517"/>
      <c r="AE67" s="517"/>
      <c r="AF67" s="517"/>
      <c r="AG67" s="517"/>
      <c r="AH67" s="517"/>
    </row>
    <row r="68" spans="1:43" s="518" customFormat="1" ht="12" customHeight="1">
      <c r="A68" s="543"/>
      <c r="B68" s="546"/>
      <c r="C68" s="563" t="s">
        <v>718</v>
      </c>
      <c r="D68" s="814" t="s">
        <v>720</v>
      </c>
      <c r="E68" s="814"/>
      <c r="F68" s="814"/>
      <c r="G68" s="814"/>
      <c r="H68" s="566"/>
      <c r="I68" s="566"/>
      <c r="J68" s="566"/>
      <c r="K68" s="566"/>
      <c r="L68" s="566"/>
      <c r="M68" s="566"/>
      <c r="N68" s="566"/>
      <c r="O68" s="566"/>
      <c r="P68" s="566"/>
      <c r="Q68" s="459" t="str">
        <f>IF(D67="systeem D - mechanische toevoer &amp; afvoer","verbergen","")</f>
        <v>verbergen</v>
      </c>
      <c r="Y68" s="517"/>
      <c r="Z68" s="517"/>
      <c r="AA68" s="517"/>
      <c r="AB68" s="517"/>
      <c r="AC68" s="517"/>
      <c r="AD68" s="517"/>
      <c r="AE68" s="517"/>
      <c r="AF68" s="517"/>
      <c r="AG68" s="517"/>
      <c r="AH68" s="517"/>
      <c r="AQ68" s="517"/>
    </row>
    <row r="69" spans="1:43" s="518" customFormat="1" ht="12" customHeight="1">
      <c r="A69" s="543"/>
      <c r="B69" s="546"/>
      <c r="C69" s="563"/>
      <c r="D69" s="730"/>
      <c r="E69" s="730"/>
      <c r="F69" s="730"/>
      <c r="G69" s="730"/>
      <c r="H69" s="566"/>
      <c r="I69" s="566"/>
      <c r="J69" s="566"/>
      <c r="K69" s="566"/>
      <c r="L69" s="566"/>
      <c r="M69" s="566"/>
      <c r="N69" s="566"/>
      <c r="O69" s="567"/>
      <c r="P69" s="564"/>
      <c r="Q69" s="459"/>
      <c r="Y69" s="517"/>
      <c r="Z69" s="517"/>
      <c r="AA69" s="517"/>
      <c r="AB69" s="517"/>
      <c r="AC69" s="517"/>
      <c r="AD69" s="517"/>
      <c r="AE69" s="517"/>
      <c r="AF69" s="517"/>
      <c r="AG69" s="517"/>
      <c r="AH69" s="517"/>
      <c r="AQ69" s="517"/>
    </row>
    <row r="70" spans="1:43" s="518" customFormat="1" ht="12" customHeight="1">
      <c r="A70" s="543"/>
      <c r="B70" s="546"/>
      <c r="C70" s="563" t="s">
        <v>746</v>
      </c>
      <c r="D70" s="730" t="s">
        <v>737</v>
      </c>
      <c r="E70" s="730"/>
      <c r="F70" s="730"/>
      <c r="G70" s="730"/>
      <c r="H70" s="568" t="str">
        <f>IF(D70="n.v.t.","","minimale luchtverversing, privaatrechterlijke eisen in 'hoogstand':")</f>
        <v/>
      </c>
      <c r="I70" s="546"/>
      <c r="J70" s="773"/>
      <c r="K70" s="569"/>
      <c r="L70" s="570"/>
      <c r="M70" s="404"/>
      <c r="N70" s="566" t="str">
        <f>IF(D70="n.v.t.","",N67+G125)</f>
        <v/>
      </c>
      <c r="O70" s="567" t="str">
        <f>IF(D70="n.v.t.","",N70*3.6)</f>
        <v/>
      </c>
      <c r="P70" s="564"/>
      <c r="Q70" s="459"/>
      <c r="Y70" s="517"/>
      <c r="Z70" s="517"/>
      <c r="AA70" s="517"/>
      <c r="AB70" s="517"/>
      <c r="AC70" s="517"/>
      <c r="AD70" s="517"/>
      <c r="AE70" s="517"/>
      <c r="AF70" s="517"/>
      <c r="AG70" s="517"/>
      <c r="AH70" s="517"/>
      <c r="AQ70" s="517"/>
    </row>
    <row r="71" spans="1:43" s="518" customFormat="1" ht="12" customHeight="1">
      <c r="A71" s="543"/>
      <c r="B71" s="546"/>
      <c r="C71" s="563"/>
      <c r="D71" s="730"/>
      <c r="E71" s="730"/>
      <c r="F71" s="730"/>
      <c r="G71" s="730"/>
      <c r="H71" s="766" t="s">
        <v>1133</v>
      </c>
      <c r="I71" s="774"/>
      <c r="J71" s="767"/>
      <c r="K71" s="767"/>
      <c r="L71" s="768"/>
      <c r="M71" s="769"/>
      <c r="N71" s="770"/>
      <c r="O71" s="771"/>
      <c r="P71" s="772"/>
      <c r="Q71" s="459"/>
      <c r="Y71" s="517"/>
      <c r="Z71" s="517"/>
      <c r="AA71" s="517"/>
      <c r="AB71" s="517"/>
      <c r="AC71" s="517"/>
      <c r="AD71" s="517"/>
      <c r="AE71" s="517"/>
      <c r="AF71" s="517"/>
      <c r="AG71" s="517"/>
      <c r="AH71" s="517"/>
      <c r="AQ71" s="517"/>
    </row>
    <row r="72" spans="1:43" s="518" customFormat="1" ht="12" customHeight="1">
      <c r="A72" s="543"/>
      <c r="B72" s="546"/>
      <c r="C72" s="563"/>
      <c r="D72" s="730"/>
      <c r="E72" s="730"/>
      <c r="F72" s="730"/>
      <c r="G72" s="730"/>
      <c r="H72" s="766" t="s">
        <v>1134</v>
      </c>
      <c r="I72" s="774"/>
      <c r="J72" s="775"/>
      <c r="K72" s="775"/>
      <c r="L72" s="768"/>
      <c r="M72" s="769"/>
      <c r="N72" s="770"/>
      <c r="O72" s="771"/>
      <c r="P72" s="772"/>
      <c r="Q72" s="459"/>
      <c r="Y72" s="517"/>
      <c r="Z72" s="517"/>
      <c r="AA72" s="517"/>
      <c r="AB72" s="517"/>
      <c r="AC72" s="517"/>
      <c r="AD72" s="517"/>
      <c r="AE72" s="517"/>
      <c r="AF72" s="517"/>
      <c r="AG72" s="517"/>
      <c r="AH72" s="517"/>
      <c r="AQ72" s="517"/>
    </row>
    <row r="73" spans="1:43" s="518" customFormat="1" ht="12" customHeight="1">
      <c r="A73" s="543"/>
      <c r="B73" s="543"/>
      <c r="C73" s="571" t="str">
        <f>IF(A42:A73=TRUE,"* vanwege het niet direct grenzen van ramen aan grens VG is op basis van gelijkwaardigheid een groter fictief oppervlak aan VG toegekend (zie ook toelichting rapport)","")</f>
        <v/>
      </c>
      <c r="D73" s="572"/>
      <c r="E73" s="572"/>
      <c r="F73" s="572"/>
      <c r="G73" s="572"/>
      <c r="H73" s="572"/>
      <c r="I73" s="572"/>
      <c r="J73" s="468"/>
      <c r="K73" s="490"/>
      <c r="L73" s="422"/>
      <c r="M73" s="471"/>
      <c r="N73" s="470"/>
      <c r="O73" s="573"/>
      <c r="P73" s="574"/>
      <c r="Q73" s="525"/>
      <c r="Y73" s="508"/>
      <c r="Z73" s="508"/>
      <c r="AA73" s="508"/>
      <c r="AB73" s="508"/>
      <c r="AC73" s="517"/>
      <c r="AD73" s="517"/>
      <c r="AE73" s="517"/>
      <c r="AF73" s="517"/>
      <c r="AG73" s="517"/>
      <c r="AH73" s="517"/>
    </row>
    <row r="74" spans="1:43" s="518" customFormat="1" ht="15" customHeight="1">
      <c r="A74" s="515"/>
      <c r="B74" s="515"/>
      <c r="C74" s="457" t="s">
        <v>1085</v>
      </c>
      <c r="D74" s="575"/>
      <c r="E74" s="575"/>
      <c r="F74" s="817"/>
      <c r="G74" s="817"/>
      <c r="H74" s="817"/>
      <c r="I74" s="575"/>
      <c r="J74" s="575"/>
      <c r="K74" s="575"/>
      <c r="L74" s="575"/>
      <c r="M74" s="575"/>
      <c r="N74" s="575"/>
      <c r="O74" s="575"/>
      <c r="P74" s="575"/>
      <c r="Q74" s="522"/>
      <c r="R74" s="516"/>
      <c r="S74" s="516"/>
      <c r="T74" s="521"/>
      <c r="U74" s="516"/>
      <c r="V74" s="548"/>
      <c r="W74" s="548"/>
      <c r="X74" s="548"/>
      <c r="Y74" s="548"/>
      <c r="Z74" s="517"/>
      <c r="AA74" s="517"/>
      <c r="AB74" s="517"/>
      <c r="AC74" s="524"/>
      <c r="AD74" s="517"/>
      <c r="AE74" s="517"/>
      <c r="AF74" s="517"/>
      <c r="AG74" s="517"/>
      <c r="AH74" s="517"/>
    </row>
    <row r="75" spans="1:43" s="518" customFormat="1" ht="12.75" hidden="1" customHeight="1">
      <c r="A75" s="515"/>
      <c r="B75" s="515"/>
      <c r="C75" s="576"/>
      <c r="D75" s="576"/>
      <c r="E75" s="576"/>
      <c r="F75" s="576"/>
      <c r="G75" s="576"/>
      <c r="H75" s="577"/>
      <c r="I75" s="577"/>
      <c r="J75" s="577"/>
      <c r="K75" s="577"/>
      <c r="L75" s="577"/>
      <c r="M75" s="577"/>
      <c r="N75" s="577"/>
      <c r="O75" s="577"/>
      <c r="P75" s="577"/>
      <c r="Q75" s="522"/>
      <c r="R75" s="516"/>
      <c r="S75" s="516"/>
      <c r="T75" s="521"/>
      <c r="U75" s="516"/>
      <c r="V75" s="548"/>
      <c r="W75" s="548"/>
      <c r="X75" s="548"/>
      <c r="Y75" s="548"/>
      <c r="Z75" s="517"/>
      <c r="AA75" s="517"/>
      <c r="AB75" s="517"/>
      <c r="AC75" s="524"/>
      <c r="AD75" s="517"/>
      <c r="AE75" s="517"/>
      <c r="AF75" s="517"/>
    </row>
    <row r="76" spans="1:43" ht="35.25" customHeight="1">
      <c r="A76" s="492"/>
      <c r="B76" s="492"/>
      <c r="C76" s="736" t="s">
        <v>133</v>
      </c>
      <c r="D76" s="460" t="s">
        <v>1106</v>
      </c>
      <c r="E76" s="578" t="s">
        <v>1066</v>
      </c>
      <c r="F76" s="809" t="str">
        <f>IF(S16=3,"","advies toevoercapaciteit")</f>
        <v>advies toevoercapaciteit</v>
      </c>
      <c r="G76" s="809"/>
      <c r="H76" s="809"/>
      <c r="I76" s="809" t="str">
        <f>IF(S16=1,"kozijnmerk","")</f>
        <v/>
      </c>
      <c r="J76" s="809"/>
      <c r="K76" s="579" t="str">
        <f>IF(S16=1,"roostermaat","")</f>
        <v/>
      </c>
      <c r="L76" s="818" t="str">
        <f>IF(AND(S16=1,S17=1),"benodigde capaciteit","")</f>
        <v/>
      </c>
      <c r="M76" s="818"/>
      <c r="N76" s="579" t="str">
        <f>IF(AND(S16=1,S17=2),"type","")</f>
        <v/>
      </c>
      <c r="O76" s="580"/>
      <c r="P76" s="581" t="str">
        <f>IF(AND(S16=1,S17=2),"maximale roostercapaciteit","")</f>
        <v/>
      </c>
      <c r="Q76" s="582"/>
      <c r="R76" s="582"/>
      <c r="S76" s="583"/>
      <c r="T76" s="532"/>
      <c r="U76" s="507"/>
      <c r="V76" s="508"/>
      <c r="W76" s="508"/>
      <c r="X76" s="508"/>
      <c r="Y76" s="508"/>
      <c r="Z76" s="508"/>
      <c r="AA76" s="508"/>
      <c r="AB76" s="508"/>
      <c r="AC76" s="534"/>
      <c r="AD76" s="508"/>
      <c r="AE76" s="508"/>
      <c r="AF76" s="508"/>
    </row>
    <row r="77" spans="1:43" s="541" customFormat="1" ht="12" customHeight="1">
      <c r="B77" s="515"/>
      <c r="C77" s="464" t="str">
        <f>L28</f>
        <v>woonkamer / eetkamer</v>
      </c>
      <c r="D77" s="733">
        <f>IF(F77="intern","",SUMPRODUCT(($AE$1:$AE$28070)*($L$1:$L$28070=C77)))</f>
        <v>28.45</v>
      </c>
      <c r="E77" s="566">
        <f>IF(F77="intern","",IF(D77=0,0,(IF(verzamelblad!$K$7*D77&gt;verzamelblad!$P$7,CEILING(verzamelblad!$K$7*D77,0.1),verzamelblad!$P$7))))</f>
        <v>20</v>
      </c>
      <c r="F77" s="584" t="str">
        <f>IF($S$16=1,"NT","MT")</f>
        <v>MT</v>
      </c>
      <c r="G77" s="731" t="s">
        <v>140</v>
      </c>
      <c r="H77" s="565">
        <v>21</v>
      </c>
      <c r="I77" s="811" t="s">
        <v>251</v>
      </c>
      <c r="J77" s="811"/>
      <c r="K77" s="585">
        <v>0</v>
      </c>
      <c r="L77" s="819" t="str">
        <f>IF(AND(S$16=1,S$17=2),"",IF(S$16=2,"",IF(K77=0,"",H77/(K77/1000))))</f>
        <v/>
      </c>
      <c r="M77" s="819"/>
      <c r="N77" s="816" t="s">
        <v>268</v>
      </c>
      <c r="O77" s="816"/>
      <c r="P77" s="586" t="str">
        <f>IF(K77=0,"-",INDEX('data roosters'!F:J,MATCH(N77,'data roosters'!F:F,0),2)*(K77/1000))</f>
        <v>-</v>
      </c>
      <c r="Q77" s="525" t="str">
        <f>IF(AND($S$16=1,$S$17=2),IF(OR(E77&lt;&gt;0,H77&lt;&gt;0,P77&lt;&gt;"-"),"","verbergen"),IF(OR(E77&lt;&gt;0,H77&lt;&gt;0),"","verbergen"))</f>
        <v/>
      </c>
      <c r="R77" s="587"/>
      <c r="S77" s="529"/>
      <c r="T77" s="516"/>
      <c r="U77" s="516"/>
      <c r="V77" s="507">
        <v>1</v>
      </c>
      <c r="W77" s="516"/>
      <c r="X77" s="516"/>
      <c r="Y77" s="516"/>
      <c r="Z77" s="516"/>
      <c r="AB77" s="516"/>
      <c r="AC77" s="516"/>
      <c r="AD77" s="516"/>
      <c r="AE77" s="516"/>
      <c r="AF77" s="515" t="str">
        <f>IF(E77&gt;0,"x","")</f>
        <v>x</v>
      </c>
      <c r="AG77" s="516"/>
      <c r="AH77" s="516"/>
    </row>
    <row r="78" spans="1:43" s="541" customFormat="1" ht="12" customHeight="1">
      <c r="B78" s="515"/>
      <c r="C78" s="464" t="str">
        <f>L28</f>
        <v>woonkamer / eetkamer</v>
      </c>
      <c r="D78" s="733" t="str">
        <f>IF(F78="intern","",SUMPRODUCT(($AE$1:$AE$28070)*($L$1:$L$28070=C78)))</f>
        <v/>
      </c>
      <c r="E78" s="566" t="str">
        <f>IF(F78="intern","",IF(D78=0,0,(IF(verzamelblad!$K$7*D78&gt;verzamelblad!$P$7,CEILING(verzamelblad!$K$7*D78,0.1),verzamelblad!$P$7))))</f>
        <v/>
      </c>
      <c r="F78" s="584" t="s">
        <v>725</v>
      </c>
      <c r="G78" s="731" t="s">
        <v>1158</v>
      </c>
      <c r="H78" s="565">
        <v>7</v>
      </c>
      <c r="I78" s="811" t="s">
        <v>251</v>
      </c>
      <c r="J78" s="811"/>
      <c r="K78" s="585">
        <v>0</v>
      </c>
      <c r="M78" s="564"/>
      <c r="N78" s="816" t="s">
        <v>268</v>
      </c>
      <c r="O78" s="816"/>
      <c r="P78" s="586" t="str">
        <f>IF(K78=0,"-",INDEX('data roosters'!F:J,MATCH(N78,'data roosters'!F:F,0),2)*(K78/1000))</f>
        <v>-</v>
      </c>
      <c r="Q78" s="525" t="str">
        <f t="shared" ref="Q78:Q81" si="11">IF(AND($S$16=1,$S$17=2),IF(OR(E78&lt;&gt;0,H78&lt;&gt;0,P78&lt;&gt;"-"),"","verbergen"),IF(OR(E78&lt;&gt;0,H78&lt;&gt;0),"","verbergen"))</f>
        <v/>
      </c>
      <c r="R78" s="588"/>
      <c r="S78" s="529"/>
      <c r="T78" s="516"/>
      <c r="U78" s="516"/>
      <c r="V78" s="507">
        <v>1</v>
      </c>
      <c r="W78" s="516"/>
      <c r="X78" s="516"/>
      <c r="Y78" s="516"/>
      <c r="Z78" s="516"/>
      <c r="AB78" s="516"/>
      <c r="AC78" s="516"/>
      <c r="AD78" s="516"/>
      <c r="AE78" s="516"/>
      <c r="AF78" s="515" t="str">
        <f>IF(E78&gt;0,"x","")</f>
        <v>x</v>
      </c>
      <c r="AG78" s="516"/>
      <c r="AH78" s="516"/>
      <c r="AJ78" s="815"/>
      <c r="AK78" s="815"/>
      <c r="AL78" s="815"/>
    </row>
    <row r="79" spans="1:43" s="541" customFormat="1" ht="12" customHeight="1">
      <c r="B79" s="515"/>
      <c r="C79" s="464" t="s">
        <v>252</v>
      </c>
      <c r="D79" s="733">
        <f>IF(F79="intern","",SUMPRODUCT(($AE$1:$AE$28070)*($L$1:$L$28070=C79)))</f>
        <v>0</v>
      </c>
      <c r="E79" s="566">
        <f>IF(F79="intern","",IF(D79=0,0,(IF(verzamelblad!$K$7*D79&gt;verzamelblad!$P$7,CEILING(verzamelblad!$K$7*D79,0.1),verzamelblad!$P$7))))</f>
        <v>0</v>
      </c>
      <c r="F79" s="584" t="str">
        <f>IF($S$16=1,"NT","MT")</f>
        <v>MT</v>
      </c>
      <c r="G79" s="731" t="s">
        <v>140</v>
      </c>
      <c r="H79" s="565">
        <v>0</v>
      </c>
      <c r="I79" s="811" t="s">
        <v>251</v>
      </c>
      <c r="J79" s="811"/>
      <c r="K79" s="585">
        <v>0</v>
      </c>
      <c r="L79" s="564" t="str">
        <f>IF(AND(S$16=1,S$17=2),"",IF(S$16=2,"",IF(K79=0,"",H79/(K79/1000))))</f>
        <v/>
      </c>
      <c r="M79" s="564"/>
      <c r="N79" s="816" t="s">
        <v>268</v>
      </c>
      <c r="O79" s="816"/>
      <c r="P79" s="586" t="str">
        <f>IF(K79=0,"-",INDEX('data roosters'!F:J,MATCH(N79,'data roosters'!F:F,0),2)*(K79/1000))</f>
        <v>-</v>
      </c>
      <c r="Q79" s="525" t="str">
        <f t="shared" si="11"/>
        <v>verbergen</v>
      </c>
      <c r="R79" s="589"/>
      <c r="S79" s="529"/>
      <c r="T79" s="516"/>
      <c r="U79" s="516"/>
      <c r="V79" s="507">
        <v>1</v>
      </c>
      <c r="W79" s="516"/>
      <c r="X79" s="516"/>
      <c r="Y79" s="516"/>
      <c r="Z79" s="516"/>
      <c r="AB79" s="516"/>
      <c r="AC79" s="516"/>
      <c r="AD79" s="516"/>
      <c r="AE79" s="516"/>
      <c r="AF79" s="515" t="str">
        <f>IF(E79&gt;0,"x","")</f>
        <v/>
      </c>
      <c r="AG79" s="516"/>
      <c r="AH79" s="516"/>
      <c r="AJ79" s="815"/>
      <c r="AK79" s="815"/>
      <c r="AL79" s="815"/>
    </row>
    <row r="80" spans="1:43" s="541" customFormat="1" ht="12" customHeight="1">
      <c r="B80" s="515"/>
      <c r="C80" s="464" t="s">
        <v>252</v>
      </c>
      <c r="D80" s="733">
        <f>IF(F80="intern","",SUMPRODUCT(($AE$1:$AE$28070)*($L$1:$L$28070=C80)))</f>
        <v>0</v>
      </c>
      <c r="E80" s="566">
        <f>IF(F80="intern","",IF(D80=0,0,(IF(verzamelblad!$K$7*D80&gt;verzamelblad!$P$7,CEILING(verzamelblad!$K$7*D80,0.1),verzamelblad!$P$7))))</f>
        <v>0</v>
      </c>
      <c r="F80" s="584" t="str">
        <f>IF($S$16=1,"NT","MT")</f>
        <v>MT</v>
      </c>
      <c r="G80" s="731" t="s">
        <v>140</v>
      </c>
      <c r="H80" s="565">
        <v>0</v>
      </c>
      <c r="I80" s="811" t="s">
        <v>251</v>
      </c>
      <c r="J80" s="811"/>
      <c r="K80" s="585">
        <v>0</v>
      </c>
      <c r="L80" s="564" t="str">
        <f>IF(AND(S$16=1,S$17=2),"",IF(S$16=2,"",IF(K80=0,"",H80/(K80/1000))))</f>
        <v/>
      </c>
      <c r="M80" s="564"/>
      <c r="N80" s="816" t="s">
        <v>268</v>
      </c>
      <c r="O80" s="816"/>
      <c r="P80" s="586" t="str">
        <f>IF(K80=0,"-",INDEX('data roosters'!F:J,MATCH(N80,'data roosters'!F:F,0),2)*(K80/1000))</f>
        <v>-</v>
      </c>
      <c r="Q80" s="525" t="str">
        <f t="shared" si="11"/>
        <v>verbergen</v>
      </c>
      <c r="R80" s="589"/>
      <c r="S80" s="529"/>
      <c r="T80" s="516"/>
      <c r="U80" s="516"/>
      <c r="V80" s="507">
        <v>1</v>
      </c>
      <c r="W80" s="516"/>
      <c r="X80" s="516"/>
      <c r="Y80" s="516"/>
      <c r="Z80" s="516"/>
      <c r="AB80" s="516"/>
      <c r="AC80" s="516"/>
      <c r="AD80" s="516"/>
      <c r="AE80" s="516"/>
      <c r="AF80" s="515" t="str">
        <f>IF(E80&gt;0,"x","")</f>
        <v/>
      </c>
      <c r="AG80" s="516"/>
      <c r="AH80" s="516"/>
      <c r="AJ80" s="815"/>
      <c r="AK80" s="815"/>
      <c r="AL80" s="815"/>
    </row>
    <row r="81" spans="1:38" s="541" customFormat="1" ht="12" customHeight="1">
      <c r="B81" s="515"/>
      <c r="C81" s="464" t="s">
        <v>252</v>
      </c>
      <c r="D81" s="733">
        <f>IF(F81="intern","",SUMPRODUCT(($AE$1:$AE$28070)*($L$1:$L$28070=C81)))</f>
        <v>0</v>
      </c>
      <c r="E81" s="566">
        <f>IF(F81="intern","",IF(D81=0,0,(IF(verzamelblad!$K$7*D81&gt;verzamelblad!$P$7,CEILING(verzamelblad!$K$7*D81,0.1),verzamelblad!$P$7))))</f>
        <v>0</v>
      </c>
      <c r="F81" s="584" t="str">
        <f>IF($S$16=1,"NT","MT")</f>
        <v>MT</v>
      </c>
      <c r="G81" s="731" t="s">
        <v>140</v>
      </c>
      <c r="H81" s="565">
        <v>0</v>
      </c>
      <c r="I81" s="811" t="s">
        <v>251</v>
      </c>
      <c r="J81" s="811"/>
      <c r="K81" s="585">
        <v>0</v>
      </c>
      <c r="L81" s="564"/>
      <c r="M81" s="564"/>
      <c r="N81" s="816" t="s">
        <v>268</v>
      </c>
      <c r="O81" s="816"/>
      <c r="P81" s="586" t="str">
        <f>IF(K81=0,"-",INDEX('data roosters'!F:J,MATCH(N81,'data roosters'!F:F,0),2)*(K81/1000))</f>
        <v>-</v>
      </c>
      <c r="Q81" s="525" t="str">
        <f t="shared" si="11"/>
        <v>verbergen</v>
      </c>
      <c r="R81" s="589"/>
      <c r="S81" s="529"/>
      <c r="T81" s="516"/>
      <c r="U81" s="516"/>
      <c r="V81" s="507">
        <v>1</v>
      </c>
      <c r="W81" s="516"/>
      <c r="X81" s="516"/>
      <c r="Y81" s="516"/>
      <c r="Z81" s="516"/>
      <c r="AB81" s="516"/>
      <c r="AC81" s="516"/>
      <c r="AD81" s="516"/>
      <c r="AE81" s="516"/>
      <c r="AF81" s="515" t="str">
        <f>IF(E81&gt;0,"x","")</f>
        <v/>
      </c>
      <c r="AG81" s="516"/>
      <c r="AH81" s="516"/>
      <c r="AJ81" s="815"/>
      <c r="AK81" s="815"/>
      <c r="AL81" s="815"/>
    </row>
    <row r="82" spans="1:38" s="541" customFormat="1" ht="12" customHeight="1">
      <c r="B82" s="590">
        <v>1</v>
      </c>
      <c r="C82" s="480">
        <f>B82</f>
        <v>1</v>
      </c>
      <c r="D82" s="481">
        <f>SUMPRODUCT(($AD$1:$AD$50026)*($AC$1:$AC$50026=B82))</f>
        <v>28.45</v>
      </c>
      <c r="E82" s="591">
        <f>IF(D82=0,0,(IF(verzamelblad!$E$7*D82&gt;verzamelblad!$J$7,CEILING(verzamelblad!$E$7*D82,0.1),verzamelblad!$J$7)))</f>
        <v>25.700000000000003</v>
      </c>
      <c r="F82" s="820" t="str">
        <f>IF(SUM(H77:H81)&lt;E82,"voldoet niet op VG-niveau","totaal: "&amp;SUM(H77:H81) &amp; " dm³/s ")</f>
        <v xml:space="preserve">totaal: 28 dm³/s </v>
      </c>
      <c r="G82" s="820"/>
      <c r="H82" s="820"/>
      <c r="I82" s="592"/>
      <c r="J82" s="593"/>
      <c r="K82" s="594"/>
      <c r="L82" s="595"/>
      <c r="M82" s="821"/>
      <c r="N82" s="821"/>
      <c r="O82" s="596"/>
      <c r="P82" s="597"/>
      <c r="Q82" s="459"/>
      <c r="R82" s="589"/>
      <c r="S82" s="529"/>
      <c r="T82" s="516"/>
      <c r="U82" s="516"/>
      <c r="V82" s="547">
        <v>1</v>
      </c>
      <c r="W82" s="516"/>
      <c r="X82" s="516"/>
      <c r="Y82" s="516"/>
      <c r="Z82" s="516"/>
      <c r="AB82" s="516"/>
      <c r="AC82" s="516"/>
      <c r="AD82" s="516"/>
      <c r="AE82" s="516"/>
      <c r="AF82" s="515" t="str">
        <f>IF(B82&gt;0,"ja")</f>
        <v>ja</v>
      </c>
      <c r="AG82" s="516"/>
      <c r="AH82" s="516"/>
    </row>
    <row r="83" spans="1:38" s="541" customFormat="1" ht="12" customHeight="1">
      <c r="B83" s="515"/>
      <c r="C83" s="598"/>
      <c r="D83" s="422"/>
      <c r="E83" s="422"/>
      <c r="F83" s="422"/>
      <c r="G83" s="422"/>
      <c r="H83" s="599"/>
      <c r="I83" s="599"/>
      <c r="J83" s="530"/>
      <c r="K83" s="600"/>
      <c r="L83" s="600"/>
      <c r="M83" s="600"/>
      <c r="N83" s="600"/>
      <c r="O83" s="600"/>
      <c r="P83" s="600"/>
      <c r="Q83" s="459"/>
      <c r="R83" s="589"/>
      <c r="S83" s="529"/>
      <c r="T83" s="516"/>
      <c r="U83" s="516"/>
      <c r="V83" s="507">
        <v>1</v>
      </c>
      <c r="W83" s="516"/>
      <c r="X83" s="516"/>
      <c r="Y83" s="516"/>
      <c r="Z83" s="516"/>
      <c r="AB83" s="516"/>
      <c r="AC83" s="516"/>
      <c r="AD83" s="516"/>
      <c r="AE83" s="516"/>
      <c r="AF83" s="515"/>
      <c r="AG83" s="516"/>
      <c r="AH83" s="516"/>
    </row>
    <row r="84" spans="1:38" s="541" customFormat="1" ht="12" customHeight="1">
      <c r="A84" s="404"/>
      <c r="B84" s="543"/>
      <c r="C84" s="464" t="str">
        <f>L29</f>
        <v>keuken</v>
      </c>
      <c r="D84" s="733">
        <f>IF(F84="intern","",SUMPRODUCT(($AE$1:$AE$28070)*($L$1:$L$28070=C84)))</f>
        <v>15.1</v>
      </c>
      <c r="E84" s="566">
        <f>IF(F84="intern","",IF(D84=0,0,(IF(verzamelblad!$K$7*D84&gt;verzamelblad!$P$7,CEILING(verzamelblad!$K$7*D84,0.1),verzamelblad!$P$7))))</f>
        <v>10.600000000000001</v>
      </c>
      <c r="F84" s="584" t="str">
        <f>IF($S$16=1,"NT","MT")</f>
        <v>MT</v>
      </c>
      <c r="G84" s="731" t="s">
        <v>140</v>
      </c>
      <c r="H84" s="565">
        <v>7</v>
      </c>
      <c r="I84" s="811" t="s">
        <v>251</v>
      </c>
      <c r="J84" s="811"/>
      <c r="K84" s="585">
        <v>0</v>
      </c>
      <c r="L84" s="819" t="str">
        <f>IF(AND(S$16=1,S$17=2),"",IF(S$16=2,"",IF(K84=0,"",H84/(K84/1000))))</f>
        <v/>
      </c>
      <c r="M84" s="819"/>
      <c r="N84" s="816" t="s">
        <v>268</v>
      </c>
      <c r="O84" s="816"/>
      <c r="P84" s="586" t="str">
        <f>IF(K84=0,"-",INDEX('data roosters'!F:J,MATCH(N84,'data roosters'!F:F,0),2)*(K84/1000))</f>
        <v>-</v>
      </c>
      <c r="Q84" s="729" t="str">
        <f>IF(AND($S$16=1,$S$17=2),IF(OR(E84&lt;&gt;0,H84&lt;&gt;0,P84&lt;&gt;"-"),"","verbergen"),IF(OR(E84&lt;&gt;0,H84&lt;&gt;0),"","verbergen"))</f>
        <v/>
      </c>
      <c r="R84" s="601"/>
      <c r="S84" s="602"/>
      <c r="T84" s="392"/>
      <c r="U84" s="392"/>
      <c r="V84" s="547">
        <f>V83+1</f>
        <v>2</v>
      </c>
      <c r="W84" s="392"/>
      <c r="X84" s="392"/>
      <c r="Y84" s="392"/>
      <c r="Z84" s="392"/>
      <c r="AA84" s="404"/>
      <c r="AB84" s="516"/>
      <c r="AC84" s="516"/>
      <c r="AD84" s="516"/>
      <c r="AE84" s="516"/>
      <c r="AF84" s="515" t="str">
        <f>IF(E84&gt;0,"x","")</f>
        <v>x</v>
      </c>
      <c r="AG84" s="516"/>
      <c r="AH84" s="516"/>
    </row>
    <row r="85" spans="1:38" s="541" customFormat="1" ht="12" customHeight="1">
      <c r="A85" s="404"/>
      <c r="B85" s="543"/>
      <c r="C85" s="464" t="str">
        <f>L29</f>
        <v>keuken</v>
      </c>
      <c r="D85" s="733" t="str">
        <f>IF(F85="intern","",SUMPRODUCT(($AE$1:$AE$28038)*($L$1:$L$28038=C85)))</f>
        <v/>
      </c>
      <c r="E85" s="566" t="str">
        <f>IF(F85="intern","",IF(D85=0,0,(IF(verzamelblad!$K$7*D85&gt;verzamelblad!$P$7,CEILING(verzamelblad!$K$7*D85,0.1),verzamelblad!$P$7))))</f>
        <v/>
      </c>
      <c r="F85" s="584" t="s">
        <v>725</v>
      </c>
      <c r="G85" s="731" t="s">
        <v>1158</v>
      </c>
      <c r="H85" s="565">
        <v>7</v>
      </c>
      <c r="I85" s="811" t="s">
        <v>251</v>
      </c>
      <c r="J85" s="811"/>
      <c r="K85" s="585">
        <v>0</v>
      </c>
      <c r="L85" s="819" t="str">
        <f>IF(AND(S$16=1,S$17=2),"",IF(S$16=2,"",IF(K85=0,"",H85/(K85/1000))))</f>
        <v/>
      </c>
      <c r="M85" s="819"/>
      <c r="N85" s="816" t="s">
        <v>268</v>
      </c>
      <c r="O85" s="816"/>
      <c r="P85" s="586" t="str">
        <f>IF(K85=0,"-",INDEX('data roosters'!F:J,MATCH(N85,'data roosters'!F:F,0),2)*(K85/1000))</f>
        <v>-</v>
      </c>
      <c r="Q85" s="729" t="str">
        <f t="shared" ref="Q85:Q88" si="12">IF(AND($S$16=1,$S$17=2),IF(OR(E85&lt;&gt;0,H85&lt;&gt;0,P85&lt;&gt;"-"),"","verbergen"),IF(OR(E85&lt;&gt;0,H85&lt;&gt;0),"","verbergen"))</f>
        <v/>
      </c>
      <c r="R85" s="418"/>
      <c r="S85" s="602"/>
      <c r="T85" s="392"/>
      <c r="U85" s="392"/>
      <c r="V85" s="547">
        <f t="shared" ref="V85:V90" si="13">V84</f>
        <v>2</v>
      </c>
      <c r="W85" s="392"/>
      <c r="X85" s="392"/>
      <c r="Y85" s="392"/>
      <c r="Z85" s="392"/>
      <c r="AA85" s="404"/>
      <c r="AB85" s="516"/>
      <c r="AC85" s="516"/>
      <c r="AD85" s="516"/>
      <c r="AE85" s="516"/>
      <c r="AF85" s="515" t="str">
        <f>IF(E85&gt;0,"x","")</f>
        <v>x</v>
      </c>
      <c r="AG85" s="516"/>
      <c r="AH85" s="516"/>
    </row>
    <row r="86" spans="1:38" s="541" customFormat="1" ht="12" customHeight="1">
      <c r="A86" s="404"/>
      <c r="B86" s="543"/>
      <c r="C86" s="464" t="str">
        <f>L30</f>
        <v>bijkeuken</v>
      </c>
      <c r="D86" s="733">
        <f>IF(F86="intern","",SUMPRODUCT(($AE$1:$AE$28070)*($L$1:$L$28070=C86)))</f>
        <v>5.96</v>
      </c>
      <c r="E86" s="566">
        <f>IF(F86="intern","",IF(D86=0,0,(IF(verzamelblad!$K$7*D86&gt;verzamelblad!$P$7,CEILING(verzamelblad!$K$7*D86,0.1),verzamelblad!$P$7))))</f>
        <v>7</v>
      </c>
      <c r="F86" s="584" t="str">
        <f>IF($S$16=1,"NT","MT")</f>
        <v>MT</v>
      </c>
      <c r="G86" s="731" t="s">
        <v>140</v>
      </c>
      <c r="H86" s="565">
        <v>7</v>
      </c>
      <c r="I86" s="811" t="s">
        <v>251</v>
      </c>
      <c r="J86" s="811"/>
      <c r="K86" s="585">
        <v>0</v>
      </c>
      <c r="L86" s="819" t="str">
        <f>IF(AND(S$16=1,S$17=2),"",IF(S$16=2,"",IF(K86=0,"",H86/(K86/1000))))</f>
        <v/>
      </c>
      <c r="M86" s="819"/>
      <c r="N86" s="816" t="s">
        <v>268</v>
      </c>
      <c r="O86" s="816"/>
      <c r="P86" s="586" t="str">
        <f>IF(K86=0,"-",INDEX('data roosters'!F:J,MATCH(N86,'data roosters'!F:F,0),2)*(K86/1000))</f>
        <v>-</v>
      </c>
      <c r="Q86" s="729" t="str">
        <f t="shared" si="12"/>
        <v/>
      </c>
      <c r="R86" s="603"/>
      <c r="S86" s="602"/>
      <c r="T86" s="392"/>
      <c r="U86" s="392"/>
      <c r="V86" s="547">
        <f t="shared" si="13"/>
        <v>2</v>
      </c>
      <c r="W86" s="392"/>
      <c r="X86" s="392"/>
      <c r="Y86" s="392"/>
      <c r="Z86" s="392"/>
      <c r="AA86" s="404"/>
      <c r="AB86" s="516"/>
      <c r="AC86" s="516"/>
      <c r="AD86" s="516"/>
      <c r="AE86" s="516"/>
      <c r="AF86" s="515" t="str">
        <f>IF(E86&gt;0,"x","")</f>
        <v>x</v>
      </c>
      <c r="AG86" s="516"/>
      <c r="AH86" s="516"/>
    </row>
    <row r="87" spans="1:38" s="541" customFormat="1" ht="12" customHeight="1">
      <c r="A87" s="404"/>
      <c r="B87" s="543"/>
      <c r="C87" s="464" t="s">
        <v>252</v>
      </c>
      <c r="D87" s="733">
        <f>IF(F87="intern","",SUMPRODUCT(($AE$1:$AE$28038)*($L$1:$L$28038=C87)))</f>
        <v>0</v>
      </c>
      <c r="E87" s="566">
        <f>IF(F87="intern","",IF(D87=0,0,(IF(verzamelblad!$K$7*D87&gt;verzamelblad!$P$7,CEILING(verzamelblad!$K$7*D87,0.1),verzamelblad!$P$7))))</f>
        <v>0</v>
      </c>
      <c r="F87" s="584" t="str">
        <f>IF($S$16=1,"NT","MT")</f>
        <v>MT</v>
      </c>
      <c r="G87" s="731" t="s">
        <v>140</v>
      </c>
      <c r="H87" s="565">
        <v>0</v>
      </c>
      <c r="I87" s="811" t="s">
        <v>251</v>
      </c>
      <c r="J87" s="811"/>
      <c r="K87" s="585">
        <v>0</v>
      </c>
      <c r="L87" s="819" t="str">
        <f>IF(AND(S$16=1,S$17=2),"",IF(S$16=2,"",IF(K87=0,"",H87/(K87/1000))))</f>
        <v/>
      </c>
      <c r="M87" s="819"/>
      <c r="N87" s="816" t="s">
        <v>268</v>
      </c>
      <c r="O87" s="816"/>
      <c r="P87" s="586" t="str">
        <f>IF(K87=0,"-",INDEX('data roosters'!F:J,MATCH(N87,'data roosters'!F:F,0),2)*(K87/1000))</f>
        <v>-</v>
      </c>
      <c r="Q87" s="729" t="str">
        <f t="shared" si="12"/>
        <v>verbergen</v>
      </c>
      <c r="R87" s="603"/>
      <c r="S87" s="602"/>
      <c r="T87" s="392"/>
      <c r="U87" s="392"/>
      <c r="V87" s="547">
        <f t="shared" si="13"/>
        <v>2</v>
      </c>
      <c r="W87" s="392"/>
      <c r="X87" s="392"/>
      <c r="Y87" s="392"/>
      <c r="Z87" s="392"/>
      <c r="AA87" s="404"/>
      <c r="AB87" s="516"/>
      <c r="AC87" s="516"/>
      <c r="AD87" s="516"/>
      <c r="AE87" s="516"/>
      <c r="AF87" s="515" t="str">
        <f>IF(E87&gt;0,"x","")</f>
        <v/>
      </c>
      <c r="AG87" s="516"/>
      <c r="AH87" s="516"/>
    </row>
    <row r="88" spans="1:38" s="541" customFormat="1" ht="12" customHeight="1">
      <c r="A88" s="404"/>
      <c r="B88" s="543"/>
      <c r="C88" s="464" t="s">
        <v>252</v>
      </c>
      <c r="D88" s="737">
        <f>IF(F88="intern","",SUMPRODUCT(($AE$1:$AE$28038)*($L$1:$L$28038=C88)))</f>
        <v>0</v>
      </c>
      <c r="E88" s="604">
        <f>IF(F88="intern","",IF(D88=0,0,(IF(verzamelblad!$K$7*D88&gt;verzamelblad!$P$7,CEILING(verzamelblad!$K$7*D88,0.1),verzamelblad!$P$7))))</f>
        <v>0</v>
      </c>
      <c r="F88" s="605" t="str">
        <f>IF($S$16=1,"NT","MT")</f>
        <v>MT</v>
      </c>
      <c r="G88" s="606" t="s">
        <v>140</v>
      </c>
      <c r="H88" s="607">
        <v>0</v>
      </c>
      <c r="I88" s="812" t="s">
        <v>251</v>
      </c>
      <c r="J88" s="812"/>
      <c r="K88" s="608">
        <v>0</v>
      </c>
      <c r="L88" s="822" t="str">
        <f>IF(AND(S$16=1,S$17=2),"",IF(S$16=2,"",IF(K88=0,"",H88/(K88/1000))))</f>
        <v/>
      </c>
      <c r="M88" s="822"/>
      <c r="N88" s="823" t="s">
        <v>268</v>
      </c>
      <c r="O88" s="823"/>
      <c r="P88" s="609" t="str">
        <f>IF(K88=0,"-",INDEX('data roosters'!F:J,MATCH(N88,'data roosters'!F:F,0),2)*(K88/1000))</f>
        <v>-</v>
      </c>
      <c r="Q88" s="729" t="str">
        <f t="shared" si="12"/>
        <v>verbergen</v>
      </c>
      <c r="R88" s="603"/>
      <c r="S88" s="602"/>
      <c r="T88" s="392"/>
      <c r="U88" s="392"/>
      <c r="V88" s="547">
        <f t="shared" si="13"/>
        <v>2</v>
      </c>
      <c r="W88" s="392"/>
      <c r="X88" s="392"/>
      <c r="Y88" s="392"/>
      <c r="Z88" s="392"/>
      <c r="AA88" s="404"/>
      <c r="AB88" s="516"/>
      <c r="AC88" s="516"/>
      <c r="AD88" s="516"/>
      <c r="AE88" s="516"/>
      <c r="AF88" s="515" t="str">
        <f>IF(E88&gt;0,"x","")</f>
        <v/>
      </c>
      <c r="AG88" s="516"/>
      <c r="AH88" s="516"/>
    </row>
    <row r="89" spans="1:38" s="541" customFormat="1" ht="12" customHeight="1">
      <c r="A89" s="404"/>
      <c r="B89" s="556">
        <f>B82+1</f>
        <v>2</v>
      </c>
      <c r="C89" s="480">
        <f>B89</f>
        <v>2</v>
      </c>
      <c r="D89" s="481">
        <f>SUMPRODUCT(($AD$1:$AD$50080)*($AC$1:$AC$50080=B89))</f>
        <v>22.4</v>
      </c>
      <c r="E89" s="591">
        <f>IF(D89=0,0,(IF(verzamelblad!$E$7*D89&gt;verzamelblad!$J$7,CEILING(verzamelblad!$E$7*D89,0.1),verzamelblad!$J$7)))</f>
        <v>20.200000000000003</v>
      </c>
      <c r="F89" s="824" t="str">
        <f>IF(SUM(H84:H88)&lt;E89,"voldoet niet op VG-niveau","totaal: "&amp;SUM(H84:H88) &amp; " dm³/s ")</f>
        <v xml:space="preserve">totaal: 21 dm³/s </v>
      </c>
      <c r="G89" s="824"/>
      <c r="H89" s="824"/>
      <c r="I89" s="592"/>
      <c r="J89" s="593"/>
      <c r="K89" s="594"/>
      <c r="L89" s="595"/>
      <c r="M89" s="821"/>
      <c r="N89" s="821"/>
      <c r="O89" s="596"/>
      <c r="P89" s="597"/>
      <c r="Q89" s="403"/>
      <c r="R89" s="603"/>
      <c r="S89" s="602"/>
      <c r="T89" s="392"/>
      <c r="U89" s="392"/>
      <c r="V89" s="547">
        <f t="shared" si="13"/>
        <v>2</v>
      </c>
      <c r="W89" s="392"/>
      <c r="X89" s="392"/>
      <c r="Y89" s="392"/>
      <c r="Z89" s="392"/>
      <c r="AA89" s="404"/>
      <c r="AB89" s="516"/>
      <c r="AC89" s="516"/>
      <c r="AD89" s="516"/>
      <c r="AE89" s="516"/>
      <c r="AF89" s="515" t="str">
        <f>IF(B89&gt;0,"ja")</f>
        <v>ja</v>
      </c>
      <c r="AG89" s="516"/>
      <c r="AH89" s="516"/>
    </row>
    <row r="90" spans="1:38" s="541" customFormat="1" ht="12" customHeight="1">
      <c r="A90" s="543"/>
      <c r="B90" s="543"/>
      <c r="C90" s="598"/>
      <c r="D90" s="422"/>
      <c r="E90" s="422"/>
      <c r="F90" s="422"/>
      <c r="G90" s="422"/>
      <c r="H90" s="599"/>
      <c r="I90" s="599"/>
      <c r="J90" s="530"/>
      <c r="K90" s="600"/>
      <c r="L90" s="600"/>
      <c r="M90" s="600"/>
      <c r="N90" s="600"/>
      <c r="O90" s="600"/>
      <c r="P90" s="600"/>
      <c r="Q90" s="403"/>
      <c r="R90" s="603"/>
      <c r="S90" s="602"/>
      <c r="T90" s="392"/>
      <c r="U90" s="392"/>
      <c r="V90" s="547">
        <f t="shared" si="13"/>
        <v>2</v>
      </c>
      <c r="W90" s="392"/>
      <c r="X90" s="392"/>
      <c r="Y90" s="392"/>
      <c r="Z90" s="392"/>
      <c r="AA90" s="404"/>
      <c r="AB90" s="516"/>
      <c r="AC90" s="516"/>
      <c r="AD90" s="516"/>
      <c r="AE90" s="516"/>
      <c r="AF90" s="516"/>
      <c r="AG90" s="516"/>
      <c r="AH90" s="516"/>
    </row>
    <row r="91" spans="1:38" s="541" customFormat="1" ht="12" customHeight="1">
      <c r="A91" s="404"/>
      <c r="B91" s="543"/>
      <c r="C91" s="464" t="str">
        <f>L31</f>
        <v>slaapkamer 1</v>
      </c>
      <c r="D91" s="733">
        <f>IF(F91="intern","",SUMPRODUCT(($AE$1:$AE$28022)*($L$1:$L$28022=C91)))</f>
        <v>16.53</v>
      </c>
      <c r="E91" s="566">
        <f>IF(F91="intern","",IF(D91=0,0,(IF(verzamelblad!$K$7*D91&gt;verzamelblad!$P$7,CEILING(verzamelblad!$K$7*D91,0.1),verzamelblad!$P$7))))</f>
        <v>11.600000000000001</v>
      </c>
      <c r="F91" s="584" t="str">
        <f>IF($S$16=1,"NT","MT")</f>
        <v>MT</v>
      </c>
      <c r="G91" s="731" t="s">
        <v>140</v>
      </c>
      <c r="H91" s="565">
        <v>14</v>
      </c>
      <c r="I91" s="811" t="s">
        <v>251</v>
      </c>
      <c r="J91" s="811"/>
      <c r="K91" s="585">
        <v>0</v>
      </c>
      <c r="L91" s="819" t="str">
        <f>IF(AND(S$16=1,S$17=2),"",IF(S$16=2,"",IF(K91=0,"",H91/(K91/1000))))</f>
        <v/>
      </c>
      <c r="M91" s="819"/>
      <c r="N91" s="816" t="s">
        <v>268</v>
      </c>
      <c r="O91" s="816"/>
      <c r="P91" s="586" t="str">
        <f>IF(K91=0,"-",INDEX('data roosters'!F:J,MATCH(N91,'data roosters'!F:F,0),2)*(K91/1000))</f>
        <v>-</v>
      </c>
      <c r="Q91" s="729" t="str">
        <f>IF(AND($S$16=1,$S$17=2),IF(OR(E91&lt;&gt;0,H91&lt;&gt;0,P91&lt;&gt;"-"),"","verbergen"),IF(OR(E91&lt;&gt;0,H91&lt;&gt;0),"","verbergen"))</f>
        <v/>
      </c>
      <c r="R91" s="601"/>
      <c r="S91" s="602"/>
      <c r="T91" s="392"/>
      <c r="U91" s="392"/>
      <c r="V91" s="547">
        <f>V90+1</f>
        <v>3</v>
      </c>
      <c r="W91" s="392"/>
      <c r="X91" s="392"/>
      <c r="Y91" s="392"/>
      <c r="Z91" s="392"/>
      <c r="AA91" s="404"/>
      <c r="AB91" s="516"/>
      <c r="AC91" s="516"/>
      <c r="AD91" s="516"/>
      <c r="AE91" s="516"/>
      <c r="AF91" s="515" t="str">
        <f>IF(E91&gt;0,"x","")</f>
        <v>x</v>
      </c>
      <c r="AG91" s="516"/>
      <c r="AH91" s="516"/>
    </row>
    <row r="92" spans="1:38" s="541" customFormat="1" ht="12" customHeight="1">
      <c r="A92" s="404"/>
      <c r="B92" s="543"/>
      <c r="C92" s="464" t="str">
        <f>L32</f>
        <v>slaapkamer 2</v>
      </c>
      <c r="D92" s="733">
        <f>IF(F92="intern","",SUMPRODUCT(($AE$1:$AE$28022)*($L$1:$L$28022=C92)))</f>
        <v>7.47</v>
      </c>
      <c r="E92" s="566">
        <f>IF(F92="intern","",IF(D92=0,0,(IF(verzamelblad!$K$7*D92&gt;verzamelblad!$P$7,CEILING(verzamelblad!$K$7*D92,0.1),verzamelblad!$P$7))))</f>
        <v>7</v>
      </c>
      <c r="F92" s="584" t="str">
        <f>IF($S$16=1,"NT","MT")</f>
        <v>MT</v>
      </c>
      <c r="G92" s="731" t="s">
        <v>140</v>
      </c>
      <c r="H92" s="565">
        <v>14</v>
      </c>
      <c r="I92" s="811" t="s">
        <v>251</v>
      </c>
      <c r="J92" s="811"/>
      <c r="K92" s="585">
        <v>0</v>
      </c>
      <c r="L92" s="819" t="str">
        <f>IF(AND(S$16=1,S$17=2),"",IF(S$16=2,"",IF(K92=0,"",H92/(K92/1000))))</f>
        <v/>
      </c>
      <c r="M92" s="819"/>
      <c r="N92" s="816" t="s">
        <v>268</v>
      </c>
      <c r="O92" s="816"/>
      <c r="P92" s="586" t="str">
        <f>IF(K92=0,"-",INDEX('data roosters'!F:J,MATCH(N92,'data roosters'!F:F,0),2)*(K92/1000))</f>
        <v>-</v>
      </c>
      <c r="Q92" s="729" t="str">
        <f t="shared" ref="Q92:Q95" si="14">IF(AND($S$16=1,$S$17=2),IF(OR(E92&lt;&gt;0,H92&lt;&gt;0,P92&lt;&gt;"-"),"","verbergen"),IF(OR(E92&lt;&gt;0,H92&lt;&gt;0),"","verbergen"))</f>
        <v/>
      </c>
      <c r="R92" s="418"/>
      <c r="S92" s="602"/>
      <c r="T92" s="392"/>
      <c r="U92" s="392"/>
      <c r="V92" s="547">
        <f t="shared" ref="V92:V97" si="15">V91</f>
        <v>3</v>
      </c>
      <c r="W92" s="392"/>
      <c r="X92" s="392"/>
      <c r="Y92" s="392"/>
      <c r="Z92" s="392"/>
      <c r="AA92" s="404"/>
      <c r="AB92" s="516"/>
      <c r="AC92" s="516"/>
      <c r="AD92" s="516"/>
      <c r="AE92" s="516"/>
      <c r="AF92" s="515" t="str">
        <f>IF(E92&gt;0,"x","")</f>
        <v>x</v>
      </c>
      <c r="AG92" s="516"/>
      <c r="AH92" s="516"/>
    </row>
    <row r="93" spans="1:38" s="541" customFormat="1" ht="12" customHeight="1">
      <c r="A93" s="404"/>
      <c r="B93" s="543"/>
      <c r="C93" s="464" t="str">
        <f>L33</f>
        <v>studeerkamer</v>
      </c>
      <c r="D93" s="733">
        <f>IF(F93="intern","",SUMPRODUCT(($AE$1:$AE$28022)*($L$1:$L$28022=C93)))</f>
        <v>3.66</v>
      </c>
      <c r="E93" s="566">
        <f>IF(F93="intern","",IF(D93=0,0,(IF(verzamelblad!$K$7*D93&gt;verzamelblad!$P$7,CEILING(verzamelblad!$K$7*D93,0.1),verzamelblad!$P$7))))</f>
        <v>7</v>
      </c>
      <c r="F93" s="584" t="str">
        <f>IF($S$16=1,"NT","MT")</f>
        <v>MT</v>
      </c>
      <c r="G93" s="731" t="s">
        <v>140</v>
      </c>
      <c r="H93" s="565">
        <v>14</v>
      </c>
      <c r="I93" s="811" t="s">
        <v>251</v>
      </c>
      <c r="J93" s="811"/>
      <c r="K93" s="585">
        <v>0</v>
      </c>
      <c r="L93" s="819" t="str">
        <f>IF(AND(S$16=1,S$17=2),"",IF(S$16=2,"",IF(K93=0,"",H93/(K93/1000))))</f>
        <v/>
      </c>
      <c r="M93" s="819"/>
      <c r="N93" s="816" t="s">
        <v>268</v>
      </c>
      <c r="O93" s="816"/>
      <c r="P93" s="586" t="str">
        <f>IF(K93=0,"-",INDEX('data roosters'!F:J,MATCH(N93,'data roosters'!F:F,0),2)*(K93/1000))</f>
        <v>-</v>
      </c>
      <c r="Q93" s="729" t="str">
        <f t="shared" si="14"/>
        <v/>
      </c>
      <c r="R93" s="603"/>
      <c r="S93" s="602"/>
      <c r="T93" s="392"/>
      <c r="U93" s="392"/>
      <c r="V93" s="547">
        <f t="shared" si="15"/>
        <v>3</v>
      </c>
      <c r="W93" s="392"/>
      <c r="X93" s="392"/>
      <c r="Y93" s="392"/>
      <c r="Z93" s="392"/>
      <c r="AA93" s="404"/>
      <c r="AB93" s="516"/>
      <c r="AC93" s="516"/>
      <c r="AD93" s="516"/>
      <c r="AE93" s="516"/>
      <c r="AF93" s="515" t="str">
        <f>IF(E93&gt;0,"x","")</f>
        <v>x</v>
      </c>
      <c r="AG93" s="516"/>
      <c r="AH93" s="516"/>
    </row>
    <row r="94" spans="1:38" s="541" customFormat="1" ht="12" customHeight="1">
      <c r="A94" s="404"/>
      <c r="B94" s="543"/>
      <c r="C94" s="464" t="str">
        <f>L34</f>
        <v>slaapkamer 3</v>
      </c>
      <c r="D94" s="733">
        <f>IF(F94="intern","",SUMPRODUCT(($AE$1:$AE$28022)*($L$1:$L$28022=C94)))</f>
        <v>9.3000000000000007</v>
      </c>
      <c r="E94" s="566">
        <f>IF(F94="intern","",IF(D94=0,0,(IF(verzamelblad!$K$7*D94&gt;verzamelblad!$P$7,CEILING(verzamelblad!$K$7*D94,0.1),verzamelblad!$P$7))))</f>
        <v>7</v>
      </c>
      <c r="F94" s="584" t="str">
        <f>IF($S$16=1,"NT","MT")</f>
        <v>MT</v>
      </c>
      <c r="G94" s="731" t="s">
        <v>140</v>
      </c>
      <c r="H94" s="565">
        <v>0</v>
      </c>
      <c r="I94" s="811" t="s">
        <v>251</v>
      </c>
      <c r="J94" s="811"/>
      <c r="K94" s="585">
        <v>0</v>
      </c>
      <c r="L94" s="819" t="str">
        <f>IF(AND(S$16=1,S$17=2),"",IF(S$16=2,"",IF(K94=0,"",H94/(K94/1000))))</f>
        <v/>
      </c>
      <c r="M94" s="819"/>
      <c r="N94" s="816" t="s">
        <v>268</v>
      </c>
      <c r="O94" s="816"/>
      <c r="P94" s="586" t="str">
        <f>IF(K94=0,"-",INDEX('data roosters'!F:J,MATCH(N94,'data roosters'!F:F,0),2)*(K94/1000))</f>
        <v>-</v>
      </c>
      <c r="Q94" s="729" t="str">
        <f t="shared" si="14"/>
        <v/>
      </c>
      <c r="R94" s="603"/>
      <c r="S94" s="602"/>
      <c r="T94" s="392"/>
      <c r="U94" s="392"/>
      <c r="V94" s="547">
        <f t="shared" si="15"/>
        <v>3</v>
      </c>
      <c r="W94" s="392"/>
      <c r="X94" s="392"/>
      <c r="Y94" s="392"/>
      <c r="Z94" s="392"/>
      <c r="AA94" s="404"/>
      <c r="AB94" s="516"/>
      <c r="AC94" s="516"/>
      <c r="AD94" s="516"/>
      <c r="AE94" s="516"/>
      <c r="AF94" s="515" t="str">
        <f>IF(E94&gt;0,"x","")</f>
        <v>x</v>
      </c>
      <c r="AG94" s="516"/>
      <c r="AH94" s="516"/>
    </row>
    <row r="95" spans="1:38" s="541" customFormat="1" ht="12" customHeight="1">
      <c r="A95" s="404"/>
      <c r="B95" s="543"/>
      <c r="C95" s="472" t="s">
        <v>252</v>
      </c>
      <c r="D95" s="737">
        <f>IF(F95="intern","",SUMPRODUCT(($AE$1:$AE$28022)*($L$1:$L$28022=C95)))</f>
        <v>0</v>
      </c>
      <c r="E95" s="604">
        <f>IF(F95="intern","",IF(D95=0,0,(IF(verzamelblad!$K$7*D95&gt;verzamelblad!$P$7,CEILING(verzamelblad!$K$7*D95,0.1),verzamelblad!$P$7))))</f>
        <v>0</v>
      </c>
      <c r="F95" s="605" t="str">
        <f>IF($S$16=1,"NT","MT")</f>
        <v>MT</v>
      </c>
      <c r="G95" s="606" t="s">
        <v>140</v>
      </c>
      <c r="H95" s="607">
        <v>14</v>
      </c>
      <c r="I95" s="812" t="s">
        <v>251</v>
      </c>
      <c r="J95" s="812"/>
      <c r="K95" s="608">
        <v>0</v>
      </c>
      <c r="L95" s="822" t="str">
        <f>IF(AND(S$16=1,S$17=2),"",IF(S$16=2,"",IF(K95=0,"",H95/(K95/1000))))</f>
        <v/>
      </c>
      <c r="M95" s="822"/>
      <c r="N95" s="823" t="s">
        <v>268</v>
      </c>
      <c r="O95" s="823"/>
      <c r="P95" s="609" t="str">
        <f>IF(K95=0,"-",INDEX('data roosters'!F:J,MATCH(N95,'data roosters'!F:F,0),2)*(K95/1000))</f>
        <v>-</v>
      </c>
      <c r="Q95" s="729" t="str">
        <f t="shared" si="14"/>
        <v/>
      </c>
      <c r="R95" s="603"/>
      <c r="S95" s="602"/>
      <c r="T95" s="392"/>
      <c r="U95" s="392"/>
      <c r="V95" s="547">
        <f t="shared" si="15"/>
        <v>3</v>
      </c>
      <c r="W95" s="392"/>
      <c r="X95" s="392"/>
      <c r="Y95" s="392"/>
      <c r="Z95" s="392"/>
      <c r="AA95" s="404"/>
      <c r="AB95" s="516"/>
      <c r="AC95" s="516"/>
      <c r="AD95" s="516"/>
      <c r="AE95" s="516"/>
      <c r="AF95" s="515" t="str">
        <f>IF(E95&gt;0,"x","")</f>
        <v/>
      </c>
      <c r="AG95" s="516"/>
      <c r="AH95" s="516"/>
    </row>
    <row r="96" spans="1:38" s="541" customFormat="1" ht="12" customHeight="1">
      <c r="A96" s="404"/>
      <c r="B96" s="556">
        <f>B89+1</f>
        <v>3</v>
      </c>
      <c r="C96" s="480">
        <f>B96</f>
        <v>3</v>
      </c>
      <c r="D96" s="481">
        <f>SUMPRODUCT(($AD$1:$AD$50064)*($AC$1:$AC$50064=B96))</f>
        <v>27.86</v>
      </c>
      <c r="E96" s="591">
        <f>IF(D96=0,0,(IF(verzamelblad!$E$7*D96&gt;verzamelblad!$J$7,CEILING(verzamelblad!$E$7*D96,0.1),verzamelblad!$J$7)))</f>
        <v>25.1</v>
      </c>
      <c r="F96" s="824" t="str">
        <f>IF(SUM(H91:H95)&lt;E96,"voldoet niet op VG-niveau","totaal: "&amp;SUM(H91:H95) &amp; " dm³/s ")</f>
        <v xml:space="preserve">totaal: 56 dm³/s </v>
      </c>
      <c r="G96" s="824"/>
      <c r="H96" s="824"/>
      <c r="I96" s="592"/>
      <c r="J96" s="593"/>
      <c r="K96" s="594"/>
      <c r="L96" s="595"/>
      <c r="M96" s="821"/>
      <c r="N96" s="821"/>
      <c r="O96" s="596"/>
      <c r="P96" s="597"/>
      <c r="Q96" s="403"/>
      <c r="R96" s="603"/>
      <c r="S96" s="602"/>
      <c r="T96" s="392"/>
      <c r="U96" s="392"/>
      <c r="V96" s="547">
        <f t="shared" si="15"/>
        <v>3</v>
      </c>
      <c r="W96" s="392"/>
      <c r="X96" s="392"/>
      <c r="Y96" s="392"/>
      <c r="Z96" s="392"/>
      <c r="AA96" s="404"/>
      <c r="AB96" s="516"/>
      <c r="AC96" s="516"/>
      <c r="AD96" s="516"/>
      <c r="AE96" s="516"/>
      <c r="AF96" s="515" t="str">
        <f>IF(B96&gt;0,"ja")</f>
        <v>ja</v>
      </c>
      <c r="AG96" s="516"/>
      <c r="AH96" s="516"/>
    </row>
    <row r="97" spans="1:34" s="541" customFormat="1" ht="12" customHeight="1">
      <c r="A97" s="543"/>
      <c r="B97" s="543"/>
      <c r="C97" s="598"/>
      <c r="D97" s="422"/>
      <c r="E97" s="422"/>
      <c r="F97" s="422"/>
      <c r="G97" s="422"/>
      <c r="H97" s="599"/>
      <c r="I97" s="599"/>
      <c r="J97" s="530"/>
      <c r="K97" s="600"/>
      <c r="L97" s="600"/>
      <c r="M97" s="600"/>
      <c r="N97" s="600"/>
      <c r="O97" s="600"/>
      <c r="P97" s="600"/>
      <c r="Q97" s="403"/>
      <c r="R97" s="603"/>
      <c r="S97" s="602"/>
      <c r="T97" s="392"/>
      <c r="U97" s="392"/>
      <c r="V97" s="547">
        <f t="shared" si="15"/>
        <v>3</v>
      </c>
      <c r="W97" s="392"/>
      <c r="X97" s="392"/>
      <c r="Y97" s="392"/>
      <c r="Z97" s="392"/>
      <c r="AA97" s="404"/>
      <c r="AB97" s="516"/>
      <c r="AC97" s="516"/>
      <c r="AD97" s="516"/>
      <c r="AE97" s="516"/>
      <c r="AF97" s="516"/>
      <c r="AG97" s="516"/>
      <c r="AH97" s="516"/>
    </row>
    <row r="98" spans="1:34" s="541" customFormat="1" ht="12" customHeight="1">
      <c r="A98" s="515"/>
      <c r="B98" s="515"/>
      <c r="C98" s="610" t="s">
        <v>745</v>
      </c>
      <c r="D98" s="422"/>
      <c r="E98" s="611" t="str">
        <f>IF(SUM(H98:H102)=0,"n.v.t.","")</f>
        <v>n.v.t.</v>
      </c>
      <c r="F98" s="422"/>
      <c r="G98" s="422"/>
      <c r="H98" s="599"/>
      <c r="I98" s="599"/>
      <c r="J98" s="530"/>
      <c r="K98" s="600"/>
      <c r="L98" s="600"/>
      <c r="M98" s="600"/>
      <c r="N98" s="600"/>
      <c r="O98" s="600"/>
      <c r="P98" s="600"/>
      <c r="Q98" s="459"/>
      <c r="R98" s="589"/>
      <c r="S98" s="529"/>
      <c r="T98" s="516"/>
      <c r="U98" s="516"/>
      <c r="V98" s="507"/>
      <c r="W98" s="516"/>
      <c r="X98" s="516"/>
      <c r="Y98" s="516"/>
      <c r="Z98" s="516"/>
      <c r="AB98" s="516"/>
      <c r="AC98" s="516"/>
      <c r="AD98" s="516"/>
      <c r="AE98" s="516"/>
      <c r="AF98" s="516"/>
      <c r="AG98" s="516"/>
      <c r="AH98" s="516"/>
    </row>
    <row r="99" spans="1:34" s="541" customFormat="1" ht="12" customHeight="1">
      <c r="B99" s="515"/>
      <c r="C99" s="464" t="s">
        <v>140</v>
      </c>
      <c r="D99" s="733"/>
      <c r="E99" s="566"/>
      <c r="F99" s="584" t="str">
        <f>IF($S$16=1,"NT","MT")</f>
        <v>MT</v>
      </c>
      <c r="G99" s="731" t="s">
        <v>140</v>
      </c>
      <c r="H99" s="565">
        <v>0</v>
      </c>
      <c r="I99" s="811" t="s">
        <v>251</v>
      </c>
      <c r="J99" s="811"/>
      <c r="K99" s="585">
        <v>0</v>
      </c>
      <c r="L99" s="819" t="str">
        <f>IF(AND(S$16=1,S$17=2),"",IF(S$16=2,"",IF(K99=0,"",H99/(K99/1000))))</f>
        <v/>
      </c>
      <c r="M99" s="819"/>
      <c r="N99" s="816" t="s">
        <v>268</v>
      </c>
      <c r="O99" s="816"/>
      <c r="P99" s="586" t="str">
        <f>IF(K99=0,"-",INDEX('data roosters'!F:J,MATCH(N99,'data roosters'!F:F,0),2)*(K99/1000))</f>
        <v>-</v>
      </c>
      <c r="Q99" s="525" t="str">
        <f>IF(AND($S$16=1,$S$17=2),IF(OR(H99&lt;&gt;0,P99&lt;&gt;"-"),"","verbergen"),IF(H99&lt;&gt;0,"","verbergen"))</f>
        <v>verbergen</v>
      </c>
      <c r="R99" s="612"/>
      <c r="S99" s="529"/>
      <c r="T99" s="516"/>
      <c r="U99" s="516"/>
      <c r="V99" s="507"/>
      <c r="W99" s="516"/>
      <c r="X99" s="516"/>
      <c r="Y99" s="516"/>
      <c r="Z99" s="516"/>
      <c r="AB99" s="516"/>
      <c r="AC99" s="516"/>
      <c r="AD99" s="516"/>
      <c r="AE99" s="516"/>
      <c r="AF99" s="515"/>
      <c r="AG99" s="516"/>
      <c r="AH99" s="516"/>
    </row>
    <row r="100" spans="1:34" s="541" customFormat="1" ht="12" customHeight="1">
      <c r="B100" s="515"/>
      <c r="C100" s="464" t="s">
        <v>140</v>
      </c>
      <c r="D100" s="733"/>
      <c r="E100" s="566"/>
      <c r="F100" s="584" t="str">
        <f>IF($S$16=1,"NT","MT")</f>
        <v>MT</v>
      </c>
      <c r="G100" s="731" t="s">
        <v>140</v>
      </c>
      <c r="H100" s="565">
        <v>0</v>
      </c>
      <c r="I100" s="811" t="s">
        <v>251</v>
      </c>
      <c r="J100" s="811"/>
      <c r="K100" s="585">
        <v>0</v>
      </c>
      <c r="L100" s="819" t="str">
        <f>IF(AND(S$16=1,S$17=2),"",IF(S$16=2,"",IF(K100=0,"",H100/(K100/1000))))</f>
        <v/>
      </c>
      <c r="M100" s="819"/>
      <c r="N100" s="816" t="s">
        <v>268</v>
      </c>
      <c r="O100" s="816"/>
      <c r="P100" s="586" t="str">
        <f>IF(K100=0,"-",INDEX('data roosters'!F:J,MATCH(N100,'data roosters'!F:F,0),2)*(K100/1000))</f>
        <v>-</v>
      </c>
      <c r="Q100" s="525" t="str">
        <f t="shared" ref="Q100:Q102" si="16">IF(AND($S$16=1,$S$17=2),IF(OR(H100&lt;&gt;0,P100&lt;&gt;"-"),"","verbergen"),IF(H100&lt;&gt;0,"","verbergen"))</f>
        <v>verbergen</v>
      </c>
      <c r="R100" s="589"/>
      <c r="S100" s="529"/>
      <c r="T100" s="516"/>
      <c r="U100" s="516"/>
      <c r="V100" s="507"/>
      <c r="W100" s="516"/>
      <c r="X100" s="516"/>
      <c r="Y100" s="516"/>
      <c r="Z100" s="516"/>
      <c r="AB100" s="516"/>
      <c r="AC100" s="516"/>
      <c r="AD100" s="516"/>
      <c r="AE100" s="516"/>
      <c r="AF100" s="515"/>
      <c r="AG100" s="516"/>
      <c r="AH100" s="516"/>
    </row>
    <row r="101" spans="1:34" s="541" customFormat="1" ht="12" customHeight="1">
      <c r="B101" s="515"/>
      <c r="C101" s="464" t="s">
        <v>140</v>
      </c>
      <c r="D101" s="733"/>
      <c r="E101" s="566"/>
      <c r="F101" s="584" t="str">
        <f>IF($S$16=1,"NT","MT")</f>
        <v>MT</v>
      </c>
      <c r="G101" s="731" t="s">
        <v>140</v>
      </c>
      <c r="H101" s="565">
        <v>0</v>
      </c>
      <c r="I101" s="811" t="s">
        <v>251</v>
      </c>
      <c r="J101" s="811"/>
      <c r="K101" s="585">
        <v>0</v>
      </c>
      <c r="L101" s="819" t="str">
        <f>IF(AND(S$16=1,S$17=2),"",IF(S$16=2,"",IF(K101=0,"",H101/(K101/1000))))</f>
        <v/>
      </c>
      <c r="M101" s="819"/>
      <c r="N101" s="816" t="s">
        <v>268</v>
      </c>
      <c r="O101" s="816"/>
      <c r="P101" s="586" t="str">
        <f>IF(K101=0,"-",INDEX('data roosters'!F:J,MATCH(N101,'data roosters'!F:F,0),2)*(K101/1000))</f>
        <v>-</v>
      </c>
      <c r="Q101" s="525" t="str">
        <f t="shared" si="16"/>
        <v>verbergen</v>
      </c>
      <c r="R101" s="589"/>
      <c r="S101" s="529"/>
      <c r="T101" s="516"/>
      <c r="U101" s="516"/>
      <c r="V101" s="507"/>
      <c r="W101" s="516"/>
      <c r="X101" s="516"/>
      <c r="Y101" s="516"/>
      <c r="Z101" s="516"/>
      <c r="AB101" s="516"/>
      <c r="AC101" s="516"/>
      <c r="AD101" s="516"/>
      <c r="AE101" s="516"/>
      <c r="AF101" s="515"/>
      <c r="AG101" s="516"/>
      <c r="AH101" s="516"/>
    </row>
    <row r="102" spans="1:34" s="541" customFormat="1" ht="12" customHeight="1">
      <c r="B102" s="515"/>
      <c r="C102" s="464" t="s">
        <v>140</v>
      </c>
      <c r="D102" s="733"/>
      <c r="E102" s="566"/>
      <c r="F102" s="584" t="str">
        <f>IF($S$16=1,"NT","MT")</f>
        <v>MT</v>
      </c>
      <c r="G102" s="731" t="s">
        <v>140</v>
      </c>
      <c r="H102" s="565">
        <v>0</v>
      </c>
      <c r="I102" s="811" t="s">
        <v>251</v>
      </c>
      <c r="J102" s="811"/>
      <c r="K102" s="585">
        <v>0</v>
      </c>
      <c r="L102" s="819" t="str">
        <f>IF(AND(S$16=1,S$17=2),"",IF(S$16=2,"",IF(K102=0,"",H102/(K102/1000))))</f>
        <v/>
      </c>
      <c r="M102" s="819"/>
      <c r="N102" s="816" t="s">
        <v>268</v>
      </c>
      <c r="O102" s="816"/>
      <c r="P102" s="586" t="str">
        <f>IF(K102=0,"-",INDEX('data roosters'!F:J,MATCH(N102,'data roosters'!F:F,0),2)*(K102/1000))</f>
        <v>-</v>
      </c>
      <c r="Q102" s="525" t="str">
        <f t="shared" si="16"/>
        <v>verbergen</v>
      </c>
      <c r="R102" s="589"/>
      <c r="S102" s="529"/>
      <c r="T102" s="516"/>
      <c r="U102" s="516"/>
      <c r="V102" s="507"/>
      <c r="W102" s="516"/>
      <c r="X102" s="516"/>
      <c r="Y102" s="516"/>
      <c r="Z102" s="516"/>
      <c r="AB102" s="516"/>
      <c r="AC102" s="516"/>
      <c r="AD102" s="516"/>
      <c r="AE102" s="516"/>
      <c r="AF102" s="515"/>
      <c r="AG102" s="516"/>
      <c r="AH102" s="516"/>
    </row>
    <row r="103" spans="1:34" s="541" customFormat="1" ht="12" customHeight="1">
      <c r="B103" s="590"/>
      <c r="C103" s="610"/>
      <c r="D103" s="733"/>
      <c r="E103" s="566"/>
      <c r="F103" s="825"/>
      <c r="G103" s="825"/>
      <c r="H103" s="825"/>
      <c r="I103" s="404"/>
      <c r="J103" s="613"/>
      <c r="K103" s="422"/>
      <c r="L103" s="614"/>
      <c r="M103" s="826"/>
      <c r="N103" s="826"/>
      <c r="O103" s="565"/>
      <c r="P103" s="615"/>
      <c r="Q103" s="459"/>
      <c r="R103" s="589"/>
      <c r="S103" s="529"/>
      <c r="T103" s="516"/>
      <c r="U103" s="516"/>
      <c r="V103" s="547"/>
      <c r="W103" s="516"/>
      <c r="X103" s="516"/>
      <c r="Y103" s="516"/>
      <c r="Z103" s="516"/>
      <c r="AB103" s="516"/>
      <c r="AC103" s="516"/>
      <c r="AD103" s="516"/>
      <c r="AE103" s="516"/>
      <c r="AF103" s="515"/>
      <c r="AG103" s="516"/>
      <c r="AH103" s="516"/>
    </row>
    <row r="104" spans="1:34" s="518" customFormat="1" ht="15" customHeight="1">
      <c r="A104" s="515"/>
      <c r="B104" s="515"/>
      <c r="C104" s="457" t="s">
        <v>1086</v>
      </c>
      <c r="D104" s="575"/>
      <c r="E104" s="575"/>
      <c r="F104" s="575"/>
      <c r="G104" s="575"/>
      <c r="H104" s="575"/>
      <c r="I104" s="575"/>
      <c r="J104" s="575"/>
      <c r="K104" s="575"/>
      <c r="L104" s="575"/>
      <c r="M104" s="575"/>
      <c r="N104" s="575"/>
      <c r="O104" s="575"/>
      <c r="P104" s="575"/>
      <c r="Q104" s="516"/>
      <c r="R104" s="616"/>
      <c r="S104" s="516"/>
      <c r="T104" s="521"/>
      <c r="U104" s="516"/>
      <c r="V104" s="517"/>
      <c r="W104" s="517"/>
      <c r="X104" s="517"/>
      <c r="Y104" s="517"/>
      <c r="Z104" s="517"/>
      <c r="AA104" s="517"/>
      <c r="AB104" s="517"/>
      <c r="AC104" s="524"/>
      <c r="AD104" s="517"/>
      <c r="AE104" s="517"/>
      <c r="AF104" s="517"/>
    </row>
    <row r="105" spans="1:34" s="518" customFormat="1" ht="12.75" hidden="1" customHeight="1">
      <c r="A105" s="515"/>
      <c r="B105" s="515"/>
      <c r="C105" s="576"/>
      <c r="D105" s="576"/>
      <c r="E105" s="576"/>
      <c r="F105" s="576"/>
      <c r="G105" s="576"/>
      <c r="H105" s="577"/>
      <c r="I105" s="577"/>
      <c r="J105" s="577"/>
      <c r="K105" s="577"/>
      <c r="L105" s="577"/>
      <c r="M105" s="577"/>
      <c r="N105" s="577"/>
      <c r="O105" s="577"/>
      <c r="P105" s="577"/>
      <c r="Q105" s="522"/>
      <c r="R105" s="516"/>
      <c r="S105" s="516"/>
      <c r="T105" s="521"/>
      <c r="U105" s="516"/>
      <c r="V105" s="548"/>
      <c r="W105" s="548"/>
      <c r="X105" s="548"/>
      <c r="Y105" s="548"/>
      <c r="Z105" s="517"/>
      <c r="AA105" s="517"/>
      <c r="AB105" s="517"/>
      <c r="AC105" s="524"/>
      <c r="AD105" s="517"/>
      <c r="AE105" s="517"/>
      <c r="AF105" s="517"/>
    </row>
    <row r="106" spans="1:34" ht="15" customHeight="1">
      <c r="A106" s="492"/>
      <c r="B106" s="492"/>
      <c r="C106" s="579" t="s">
        <v>133</v>
      </c>
      <c r="D106" s="580"/>
      <c r="E106" s="580"/>
      <c r="F106" s="460" t="s">
        <v>653</v>
      </c>
      <c r="G106" s="736" t="s">
        <v>34</v>
      </c>
      <c r="H106" s="736" t="s">
        <v>1135</v>
      </c>
      <c r="I106" s="580"/>
      <c r="J106" s="580"/>
      <c r="K106" s="580"/>
      <c r="L106" s="580"/>
      <c r="M106" s="580"/>
      <c r="N106" s="580"/>
      <c r="O106" s="580"/>
      <c r="P106" s="580"/>
      <c r="Q106" s="507"/>
      <c r="R106" s="507"/>
      <c r="S106" s="507"/>
      <c r="T106" s="532"/>
      <c r="U106" s="507"/>
      <c r="V106" s="508"/>
      <c r="W106" s="508"/>
      <c r="X106" s="508"/>
      <c r="Y106" s="508"/>
      <c r="Z106" s="508"/>
      <c r="AA106" s="508"/>
      <c r="AB106" s="508"/>
      <c r="AC106" s="534"/>
      <c r="AD106" s="508"/>
      <c r="AE106" s="508"/>
      <c r="AF106" s="508"/>
    </row>
    <row r="107" spans="1:34" s="518" customFormat="1" ht="12" customHeight="1">
      <c r="A107" s="515"/>
      <c r="B107" s="515"/>
      <c r="C107" s="617" t="s">
        <v>728</v>
      </c>
      <c r="D107" s="404"/>
      <c r="E107" s="404"/>
      <c r="F107" s="618">
        <v>2</v>
      </c>
      <c r="G107" s="619">
        <f>F107*7</f>
        <v>14</v>
      </c>
      <c r="H107" s="620">
        <v>28</v>
      </c>
      <c r="I107" s="621"/>
      <c r="J107" s="622"/>
      <c r="K107" s="827"/>
      <c r="L107" s="827"/>
      <c r="M107" s="827"/>
      <c r="N107" s="827"/>
      <c r="O107" s="827"/>
      <c r="P107" s="827"/>
      <c r="Q107" s="525" t="str">
        <f t="shared" ref="Q107:Q112" si="17">IF(H107&gt;0,"","verbergen")</f>
        <v/>
      </c>
      <c r="R107" s="589"/>
      <c r="S107" s="529"/>
      <c r="T107" s="516"/>
      <c r="U107" s="516"/>
      <c r="V107" s="508"/>
      <c r="W107" s="517"/>
      <c r="X107" s="517"/>
      <c r="Y107" s="517"/>
      <c r="Z107" s="517"/>
      <c r="AA107" s="517"/>
      <c r="AB107" s="517"/>
      <c r="AC107" s="517"/>
      <c r="AD107" s="517"/>
      <c r="AE107" s="517"/>
      <c r="AF107" s="517"/>
      <c r="AG107" s="517"/>
      <c r="AH107" s="517"/>
    </row>
    <row r="108" spans="1:34" s="518" customFormat="1" ht="12" customHeight="1">
      <c r="A108" s="515"/>
      <c r="B108" s="590"/>
      <c r="C108" s="617" t="s">
        <v>729</v>
      </c>
      <c r="D108" s="404"/>
      <c r="E108" s="404"/>
      <c r="F108" s="618">
        <v>1</v>
      </c>
      <c r="G108" s="619">
        <f>F108*14</f>
        <v>14</v>
      </c>
      <c r="H108" s="620">
        <v>21</v>
      </c>
      <c r="I108" s="621"/>
      <c r="J108" s="622"/>
      <c r="K108" s="827"/>
      <c r="L108" s="827"/>
      <c r="M108" s="827"/>
      <c r="N108" s="827"/>
      <c r="O108" s="827"/>
      <c r="P108" s="827"/>
      <c r="Q108" s="525" t="str">
        <f t="shared" si="17"/>
        <v/>
      </c>
      <c r="R108" s="623"/>
      <c r="S108" s="624"/>
      <c r="T108" s="516"/>
      <c r="U108" s="516"/>
      <c r="V108" s="508"/>
      <c r="W108" s="517"/>
      <c r="X108" s="517"/>
      <c r="Y108" s="517"/>
      <c r="Z108" s="517"/>
      <c r="AA108" s="517"/>
      <c r="AB108" s="517"/>
      <c r="AC108" s="517"/>
      <c r="AD108" s="517"/>
      <c r="AE108" s="517"/>
      <c r="AF108" s="517"/>
    </row>
    <row r="109" spans="1:34" s="518" customFormat="1" ht="12" customHeight="1">
      <c r="A109" s="515"/>
      <c r="B109" s="515"/>
      <c r="C109" s="617" t="s">
        <v>727</v>
      </c>
      <c r="D109" s="404"/>
      <c r="E109" s="404"/>
      <c r="F109" s="618">
        <v>1</v>
      </c>
      <c r="G109" s="619">
        <f>F109*21</f>
        <v>21</v>
      </c>
      <c r="H109" s="620">
        <v>28</v>
      </c>
      <c r="I109" s="621"/>
      <c r="J109" s="622"/>
      <c r="K109" s="827"/>
      <c r="L109" s="827"/>
      <c r="M109" s="827"/>
      <c r="N109" s="827"/>
      <c r="O109" s="827"/>
      <c r="P109" s="827"/>
      <c r="Q109" s="525" t="str">
        <f t="shared" si="17"/>
        <v/>
      </c>
      <c r="R109" s="625"/>
      <c r="S109" s="624"/>
      <c r="T109" s="516"/>
      <c r="U109" s="516"/>
      <c r="V109" s="508"/>
      <c r="W109" s="517"/>
      <c r="X109" s="517"/>
      <c r="Y109" s="517"/>
      <c r="Z109" s="517"/>
      <c r="AA109" s="517"/>
      <c r="AB109" s="517"/>
      <c r="AC109" s="517"/>
      <c r="AD109" s="517"/>
      <c r="AE109" s="517"/>
      <c r="AF109" s="517"/>
    </row>
    <row r="110" spans="1:34" s="518" customFormat="1" ht="12" customHeight="1">
      <c r="A110" s="515"/>
      <c r="B110" s="515"/>
      <c r="C110" s="617" t="s">
        <v>140</v>
      </c>
      <c r="D110" s="404"/>
      <c r="E110" s="404"/>
      <c r="F110" s="626"/>
      <c r="G110" s="619" t="s">
        <v>268</v>
      </c>
      <c r="H110" s="620"/>
      <c r="I110" s="621"/>
      <c r="J110" s="622"/>
      <c r="K110" s="827"/>
      <c r="L110" s="827"/>
      <c r="M110" s="827"/>
      <c r="N110" s="827"/>
      <c r="O110" s="827"/>
      <c r="P110" s="827"/>
      <c r="Q110" s="525" t="str">
        <f t="shared" si="17"/>
        <v>verbergen</v>
      </c>
      <c r="R110" s="625"/>
      <c r="S110" s="624"/>
      <c r="T110" s="516"/>
      <c r="U110" s="516"/>
      <c r="V110" s="508"/>
      <c r="W110" s="517"/>
      <c r="X110" s="517"/>
      <c r="Y110" s="517"/>
      <c r="Z110" s="517"/>
      <c r="AA110" s="517"/>
      <c r="AB110" s="517"/>
      <c r="AC110" s="517"/>
      <c r="AD110" s="517"/>
      <c r="AE110" s="517"/>
      <c r="AF110" s="517"/>
    </row>
    <row r="111" spans="1:34" s="518" customFormat="1" ht="12" customHeight="1">
      <c r="A111" s="515"/>
      <c r="B111" s="515"/>
      <c r="C111" s="617" t="s">
        <v>140</v>
      </c>
      <c r="D111" s="404"/>
      <c r="E111" s="404"/>
      <c r="F111" s="626"/>
      <c r="G111" s="619" t="s">
        <v>268</v>
      </c>
      <c r="H111" s="620"/>
      <c r="I111" s="621"/>
      <c r="J111" s="622"/>
      <c r="K111" s="827"/>
      <c r="L111" s="827"/>
      <c r="M111" s="827"/>
      <c r="N111" s="827"/>
      <c r="O111" s="827"/>
      <c r="P111" s="827"/>
      <c r="Q111" s="525" t="str">
        <f t="shared" si="17"/>
        <v>verbergen</v>
      </c>
      <c r="R111" s="625"/>
      <c r="S111" s="624"/>
      <c r="T111" s="516"/>
      <c r="U111" s="516"/>
      <c r="V111" s="508"/>
      <c r="W111" s="517"/>
      <c r="X111" s="517"/>
      <c r="Y111" s="517"/>
      <c r="Z111" s="517"/>
      <c r="AA111" s="517"/>
      <c r="AB111" s="517"/>
      <c r="AC111" s="517"/>
      <c r="AD111" s="517"/>
      <c r="AE111" s="517"/>
      <c r="AF111" s="517"/>
    </row>
    <row r="112" spans="1:34" s="518" customFormat="1" ht="12" customHeight="1">
      <c r="A112" s="515"/>
      <c r="B112" s="515"/>
      <c r="C112" s="627" t="s">
        <v>140</v>
      </c>
      <c r="D112" s="628"/>
      <c r="E112" s="628"/>
      <c r="F112" s="629"/>
      <c r="G112" s="630" t="s">
        <v>268</v>
      </c>
      <c r="H112" s="631"/>
      <c r="I112" s="632"/>
      <c r="J112" s="633"/>
      <c r="K112" s="828"/>
      <c r="L112" s="828"/>
      <c r="M112" s="828"/>
      <c r="N112" s="828"/>
      <c r="O112" s="828"/>
      <c r="P112" s="828"/>
      <c r="Q112" s="525" t="str">
        <f t="shared" si="17"/>
        <v>verbergen</v>
      </c>
      <c r="R112" s="625"/>
      <c r="S112" s="624"/>
      <c r="T112" s="516"/>
      <c r="U112" s="516"/>
      <c r="V112" s="508"/>
      <c r="W112" s="517"/>
      <c r="X112" s="517"/>
      <c r="Y112" s="517"/>
      <c r="Z112" s="517"/>
      <c r="AA112" s="517"/>
      <c r="AB112" s="517"/>
      <c r="AC112" s="517"/>
      <c r="AD112" s="517"/>
      <c r="AE112" s="517"/>
      <c r="AF112" s="517"/>
    </row>
    <row r="113" spans="1:32" s="518" customFormat="1" ht="12" customHeight="1">
      <c r="A113" s="515"/>
      <c r="B113" s="515"/>
      <c r="C113" s="634" t="s">
        <v>16</v>
      </c>
      <c r="D113" s="592"/>
      <c r="E113" s="592"/>
      <c r="F113" s="635"/>
      <c r="G113" s="636">
        <f>SUM(G107:G112)</f>
        <v>49</v>
      </c>
      <c r="H113" s="636">
        <f>SUM(H107:H112)</f>
        <v>77</v>
      </c>
      <c r="I113" s="637"/>
      <c r="J113" s="732" t="str">
        <f>IF(M113="","","toe- en afvoer niet in balans")</f>
        <v/>
      </c>
      <c r="K113" s="638"/>
      <c r="L113" s="639"/>
      <c r="M113" s="829" t="str">
        <f>IF(SUMIF(F76:F103,R113,H76:H103)-H113-H125=0,"",SUMIF(F76:F103,R113,H76:H103)-H113-H125)</f>
        <v/>
      </c>
      <c r="N113" s="830"/>
      <c r="O113" s="830"/>
      <c r="P113" s="830"/>
      <c r="Q113" s="525"/>
      <c r="R113" s="625" t="str">
        <f>IF(OR(RIGHT(LEFT(D67,9),1)="A",RIGHT(LEFT(D67,9),1)="C"),"NT","MT")</f>
        <v>MT</v>
      </c>
      <c r="S113" s="624"/>
      <c r="T113" s="516"/>
      <c r="U113" s="516"/>
      <c r="V113" s="508"/>
      <c r="W113" s="517"/>
      <c r="X113" s="517"/>
      <c r="Y113" s="517"/>
      <c r="Z113" s="517"/>
      <c r="AA113" s="517"/>
      <c r="AB113" s="517"/>
      <c r="AC113" s="517"/>
      <c r="AD113" s="517"/>
      <c r="AE113" s="517"/>
      <c r="AF113" s="517"/>
    </row>
    <row r="114" spans="1:32" s="518" customFormat="1" ht="12" customHeight="1">
      <c r="A114" s="515"/>
      <c r="B114" s="515"/>
      <c r="C114" s="640"/>
      <c r="D114" s="831"/>
      <c r="E114" s="831"/>
      <c r="F114" s="641"/>
      <c r="G114" s="642">
        <f>G113*3.6</f>
        <v>176.4</v>
      </c>
      <c r="H114" s="642">
        <f>H113*3.6</f>
        <v>277.2</v>
      </c>
      <c r="I114" s="643"/>
      <c r="J114" s="404"/>
      <c r="K114" s="422"/>
      <c r="L114" s="614"/>
      <c r="M114" s="826"/>
      <c r="N114" s="826"/>
      <c r="O114" s="565"/>
      <c r="P114" s="615"/>
      <c r="Q114" s="525"/>
      <c r="R114" s="625"/>
      <c r="S114" s="624"/>
      <c r="T114" s="516"/>
      <c r="U114" s="516"/>
      <c r="V114" s="508"/>
      <c r="W114" s="517"/>
      <c r="X114" s="517"/>
      <c r="Y114" s="517"/>
      <c r="Z114" s="517"/>
      <c r="AA114" s="517"/>
      <c r="AB114" s="517"/>
      <c r="AC114" s="517"/>
      <c r="AD114" s="517"/>
      <c r="AE114" s="517"/>
      <c r="AF114" s="517"/>
    </row>
    <row r="115" spans="1:32" s="518" customFormat="1" ht="12" customHeight="1">
      <c r="A115" s="515"/>
      <c r="B115" s="515"/>
      <c r="C115" s="640"/>
      <c r="D115" s="733"/>
      <c r="E115" s="733"/>
      <c r="F115" s="641"/>
      <c r="G115" s="642"/>
      <c r="H115" s="731"/>
      <c r="I115" s="731"/>
      <c r="J115" s="404"/>
      <c r="K115" s="422"/>
      <c r="L115" s="614"/>
      <c r="M115" s="731"/>
      <c r="N115" s="731"/>
      <c r="O115" s="565"/>
      <c r="P115" s="615"/>
      <c r="Q115" s="525"/>
      <c r="R115" s="625"/>
      <c r="S115" s="624"/>
      <c r="T115" s="516"/>
      <c r="U115" s="516"/>
      <c r="V115" s="508"/>
      <c r="W115" s="517"/>
      <c r="X115" s="517"/>
      <c r="Y115" s="517"/>
      <c r="Z115" s="517"/>
      <c r="AA115" s="517"/>
      <c r="AB115" s="517"/>
      <c r="AC115" s="517"/>
      <c r="AD115" s="517"/>
      <c r="AE115" s="517"/>
      <c r="AF115" s="517"/>
    </row>
    <row r="116" spans="1:32" s="518" customFormat="1" ht="12" customHeight="1">
      <c r="A116" s="515"/>
      <c r="B116" s="515"/>
      <c r="C116" s="457" t="s">
        <v>1087</v>
      </c>
      <c r="D116" s="457"/>
      <c r="E116" s="457"/>
      <c r="F116" s="457"/>
      <c r="G116" s="457"/>
      <c r="H116" s="457"/>
      <c r="I116" s="457"/>
      <c r="J116" s="457"/>
      <c r="K116" s="457"/>
      <c r="L116" s="457"/>
      <c r="M116" s="457"/>
      <c r="N116" s="457"/>
      <c r="O116" s="457"/>
      <c r="P116" s="457"/>
      <c r="Q116" s="525" t="str">
        <f>IF(D70="n.v.t.","verbergen","")</f>
        <v>verbergen</v>
      </c>
      <c r="R116" s="625"/>
      <c r="S116" s="624"/>
      <c r="T116" s="516"/>
      <c r="U116" s="516"/>
      <c r="V116" s="508"/>
      <c r="W116" s="517"/>
      <c r="X116" s="517"/>
      <c r="Y116" s="517"/>
      <c r="Z116" s="517"/>
      <c r="AA116" s="517"/>
      <c r="AB116" s="517"/>
      <c r="AC116" s="517"/>
      <c r="AD116" s="517"/>
      <c r="AE116" s="517"/>
      <c r="AF116" s="517"/>
    </row>
    <row r="117" spans="1:32" s="518" customFormat="1" ht="12" hidden="1" customHeight="1">
      <c r="A117" s="515"/>
      <c r="B117" s="515"/>
      <c r="C117" s="458"/>
      <c r="D117" s="458"/>
      <c r="E117" s="458"/>
      <c r="F117" s="458"/>
      <c r="G117" s="458"/>
      <c r="H117" s="459"/>
      <c r="I117" s="459"/>
      <c r="J117" s="459"/>
      <c r="K117" s="459"/>
      <c r="L117" s="459"/>
      <c r="M117" s="459"/>
      <c r="N117" s="459"/>
      <c r="O117" s="459"/>
      <c r="P117" s="459"/>
      <c r="Q117" s="525"/>
      <c r="R117" s="625"/>
      <c r="S117" s="624"/>
      <c r="T117" s="516"/>
      <c r="U117" s="516"/>
      <c r="V117" s="508"/>
      <c r="W117" s="517"/>
      <c r="X117" s="517"/>
      <c r="Y117" s="517"/>
      <c r="Z117" s="517"/>
      <c r="AA117" s="517"/>
      <c r="AB117" s="517"/>
      <c r="AC117" s="517"/>
      <c r="AD117" s="517"/>
      <c r="AE117" s="517"/>
      <c r="AF117" s="517"/>
    </row>
    <row r="118" spans="1:32" s="518" customFormat="1" ht="12" customHeight="1">
      <c r="A118" s="515"/>
      <c r="B118" s="515"/>
      <c r="C118" s="579" t="s">
        <v>133</v>
      </c>
      <c r="D118" s="580"/>
      <c r="E118" s="580"/>
      <c r="F118" s="460" t="s">
        <v>653</v>
      </c>
      <c r="G118" s="736" t="s">
        <v>34</v>
      </c>
      <c r="H118" s="736" t="str">
        <f>IF(S16=3,"","aanwezig")</f>
        <v>aanwezig</v>
      </c>
      <c r="I118" s="580"/>
      <c r="J118" s="580"/>
      <c r="K118" s="580"/>
      <c r="L118" s="580"/>
      <c r="M118" s="580"/>
      <c r="N118" s="580"/>
      <c r="O118" s="580"/>
      <c r="P118" s="580"/>
      <c r="Q118" s="525" t="str">
        <f>IF(D70="n.v.t.","verbergen","")</f>
        <v>verbergen</v>
      </c>
      <c r="R118" s="625"/>
      <c r="S118" s="624"/>
      <c r="T118" s="516"/>
      <c r="U118" s="516"/>
      <c r="V118" s="508"/>
      <c r="W118" s="517"/>
      <c r="X118" s="517"/>
      <c r="Y118" s="517"/>
      <c r="Z118" s="517"/>
      <c r="AA118" s="517"/>
      <c r="AB118" s="517"/>
      <c r="AC118" s="517"/>
      <c r="AD118" s="517"/>
      <c r="AE118" s="517"/>
      <c r="AF118" s="517"/>
    </row>
    <row r="119" spans="1:32" s="518" customFormat="1" ht="12" customHeight="1">
      <c r="A119" s="515"/>
      <c r="B119" s="515"/>
      <c r="C119" s="617" t="s">
        <v>739</v>
      </c>
      <c r="D119" s="404"/>
      <c r="E119" s="404"/>
      <c r="F119" s="618">
        <v>1</v>
      </c>
      <c r="G119" s="619">
        <f>F119*7</f>
        <v>7</v>
      </c>
      <c r="H119" s="620">
        <f>G119</f>
        <v>7</v>
      </c>
      <c r="I119" s="621"/>
      <c r="J119" s="622"/>
      <c r="K119" s="827"/>
      <c r="L119" s="827"/>
      <c r="M119" s="827"/>
      <c r="N119" s="827"/>
      <c r="O119" s="827"/>
      <c r="P119" s="827"/>
      <c r="Q119" s="525" t="str">
        <f>IF(H119&gt;0,"","verbergen")</f>
        <v/>
      </c>
      <c r="R119" s="625"/>
      <c r="S119" s="624"/>
      <c r="T119" s="516"/>
      <c r="U119" s="516"/>
      <c r="V119" s="508"/>
      <c r="W119" s="517"/>
      <c r="X119" s="517"/>
      <c r="Y119" s="517"/>
      <c r="Z119" s="517"/>
      <c r="AA119" s="517"/>
      <c r="AB119" s="517"/>
      <c r="AC119" s="517"/>
      <c r="AD119" s="517"/>
      <c r="AE119" s="517"/>
      <c r="AF119" s="517"/>
    </row>
    <row r="120" spans="1:32" s="518" customFormat="1" ht="12" customHeight="1">
      <c r="A120" s="515"/>
      <c r="B120" s="515"/>
      <c r="C120" s="617" t="s">
        <v>739</v>
      </c>
      <c r="D120" s="404"/>
      <c r="E120" s="404"/>
      <c r="F120" s="618">
        <v>0</v>
      </c>
      <c r="G120" s="619">
        <f>F120*14</f>
        <v>0</v>
      </c>
      <c r="H120" s="620">
        <f>G120</f>
        <v>0</v>
      </c>
      <c r="I120" s="621"/>
      <c r="J120" s="622"/>
      <c r="K120" s="827"/>
      <c r="L120" s="827"/>
      <c r="M120" s="827"/>
      <c r="N120" s="827"/>
      <c r="O120" s="827"/>
      <c r="P120" s="827"/>
      <c r="Q120" s="525" t="str">
        <f t="shared" ref="Q120:Q124" si="18">IF(H120&gt;0,"","verbergen")</f>
        <v>verbergen</v>
      </c>
      <c r="R120" s="625"/>
      <c r="S120" s="624"/>
      <c r="T120" s="516"/>
      <c r="U120" s="516"/>
      <c r="V120" s="508"/>
      <c r="W120" s="517"/>
      <c r="X120" s="517"/>
      <c r="Y120" s="517"/>
      <c r="Z120" s="517"/>
      <c r="AA120" s="517"/>
      <c r="AB120" s="517"/>
      <c r="AC120" s="517"/>
      <c r="AD120" s="517"/>
      <c r="AE120" s="517"/>
      <c r="AF120" s="517"/>
    </row>
    <row r="121" spans="1:32" s="518" customFormat="1" ht="12" customHeight="1">
      <c r="A121" s="515"/>
      <c r="B121" s="515"/>
      <c r="C121" s="617" t="s">
        <v>740</v>
      </c>
      <c r="D121" s="404"/>
      <c r="E121" s="404"/>
      <c r="F121" s="618">
        <v>1</v>
      </c>
      <c r="G121" s="619">
        <f>F121*7</f>
        <v>7</v>
      </c>
      <c r="H121" s="620">
        <f>G121</f>
        <v>7</v>
      </c>
      <c r="I121" s="621"/>
      <c r="J121" s="622"/>
      <c r="K121" s="827"/>
      <c r="L121" s="827"/>
      <c r="M121" s="827"/>
      <c r="N121" s="827"/>
      <c r="O121" s="827"/>
      <c r="P121" s="827"/>
      <c r="Q121" s="525" t="str">
        <f t="shared" si="18"/>
        <v/>
      </c>
      <c r="R121" s="625"/>
      <c r="S121" s="624"/>
      <c r="T121" s="516"/>
      <c r="U121" s="516"/>
      <c r="V121" s="508"/>
      <c r="W121" s="517"/>
      <c r="X121" s="517"/>
      <c r="Y121" s="517"/>
      <c r="Z121" s="517"/>
      <c r="AA121" s="517"/>
      <c r="AB121" s="517"/>
      <c r="AC121" s="517"/>
      <c r="AD121" s="517"/>
      <c r="AE121" s="517"/>
      <c r="AF121" s="517"/>
    </row>
    <row r="122" spans="1:32" s="518" customFormat="1" ht="12" customHeight="1">
      <c r="A122" s="515"/>
      <c r="B122" s="515"/>
      <c r="C122" s="617" t="s">
        <v>140</v>
      </c>
      <c r="D122" s="404"/>
      <c r="E122" s="404"/>
      <c r="F122" s="626"/>
      <c r="G122" s="619" t="s">
        <v>268</v>
      </c>
      <c r="H122" s="620"/>
      <c r="I122" s="621"/>
      <c r="J122" s="622"/>
      <c r="K122" s="827"/>
      <c r="L122" s="827"/>
      <c r="M122" s="827"/>
      <c r="N122" s="827"/>
      <c r="O122" s="827"/>
      <c r="P122" s="827"/>
      <c r="Q122" s="525" t="str">
        <f t="shared" si="18"/>
        <v>verbergen</v>
      </c>
      <c r="R122" s="625"/>
      <c r="S122" s="624"/>
      <c r="T122" s="516"/>
      <c r="U122" s="516"/>
      <c r="V122" s="508"/>
      <c r="W122" s="517"/>
      <c r="X122" s="517"/>
      <c r="Y122" s="517"/>
      <c r="Z122" s="517"/>
      <c r="AA122" s="517"/>
      <c r="AB122" s="517"/>
      <c r="AC122" s="517"/>
      <c r="AD122" s="517"/>
      <c r="AE122" s="517"/>
      <c r="AF122" s="517"/>
    </row>
    <row r="123" spans="1:32" s="518" customFormat="1" ht="12" customHeight="1">
      <c r="A123" s="515"/>
      <c r="B123" s="515"/>
      <c r="C123" s="617" t="s">
        <v>140</v>
      </c>
      <c r="D123" s="404"/>
      <c r="E123" s="404"/>
      <c r="F123" s="626"/>
      <c r="G123" s="619" t="s">
        <v>268</v>
      </c>
      <c r="H123" s="620"/>
      <c r="I123" s="621"/>
      <c r="J123" s="622"/>
      <c r="K123" s="827"/>
      <c r="L123" s="827"/>
      <c r="M123" s="827"/>
      <c r="N123" s="827"/>
      <c r="O123" s="827"/>
      <c r="P123" s="827"/>
      <c r="Q123" s="525" t="str">
        <f t="shared" si="18"/>
        <v>verbergen</v>
      </c>
      <c r="R123" s="625"/>
      <c r="S123" s="624"/>
      <c r="T123" s="516"/>
      <c r="U123" s="516"/>
      <c r="V123" s="508"/>
      <c r="W123" s="517"/>
      <c r="X123" s="517"/>
      <c r="Y123" s="517"/>
      <c r="Z123" s="517"/>
      <c r="AA123" s="517"/>
      <c r="AB123" s="517"/>
      <c r="AC123" s="517"/>
      <c r="AD123" s="517"/>
      <c r="AE123" s="517"/>
      <c r="AF123" s="517"/>
    </row>
    <row r="124" spans="1:32" s="518" customFormat="1" ht="12" customHeight="1">
      <c r="A124" s="515"/>
      <c r="B124" s="515"/>
      <c r="C124" s="627" t="s">
        <v>140</v>
      </c>
      <c r="D124" s="628"/>
      <c r="E124" s="628"/>
      <c r="F124" s="629"/>
      <c r="G124" s="630" t="s">
        <v>268</v>
      </c>
      <c r="H124" s="631"/>
      <c r="I124" s="632"/>
      <c r="J124" s="633"/>
      <c r="K124" s="828"/>
      <c r="L124" s="828"/>
      <c r="M124" s="828"/>
      <c r="N124" s="828"/>
      <c r="O124" s="828"/>
      <c r="P124" s="828"/>
      <c r="Q124" s="525" t="str">
        <f t="shared" si="18"/>
        <v>verbergen</v>
      </c>
      <c r="R124" s="625"/>
      <c r="S124" s="624"/>
      <c r="T124" s="516"/>
      <c r="U124" s="516"/>
      <c r="V124" s="508"/>
      <c r="W124" s="517"/>
      <c r="X124" s="517"/>
      <c r="Y124" s="517"/>
      <c r="Z124" s="517"/>
      <c r="AA124" s="517"/>
      <c r="AB124" s="517"/>
      <c r="AC124" s="517"/>
      <c r="AD124" s="517"/>
      <c r="AE124" s="517"/>
      <c r="AF124" s="517"/>
    </row>
    <row r="125" spans="1:32" s="518" customFormat="1" ht="12" customHeight="1">
      <c r="A125" s="515"/>
      <c r="B125" s="515"/>
      <c r="C125" s="634" t="s">
        <v>16</v>
      </c>
      <c r="D125" s="592"/>
      <c r="E125" s="592"/>
      <c r="F125" s="635"/>
      <c r="G125" s="636">
        <f>SUM(G119:G124)</f>
        <v>14</v>
      </c>
      <c r="H125" s="636">
        <f>SUM(H119:H124)</f>
        <v>14</v>
      </c>
      <c r="I125" s="637"/>
      <c r="J125" s="732"/>
      <c r="K125" s="638"/>
      <c r="L125" s="639"/>
      <c r="M125" s="830"/>
      <c r="N125" s="830"/>
      <c r="O125" s="830"/>
      <c r="P125" s="830"/>
      <c r="Q125" s="525" t="str">
        <f>IF(D70="n.v.t.","verbergen","")</f>
        <v>verbergen</v>
      </c>
      <c r="R125" s="625"/>
      <c r="S125" s="624"/>
      <c r="T125" s="516"/>
      <c r="U125" s="516"/>
      <c r="V125" s="508"/>
      <c r="W125" s="517"/>
      <c r="X125" s="517"/>
      <c r="Y125" s="517"/>
      <c r="Z125" s="517"/>
      <c r="AA125" s="517"/>
      <c r="AB125" s="517"/>
      <c r="AC125" s="517"/>
      <c r="AD125" s="517"/>
      <c r="AE125" s="517"/>
      <c r="AF125" s="517"/>
    </row>
    <row r="126" spans="1:32" s="518" customFormat="1" ht="12" customHeight="1">
      <c r="A126" s="515"/>
      <c r="B126" s="515"/>
      <c r="C126" s="640"/>
      <c r="D126" s="831"/>
      <c r="E126" s="831"/>
      <c r="F126" s="641"/>
      <c r="G126" s="642">
        <f>G125*3.6</f>
        <v>50.4</v>
      </c>
      <c r="H126" s="642">
        <f>H125*3.6</f>
        <v>50.4</v>
      </c>
      <c r="I126" s="643"/>
      <c r="J126" s="404"/>
      <c r="K126" s="422"/>
      <c r="L126" s="614"/>
      <c r="M126" s="826"/>
      <c r="N126" s="826"/>
      <c r="O126" s="565"/>
      <c r="P126" s="615"/>
      <c r="Q126" s="525" t="str">
        <f>IF(D70="n.v.t.","verbergen","")</f>
        <v>verbergen</v>
      </c>
      <c r="R126" s="625"/>
      <c r="S126" s="624"/>
      <c r="T126" s="516"/>
      <c r="U126" s="516"/>
      <c r="V126" s="508"/>
      <c r="W126" s="517"/>
      <c r="X126" s="517"/>
      <c r="Y126" s="517"/>
      <c r="Z126" s="517"/>
      <c r="AA126" s="517"/>
      <c r="AB126" s="517"/>
      <c r="AC126" s="517"/>
      <c r="AD126" s="517"/>
      <c r="AE126" s="517"/>
      <c r="AF126" s="517"/>
    </row>
    <row r="127" spans="1:32" s="518" customFormat="1" ht="15" customHeight="1">
      <c r="A127" s="515"/>
      <c r="B127" s="515"/>
      <c r="C127" s="644" t="s">
        <v>1088</v>
      </c>
      <c r="D127" s="645"/>
      <c r="E127" s="645"/>
      <c r="F127" s="645"/>
      <c r="G127" s="645"/>
      <c r="H127" s="645"/>
      <c r="I127" s="645"/>
      <c r="J127" s="645"/>
      <c r="K127" s="645"/>
      <c r="L127" s="645"/>
      <c r="M127" s="645"/>
      <c r="N127" s="645"/>
      <c r="O127" s="645"/>
      <c r="P127" s="645"/>
      <c r="Q127" s="516" t="str">
        <f>IF(D65="berekening op basis van minimale capaciteit","verbergen","")</f>
        <v/>
      </c>
      <c r="R127" s="616"/>
      <c r="S127" s="516"/>
      <c r="T127" s="521"/>
      <c r="U127" s="516"/>
      <c r="V127" s="517"/>
      <c r="W127" s="517"/>
      <c r="X127" s="517"/>
      <c r="Y127" s="517"/>
      <c r="Z127" s="517"/>
      <c r="AA127" s="517"/>
      <c r="AB127" s="517"/>
      <c r="AC127" s="524"/>
      <c r="AD127" s="517"/>
      <c r="AE127" s="517"/>
      <c r="AF127" s="517"/>
    </row>
    <row r="128" spans="1:32" s="518" customFormat="1" ht="12.75" hidden="1" customHeight="1">
      <c r="A128" s="515"/>
      <c r="B128" s="515"/>
      <c r="C128" s="576"/>
      <c r="D128" s="576"/>
      <c r="E128" s="576"/>
      <c r="F128" s="576"/>
      <c r="G128" s="576"/>
      <c r="H128" s="577"/>
      <c r="I128" s="577"/>
      <c r="J128" s="577"/>
      <c r="K128" s="577"/>
      <c r="L128" s="577"/>
      <c r="M128" s="577"/>
      <c r="N128" s="577"/>
      <c r="O128" s="577"/>
      <c r="P128" s="577"/>
      <c r="Q128" s="522"/>
      <c r="R128" s="516"/>
      <c r="S128" s="516"/>
      <c r="T128" s="521"/>
      <c r="U128" s="516"/>
      <c r="V128" s="548"/>
      <c r="W128" s="548"/>
      <c r="X128" s="548"/>
      <c r="Y128" s="548"/>
      <c r="Z128" s="517"/>
      <c r="AA128" s="517"/>
      <c r="AB128" s="517"/>
      <c r="AC128" s="524"/>
      <c r="AD128" s="517"/>
      <c r="AE128" s="517"/>
      <c r="AF128" s="517"/>
    </row>
    <row r="129" spans="1:32" ht="15" customHeight="1">
      <c r="A129" s="492"/>
      <c r="B129" s="492"/>
      <c r="C129" s="579" t="s">
        <v>730</v>
      </c>
      <c r="D129" s="580"/>
      <c r="E129" s="646" t="s">
        <v>731</v>
      </c>
      <c r="F129" s="580"/>
      <c r="G129" s="580"/>
      <c r="H129" s="460" t="s">
        <v>732</v>
      </c>
      <c r="I129" s="832" t="s">
        <v>605</v>
      </c>
      <c r="J129" s="832"/>
      <c r="K129" s="580"/>
      <c r="L129" s="580"/>
      <c r="M129" s="580"/>
      <c r="N129" s="580"/>
      <c r="O129" s="580"/>
      <c r="P129" s="580"/>
      <c r="Q129" s="507" t="str">
        <f>IF(D65="berekening op basis van minimale capaciteit","verbergen","")</f>
        <v/>
      </c>
      <c r="R129" s="507"/>
      <c r="S129" s="507"/>
      <c r="T129" s="532"/>
      <c r="U129" s="507"/>
      <c r="V129" s="508"/>
      <c r="W129" s="508"/>
      <c r="X129" s="508"/>
      <c r="Y129" s="508"/>
      <c r="Z129" s="508"/>
      <c r="AA129" s="508"/>
      <c r="AB129" s="508"/>
      <c r="AC129" s="534"/>
      <c r="AD129" s="508"/>
      <c r="AE129" s="508"/>
      <c r="AF129" s="508"/>
    </row>
    <row r="130" spans="1:32" s="518" customFormat="1" ht="12" customHeight="1">
      <c r="A130" s="516"/>
      <c r="B130" s="515"/>
      <c r="C130" s="464" t="str">
        <f>L28</f>
        <v>woonkamer / eetkamer</v>
      </c>
      <c r="D130" s="100" t="s">
        <v>141</v>
      </c>
      <c r="E130" s="464" t="str">
        <f>L29</f>
        <v>keuken</v>
      </c>
      <c r="F130" s="586"/>
      <c r="G130" s="586"/>
      <c r="H130" s="647">
        <v>21</v>
      </c>
      <c r="I130" s="833">
        <f>H130*12</f>
        <v>252</v>
      </c>
      <c r="J130" s="833"/>
      <c r="K130" s="834" t="str">
        <f>IF(I130&gt;180,"zie rapport voor nadere toelichting overstroomvoorzieningen","")</f>
        <v>zie rapport voor nadere toelichting overstroomvoorzieningen</v>
      </c>
      <c r="L130" s="834"/>
      <c r="M130" s="834"/>
      <c r="N130" s="834"/>
      <c r="O130" s="834"/>
      <c r="P130" s="834"/>
      <c r="Q130" s="525" t="str">
        <f t="shared" ref="Q130:Q134" si="19">IF(H130=0,"verbergen","")</f>
        <v/>
      </c>
      <c r="R130" s="516"/>
      <c r="S130" s="516"/>
      <c r="T130" s="521"/>
      <c r="U130" s="516"/>
      <c r="V130" s="517"/>
      <c r="W130" s="517"/>
      <c r="X130" s="517"/>
      <c r="Y130" s="517"/>
      <c r="Z130" s="508">
        <v>1</v>
      </c>
      <c r="AA130" s="648"/>
      <c r="AB130" s="517"/>
      <c r="AC130" s="517"/>
      <c r="AD130" s="517"/>
      <c r="AE130" s="517"/>
      <c r="AF130" s="517"/>
    </row>
    <row r="131" spans="1:32" s="518" customFormat="1" ht="12" customHeight="1">
      <c r="A131" s="516"/>
      <c r="B131" s="515"/>
      <c r="C131" s="464" t="str">
        <f>L28</f>
        <v>woonkamer / eetkamer</v>
      </c>
      <c r="D131" s="100" t="s">
        <v>141</v>
      </c>
      <c r="E131" s="464" t="s">
        <v>1159</v>
      </c>
      <c r="F131" s="586"/>
      <c r="G131" s="586"/>
      <c r="H131" s="647">
        <v>14</v>
      </c>
      <c r="I131" s="833">
        <f t="shared" ref="I131:I134" si="20">H131*12</f>
        <v>168</v>
      </c>
      <c r="J131" s="833"/>
      <c r="K131" s="834" t="str">
        <f>IF(I131&gt;180,"zie rapport voor nadere toelichting overstroomvoorzieningen","")</f>
        <v/>
      </c>
      <c r="L131" s="834"/>
      <c r="M131" s="834"/>
      <c r="N131" s="834"/>
      <c r="O131" s="834"/>
      <c r="P131" s="834"/>
      <c r="Q131" s="525" t="str">
        <f t="shared" si="19"/>
        <v/>
      </c>
      <c r="R131" s="516"/>
      <c r="S131" s="516"/>
      <c r="T131" s="521"/>
      <c r="U131" s="516"/>
      <c r="V131" s="517"/>
      <c r="W131" s="517"/>
      <c r="X131" s="517"/>
      <c r="Y131" s="517"/>
      <c r="Z131" s="508">
        <v>1</v>
      </c>
      <c r="AA131" s="648"/>
      <c r="AB131" s="517"/>
      <c r="AC131" s="517"/>
      <c r="AD131" s="517"/>
      <c r="AE131" s="517"/>
      <c r="AF131" s="517"/>
    </row>
    <row r="132" spans="1:32" s="518" customFormat="1" ht="12" customHeight="1">
      <c r="A132" s="516"/>
      <c r="B132" s="515"/>
      <c r="C132" s="464" t="s">
        <v>140</v>
      </c>
      <c r="D132" s="100" t="s">
        <v>141</v>
      </c>
      <c r="E132" s="464" t="s">
        <v>140</v>
      </c>
      <c r="F132" s="586"/>
      <c r="G132" s="586"/>
      <c r="H132" s="647">
        <v>0</v>
      </c>
      <c r="I132" s="833">
        <f t="shared" si="20"/>
        <v>0</v>
      </c>
      <c r="J132" s="833"/>
      <c r="K132" s="834" t="str">
        <f>IF(I132&gt;180,"zie rapport voor nadere toelichting overstroomvoorzieningen","")</f>
        <v/>
      </c>
      <c r="L132" s="834"/>
      <c r="M132" s="834"/>
      <c r="N132" s="834"/>
      <c r="O132" s="834"/>
      <c r="P132" s="834"/>
      <c r="Q132" s="525" t="str">
        <f t="shared" si="19"/>
        <v>verbergen</v>
      </c>
      <c r="R132" s="516"/>
      <c r="S132" s="516"/>
      <c r="T132" s="521"/>
      <c r="U132" s="516"/>
      <c r="V132" s="517"/>
      <c r="W132" s="517"/>
      <c r="X132" s="517"/>
      <c r="Y132" s="517"/>
      <c r="Z132" s="508">
        <v>1</v>
      </c>
      <c r="AA132" s="648"/>
      <c r="AB132" s="517"/>
      <c r="AC132" s="517"/>
      <c r="AD132" s="517"/>
      <c r="AE132" s="517"/>
      <c r="AF132" s="517"/>
    </row>
    <row r="133" spans="1:32" s="518" customFormat="1" ht="12" customHeight="1">
      <c r="A133" s="527"/>
      <c r="B133" s="515"/>
      <c r="C133" s="464" t="s">
        <v>140</v>
      </c>
      <c r="D133" s="100" t="s">
        <v>141</v>
      </c>
      <c r="E133" s="464" t="s">
        <v>140</v>
      </c>
      <c r="F133" s="586"/>
      <c r="G133" s="404"/>
      <c r="H133" s="647">
        <v>0</v>
      </c>
      <c r="I133" s="833">
        <f t="shared" si="20"/>
        <v>0</v>
      </c>
      <c r="J133" s="833"/>
      <c r="K133" s="834" t="str">
        <f>IF(I133&gt;180,"zie rapport voor nadere toelichting overstroomvoorzieningen","")</f>
        <v/>
      </c>
      <c r="L133" s="834"/>
      <c r="M133" s="834"/>
      <c r="N133" s="834"/>
      <c r="O133" s="834"/>
      <c r="P133" s="834"/>
      <c r="Q133" s="525" t="str">
        <f t="shared" si="19"/>
        <v>verbergen</v>
      </c>
      <c r="R133" s="516"/>
      <c r="S133" s="516"/>
      <c r="T133" s="521"/>
      <c r="U133" s="516"/>
      <c r="V133" s="517"/>
      <c r="W133" s="517"/>
      <c r="X133" s="517"/>
      <c r="Y133" s="517"/>
      <c r="Z133" s="508">
        <v>1</v>
      </c>
      <c r="AA133" s="648"/>
      <c r="AB133" s="517"/>
      <c r="AC133" s="517"/>
      <c r="AD133" s="517"/>
      <c r="AE133" s="517"/>
      <c r="AF133" s="517"/>
    </row>
    <row r="134" spans="1:32" s="518" customFormat="1" ht="12" customHeight="1">
      <c r="A134" s="527"/>
      <c r="B134" s="515"/>
      <c r="C134" s="464" t="s">
        <v>140</v>
      </c>
      <c r="D134" s="342" t="s">
        <v>141</v>
      </c>
      <c r="E134" s="464" t="s">
        <v>140</v>
      </c>
      <c r="F134" s="609"/>
      <c r="G134" s="628"/>
      <c r="H134" s="649">
        <v>0</v>
      </c>
      <c r="I134" s="835">
        <f t="shared" si="20"/>
        <v>0</v>
      </c>
      <c r="J134" s="835"/>
      <c r="K134" s="836" t="str">
        <f>IF(I134&gt;180,"zie rapport voor nadere toelichting overstroomvoorzieningen","")</f>
        <v/>
      </c>
      <c r="L134" s="836"/>
      <c r="M134" s="836"/>
      <c r="N134" s="836"/>
      <c r="O134" s="836"/>
      <c r="P134" s="836"/>
      <c r="Q134" s="525" t="str">
        <f t="shared" si="19"/>
        <v>verbergen</v>
      </c>
      <c r="R134" s="516"/>
      <c r="S134" s="516"/>
      <c r="T134" s="521"/>
      <c r="U134" s="516"/>
      <c r="V134" s="517"/>
      <c r="W134" s="517"/>
      <c r="X134" s="517"/>
      <c r="Y134" s="517"/>
      <c r="Z134" s="508">
        <v>1</v>
      </c>
      <c r="AA134" s="648"/>
      <c r="AB134" s="517"/>
      <c r="AC134" s="517"/>
      <c r="AD134" s="517"/>
      <c r="AE134" s="517"/>
      <c r="AF134" s="517"/>
    </row>
    <row r="135" spans="1:32" s="518" customFormat="1" ht="12" customHeight="1">
      <c r="A135" s="527"/>
      <c r="B135" s="590">
        <v>1</v>
      </c>
      <c r="C135" s="480">
        <f>B135</f>
        <v>1</v>
      </c>
      <c r="D135" s="592"/>
      <c r="E135" s="592"/>
      <c r="F135" s="650"/>
      <c r="G135" s="592"/>
      <c r="H135" s="651"/>
      <c r="I135" s="652"/>
      <c r="J135" s="653"/>
      <c r="K135" s="837" t="str">
        <f>IF(MAX(P130:P134)&gt;200,"zie rapport voor nadere toelichting overstroomvoorzieningen","")</f>
        <v/>
      </c>
      <c r="L135" s="837"/>
      <c r="M135" s="837"/>
      <c r="N135" s="837"/>
      <c r="O135" s="837"/>
      <c r="P135" s="837"/>
      <c r="Q135" s="516" t="str">
        <f>IF(SUM(H130:H136)=0,"verbergen","")</f>
        <v/>
      </c>
      <c r="R135" s="516"/>
      <c r="S135" s="516"/>
      <c r="T135" s="521"/>
      <c r="U135" s="516"/>
      <c r="V135" s="517"/>
      <c r="W135" s="517"/>
      <c r="X135" s="517"/>
      <c r="Y135" s="517"/>
      <c r="Z135" s="508">
        <v>1</v>
      </c>
      <c r="AA135" s="648"/>
      <c r="AB135" s="517"/>
      <c r="AC135" s="517"/>
      <c r="AD135" s="517"/>
      <c r="AE135" s="517"/>
      <c r="AF135" s="517"/>
    </row>
    <row r="136" spans="1:32" s="518" customFormat="1" ht="12" customHeight="1">
      <c r="A136" s="527"/>
      <c r="B136" s="515"/>
      <c r="C136" s="654"/>
      <c r="D136" s="404"/>
      <c r="E136" s="404"/>
      <c r="F136" s="586"/>
      <c r="G136" s="404"/>
      <c r="H136" s="655"/>
      <c r="I136" s="656"/>
      <c r="J136" s="657"/>
      <c r="K136" s="838"/>
      <c r="L136" s="838"/>
      <c r="M136" s="839"/>
      <c r="N136" s="839"/>
      <c r="O136" s="840"/>
      <c r="P136" s="840"/>
      <c r="Q136" s="516" t="str">
        <f>Q135</f>
        <v/>
      </c>
      <c r="R136" s="516"/>
      <c r="S136" s="516"/>
      <c r="T136" s="521"/>
      <c r="U136" s="516"/>
      <c r="V136" s="517"/>
      <c r="W136" s="517"/>
      <c r="X136" s="517"/>
      <c r="Y136" s="517"/>
      <c r="Z136" s="508">
        <v>1</v>
      </c>
      <c r="AA136" s="648"/>
      <c r="AB136" s="517"/>
      <c r="AC136" s="517"/>
      <c r="AD136" s="517"/>
      <c r="AE136" s="517"/>
      <c r="AF136" s="517"/>
    </row>
    <row r="137" spans="1:32" s="541" customFormat="1" ht="12" customHeight="1">
      <c r="A137" s="392"/>
      <c r="B137" s="543"/>
      <c r="C137" s="464" t="str">
        <f>L29</f>
        <v>keuken</v>
      </c>
      <c r="D137" s="100" t="s">
        <v>141</v>
      </c>
      <c r="E137" s="464" t="str">
        <f>L30</f>
        <v>bijkeuken</v>
      </c>
      <c r="F137" s="586"/>
      <c r="G137" s="586"/>
      <c r="H137" s="647">
        <v>7</v>
      </c>
      <c r="I137" s="833">
        <f>H137*12</f>
        <v>84</v>
      </c>
      <c r="J137" s="833"/>
      <c r="K137" s="834" t="str">
        <f>IF(I137&gt;180,"zie rapport voor nadere toelichting overstroomvoorzieningen","")</f>
        <v/>
      </c>
      <c r="L137" s="834"/>
      <c r="M137" s="834"/>
      <c r="N137" s="834"/>
      <c r="O137" s="834"/>
      <c r="P137" s="834"/>
      <c r="Q137" s="729" t="str">
        <f>IF(H137=0,"verbergen","")</f>
        <v/>
      </c>
      <c r="R137" s="392"/>
      <c r="S137" s="392"/>
      <c r="T137" s="544"/>
      <c r="U137" s="392"/>
      <c r="V137" s="392"/>
      <c r="W137" s="392"/>
      <c r="X137" s="392"/>
      <c r="Y137" s="392"/>
      <c r="Z137" s="547">
        <f>Z136+1</f>
        <v>2</v>
      </c>
      <c r="AA137" s="404"/>
      <c r="AB137" s="516"/>
      <c r="AC137" s="516"/>
      <c r="AD137" s="516"/>
      <c r="AE137" s="516"/>
      <c r="AF137" s="515"/>
    </row>
    <row r="138" spans="1:32" s="541" customFormat="1" ht="12" customHeight="1">
      <c r="A138" s="392"/>
      <c r="B138" s="543"/>
      <c r="C138" s="464" t="s">
        <v>140</v>
      </c>
      <c r="D138" s="100" t="s">
        <v>141</v>
      </c>
      <c r="E138" s="464" t="s">
        <v>140</v>
      </c>
      <c r="F138" s="586"/>
      <c r="G138" s="586"/>
      <c r="H138" s="647">
        <v>0</v>
      </c>
      <c r="I138" s="833">
        <f t="shared" ref="I138:I141" si="21">H138*12</f>
        <v>0</v>
      </c>
      <c r="J138" s="833"/>
      <c r="K138" s="834" t="str">
        <f>IF(I138&gt;180,"zie rapport voor nadere toelichting overstroomvoorzieningen","")</f>
        <v/>
      </c>
      <c r="L138" s="834"/>
      <c r="M138" s="834"/>
      <c r="N138" s="834"/>
      <c r="O138" s="834"/>
      <c r="P138" s="834"/>
      <c r="Q138" s="729" t="str">
        <f>IF(H138=0,"verbergen","")</f>
        <v>verbergen</v>
      </c>
      <c r="R138" s="392"/>
      <c r="S138" s="392"/>
      <c r="T138" s="544"/>
      <c r="U138" s="392"/>
      <c r="V138" s="392"/>
      <c r="W138" s="392"/>
      <c r="X138" s="392"/>
      <c r="Y138" s="392"/>
      <c r="Z138" s="547">
        <f t="shared" ref="Z138:Z143" si="22">Z137</f>
        <v>2</v>
      </c>
      <c r="AA138" s="404"/>
      <c r="AB138" s="516"/>
      <c r="AC138" s="516"/>
      <c r="AD138" s="516"/>
      <c r="AE138" s="516"/>
      <c r="AF138" s="515"/>
    </row>
    <row r="139" spans="1:32" s="541" customFormat="1" ht="12" customHeight="1">
      <c r="A139" s="392"/>
      <c r="B139" s="543"/>
      <c r="C139" s="464" t="s">
        <v>140</v>
      </c>
      <c r="D139" s="100" t="s">
        <v>141</v>
      </c>
      <c r="E139" s="464" t="s">
        <v>140</v>
      </c>
      <c r="F139" s="586"/>
      <c r="G139" s="586"/>
      <c r="H139" s="647">
        <v>0</v>
      </c>
      <c r="I139" s="833">
        <f t="shared" si="21"/>
        <v>0</v>
      </c>
      <c r="J139" s="833"/>
      <c r="K139" s="834" t="str">
        <f>IF(I139&gt;180,"zie rapport voor nadere toelichting overstroomvoorzieningen","")</f>
        <v/>
      </c>
      <c r="L139" s="834"/>
      <c r="M139" s="834"/>
      <c r="N139" s="834"/>
      <c r="O139" s="834"/>
      <c r="P139" s="834"/>
      <c r="Q139" s="729" t="str">
        <f>IF(H139=0,"verbergen","")</f>
        <v>verbergen</v>
      </c>
      <c r="R139" s="392"/>
      <c r="S139" s="392"/>
      <c r="T139" s="544"/>
      <c r="U139" s="392"/>
      <c r="V139" s="392"/>
      <c r="W139" s="392"/>
      <c r="X139" s="392"/>
      <c r="Y139" s="392"/>
      <c r="Z139" s="547">
        <f t="shared" si="22"/>
        <v>2</v>
      </c>
      <c r="AA139" s="404"/>
      <c r="AB139" s="516"/>
      <c r="AC139" s="516"/>
      <c r="AD139" s="516"/>
      <c r="AE139" s="516"/>
      <c r="AF139" s="515"/>
    </row>
    <row r="140" spans="1:32" s="541" customFormat="1" ht="12" customHeight="1">
      <c r="A140" s="542"/>
      <c r="B140" s="543"/>
      <c r="C140" s="464" t="s">
        <v>140</v>
      </c>
      <c r="D140" s="100" t="s">
        <v>141</v>
      </c>
      <c r="E140" s="464" t="s">
        <v>140</v>
      </c>
      <c r="F140" s="586"/>
      <c r="G140" s="404"/>
      <c r="H140" s="647">
        <v>0</v>
      </c>
      <c r="I140" s="833">
        <f t="shared" si="21"/>
        <v>0</v>
      </c>
      <c r="J140" s="833"/>
      <c r="K140" s="834" t="str">
        <f>IF(I140&gt;180,"zie rapport voor nadere toelichting overstroomvoorzieningen","")</f>
        <v/>
      </c>
      <c r="L140" s="834"/>
      <c r="M140" s="834"/>
      <c r="N140" s="834"/>
      <c r="O140" s="834"/>
      <c r="P140" s="834"/>
      <c r="Q140" s="729" t="str">
        <f>IF(H140=0,"verbergen","")</f>
        <v>verbergen</v>
      </c>
      <c r="R140" s="392"/>
      <c r="S140" s="392"/>
      <c r="T140" s="544"/>
      <c r="U140" s="392"/>
      <c r="V140" s="392"/>
      <c r="W140" s="392"/>
      <c r="X140" s="392"/>
      <c r="Y140" s="392"/>
      <c r="Z140" s="547">
        <f t="shared" si="22"/>
        <v>2</v>
      </c>
      <c r="AA140" s="404"/>
      <c r="AB140" s="516"/>
      <c r="AC140" s="516"/>
      <c r="AD140" s="516"/>
      <c r="AE140" s="516"/>
      <c r="AF140" s="515"/>
    </row>
    <row r="141" spans="1:32" s="541" customFormat="1" ht="12" customHeight="1">
      <c r="A141" s="542"/>
      <c r="B141" s="543"/>
      <c r="C141" s="464" t="s">
        <v>140</v>
      </c>
      <c r="D141" s="342" t="s">
        <v>141</v>
      </c>
      <c r="E141" s="464" t="s">
        <v>140</v>
      </c>
      <c r="F141" s="609"/>
      <c r="G141" s="628"/>
      <c r="H141" s="649">
        <v>0</v>
      </c>
      <c r="I141" s="835">
        <f t="shared" si="21"/>
        <v>0</v>
      </c>
      <c r="J141" s="835"/>
      <c r="K141" s="836" t="str">
        <f>IF(I141&gt;180,"zie rapport voor nadere toelichting overstroomvoorzieningen","")</f>
        <v/>
      </c>
      <c r="L141" s="836"/>
      <c r="M141" s="836"/>
      <c r="N141" s="836"/>
      <c r="O141" s="836"/>
      <c r="P141" s="836"/>
      <c r="Q141" s="729" t="str">
        <f>IF(H141=0,"verbergen","")</f>
        <v>verbergen</v>
      </c>
      <c r="R141" s="392"/>
      <c r="S141" s="392"/>
      <c r="T141" s="544"/>
      <c r="U141" s="392"/>
      <c r="V141" s="392"/>
      <c r="W141" s="392"/>
      <c r="X141" s="392"/>
      <c r="Y141" s="392"/>
      <c r="Z141" s="547">
        <f t="shared" si="22"/>
        <v>2</v>
      </c>
      <c r="AA141" s="404"/>
      <c r="AB141" s="516"/>
      <c r="AC141" s="516"/>
      <c r="AD141" s="516"/>
      <c r="AE141" s="516"/>
      <c r="AF141" s="515"/>
    </row>
    <row r="142" spans="1:32" s="541" customFormat="1" ht="12" customHeight="1">
      <c r="A142" s="542"/>
      <c r="B142" s="556">
        <f>B135+1</f>
        <v>2</v>
      </c>
      <c r="C142" s="480">
        <f>B142</f>
        <v>2</v>
      </c>
      <c r="D142" s="592"/>
      <c r="E142" s="592"/>
      <c r="F142" s="650"/>
      <c r="G142" s="592"/>
      <c r="H142" s="651"/>
      <c r="I142" s="652"/>
      <c r="J142" s="653"/>
      <c r="K142" s="837" t="str">
        <f>IF(MAX(P137:P141)&gt;200,"zie rapport voor nadere toelichting overstroomvoorzieningen","")</f>
        <v/>
      </c>
      <c r="L142" s="837"/>
      <c r="M142" s="837"/>
      <c r="N142" s="837"/>
      <c r="O142" s="837"/>
      <c r="P142" s="837"/>
      <c r="Q142" s="392" t="str">
        <f>IF(SUM(H137:H143)=0,"verbergen","")</f>
        <v/>
      </c>
      <c r="R142" s="392"/>
      <c r="S142" s="392"/>
      <c r="T142" s="544"/>
      <c r="U142" s="392"/>
      <c r="V142" s="392"/>
      <c r="W142" s="392"/>
      <c r="X142" s="392"/>
      <c r="Y142" s="392"/>
      <c r="Z142" s="547">
        <f t="shared" si="22"/>
        <v>2</v>
      </c>
      <c r="AA142" s="404"/>
      <c r="AB142" s="516"/>
      <c r="AC142" s="516"/>
      <c r="AD142" s="516"/>
      <c r="AE142" s="516"/>
      <c r="AF142" s="515"/>
    </row>
    <row r="143" spans="1:32" s="541" customFormat="1" ht="12" customHeight="1">
      <c r="A143" s="542"/>
      <c r="B143" s="543"/>
      <c r="C143" s="654"/>
      <c r="D143" s="404"/>
      <c r="E143" s="404"/>
      <c r="F143" s="586"/>
      <c r="G143" s="404"/>
      <c r="H143" s="655"/>
      <c r="I143" s="656"/>
      <c r="J143" s="657"/>
      <c r="K143" s="838"/>
      <c r="L143" s="838"/>
      <c r="M143" s="839"/>
      <c r="N143" s="839"/>
      <c r="O143" s="840"/>
      <c r="P143" s="840"/>
      <c r="Q143" s="392" t="str">
        <f>Q142</f>
        <v/>
      </c>
      <c r="R143" s="392"/>
      <c r="S143" s="392"/>
      <c r="T143" s="544"/>
      <c r="U143" s="392"/>
      <c r="V143" s="392"/>
      <c r="W143" s="392"/>
      <c r="X143" s="392"/>
      <c r="Y143" s="392"/>
      <c r="Z143" s="547">
        <f t="shared" si="22"/>
        <v>2</v>
      </c>
      <c r="AA143" s="404"/>
      <c r="AB143" s="516"/>
      <c r="AC143" s="516"/>
      <c r="AD143" s="516"/>
      <c r="AE143" s="516"/>
      <c r="AF143" s="515"/>
    </row>
    <row r="144" spans="1:32" s="541" customFormat="1" ht="12" customHeight="1">
      <c r="A144" s="392"/>
      <c r="B144" s="543"/>
      <c r="C144" s="464" t="str">
        <f>L31</f>
        <v>slaapkamer 1</v>
      </c>
      <c r="D144" s="100" t="s">
        <v>141</v>
      </c>
      <c r="E144" s="464" t="s">
        <v>1158</v>
      </c>
      <c r="F144" s="586"/>
      <c r="G144" s="586"/>
      <c r="H144" s="647">
        <v>14</v>
      </c>
      <c r="I144" s="833">
        <f>H144*12</f>
        <v>168</v>
      </c>
      <c r="J144" s="833"/>
      <c r="K144" s="834" t="str">
        <f>IF(I144&gt;200,"zie rapport voor nadere toelichting overstroomvoorzieningen","")</f>
        <v/>
      </c>
      <c r="L144" s="834"/>
      <c r="M144" s="834"/>
      <c r="N144" s="834"/>
      <c r="O144" s="834"/>
      <c r="P144" s="834"/>
      <c r="Q144" s="729" t="str">
        <f>IF(H144=0,"verbergen","")</f>
        <v/>
      </c>
      <c r="R144" s="392"/>
      <c r="S144" s="392"/>
      <c r="T144" s="544"/>
      <c r="U144" s="392"/>
      <c r="V144" s="392"/>
      <c r="W144" s="392"/>
      <c r="X144" s="392"/>
      <c r="Y144" s="392"/>
      <c r="Z144" s="547">
        <f>Z143+1</f>
        <v>3</v>
      </c>
      <c r="AA144" s="404"/>
      <c r="AB144" s="516"/>
      <c r="AC144" s="516"/>
      <c r="AD144" s="516"/>
      <c r="AE144" s="516"/>
      <c r="AF144" s="515"/>
    </row>
    <row r="145" spans="1:33" s="541" customFormat="1" ht="12" customHeight="1">
      <c r="A145" s="392"/>
      <c r="B145" s="543"/>
      <c r="C145" s="464" t="str">
        <f>L32</f>
        <v>slaapkamer 2</v>
      </c>
      <c r="D145" s="100" t="s">
        <v>141</v>
      </c>
      <c r="E145" s="464" t="s">
        <v>1158</v>
      </c>
      <c r="F145" s="586"/>
      <c r="G145" s="586"/>
      <c r="H145" s="647">
        <v>14</v>
      </c>
      <c r="I145" s="833">
        <f t="shared" ref="I145:I148" si="23">H145*12</f>
        <v>168</v>
      </c>
      <c r="J145" s="833"/>
      <c r="K145" s="834" t="str">
        <f>IF(I145&gt;200,"zie rapport voor nadere toelichting overstroomvoorzieningen","")</f>
        <v/>
      </c>
      <c r="L145" s="834"/>
      <c r="M145" s="834"/>
      <c r="N145" s="834"/>
      <c r="O145" s="834"/>
      <c r="P145" s="834"/>
      <c r="Q145" s="729" t="str">
        <f>IF(H145=0,"verbergen","")</f>
        <v/>
      </c>
      <c r="R145" s="392"/>
      <c r="S145" s="392"/>
      <c r="T145" s="544"/>
      <c r="U145" s="392"/>
      <c r="V145" s="392"/>
      <c r="W145" s="392"/>
      <c r="X145" s="392"/>
      <c r="Y145" s="392"/>
      <c r="Z145" s="547">
        <f t="shared" ref="Z145:Z150" si="24">Z144</f>
        <v>3</v>
      </c>
      <c r="AA145" s="404"/>
      <c r="AB145" s="516"/>
      <c r="AC145" s="516"/>
      <c r="AD145" s="516"/>
      <c r="AE145" s="516"/>
      <c r="AF145" s="515"/>
    </row>
    <row r="146" spans="1:33" s="541" customFormat="1" ht="12" customHeight="1">
      <c r="A146" s="392"/>
      <c r="B146" s="543"/>
      <c r="C146" s="464" t="str">
        <f>L33</f>
        <v>studeerkamer</v>
      </c>
      <c r="D146" s="100" t="s">
        <v>141</v>
      </c>
      <c r="E146" s="464" t="s">
        <v>1158</v>
      </c>
      <c r="F146" s="586"/>
      <c r="G146" s="586"/>
      <c r="H146" s="647">
        <v>14</v>
      </c>
      <c r="I146" s="833">
        <f t="shared" si="23"/>
        <v>168</v>
      </c>
      <c r="J146" s="833"/>
      <c r="K146" s="834" t="str">
        <f>IF(I146&gt;200,"zie rapport voor nadere toelichting overstroomvoorzieningen","")</f>
        <v/>
      </c>
      <c r="L146" s="834"/>
      <c r="M146" s="834"/>
      <c r="N146" s="834"/>
      <c r="O146" s="834"/>
      <c r="P146" s="834"/>
      <c r="Q146" s="729" t="str">
        <f>IF(H146=0,"verbergen","")</f>
        <v/>
      </c>
      <c r="R146" s="392"/>
      <c r="S146" s="392"/>
      <c r="T146" s="544"/>
      <c r="U146" s="392"/>
      <c r="V146" s="392"/>
      <c r="W146" s="392"/>
      <c r="X146" s="392"/>
      <c r="Y146" s="392"/>
      <c r="Z146" s="547">
        <f t="shared" si="24"/>
        <v>3</v>
      </c>
      <c r="AA146" s="404"/>
      <c r="AB146" s="516"/>
      <c r="AC146" s="516"/>
      <c r="AD146" s="516"/>
      <c r="AE146" s="516"/>
      <c r="AF146" s="515"/>
    </row>
    <row r="147" spans="1:33" s="541" customFormat="1" ht="12" customHeight="1">
      <c r="A147" s="542"/>
      <c r="B147" s="543"/>
      <c r="C147" s="464" t="s">
        <v>140</v>
      </c>
      <c r="D147" s="100" t="s">
        <v>141</v>
      </c>
      <c r="E147" s="464" t="s">
        <v>140</v>
      </c>
      <c r="F147" s="586"/>
      <c r="G147" s="404"/>
      <c r="H147" s="647">
        <v>0</v>
      </c>
      <c r="I147" s="833">
        <f t="shared" si="23"/>
        <v>0</v>
      </c>
      <c r="J147" s="833"/>
      <c r="K147" s="834" t="str">
        <f>IF(I147&gt;200,"zie rapport voor nadere toelichting overstroomvoorzieningen","")</f>
        <v/>
      </c>
      <c r="L147" s="834"/>
      <c r="M147" s="834"/>
      <c r="N147" s="834"/>
      <c r="O147" s="834"/>
      <c r="P147" s="834"/>
      <c r="Q147" s="729" t="str">
        <f>IF(H147=0,"verbergen","")</f>
        <v>verbergen</v>
      </c>
      <c r="R147" s="392"/>
      <c r="S147" s="392"/>
      <c r="T147" s="544"/>
      <c r="U147" s="392"/>
      <c r="V147" s="392"/>
      <c r="W147" s="392"/>
      <c r="X147" s="392"/>
      <c r="Y147" s="392"/>
      <c r="Z147" s="547">
        <f t="shared" si="24"/>
        <v>3</v>
      </c>
      <c r="AA147" s="404"/>
      <c r="AB147" s="516"/>
      <c r="AC147" s="516"/>
      <c r="AD147" s="516"/>
      <c r="AE147" s="516"/>
      <c r="AF147" s="515"/>
    </row>
    <row r="148" spans="1:33" s="541" customFormat="1" ht="12" customHeight="1">
      <c r="A148" s="542"/>
      <c r="B148" s="543"/>
      <c r="C148" s="472" t="s">
        <v>140</v>
      </c>
      <c r="D148" s="100" t="s">
        <v>141</v>
      </c>
      <c r="E148" s="472" t="s">
        <v>140</v>
      </c>
      <c r="F148" s="609"/>
      <c r="G148" s="628"/>
      <c r="H148" s="649">
        <v>0</v>
      </c>
      <c r="I148" s="835">
        <f t="shared" si="23"/>
        <v>0</v>
      </c>
      <c r="J148" s="835"/>
      <c r="K148" s="836" t="str">
        <f>IF(I148&gt;200,"zie rapport voor nadere toelichting overstroomvoorzieningen","")</f>
        <v/>
      </c>
      <c r="L148" s="836"/>
      <c r="M148" s="836"/>
      <c r="N148" s="836"/>
      <c r="O148" s="836"/>
      <c r="P148" s="836"/>
      <c r="Q148" s="729" t="str">
        <f>IF(H148=0,"verbergen","")</f>
        <v>verbergen</v>
      </c>
      <c r="R148" s="392"/>
      <c r="S148" s="392"/>
      <c r="T148" s="544"/>
      <c r="U148" s="392"/>
      <c r="V148" s="392"/>
      <c r="W148" s="392"/>
      <c r="X148" s="392"/>
      <c r="Y148" s="392"/>
      <c r="Z148" s="547">
        <f t="shared" si="24"/>
        <v>3</v>
      </c>
      <c r="AA148" s="404"/>
      <c r="AB148" s="516"/>
      <c r="AC148" s="516"/>
      <c r="AD148" s="516"/>
      <c r="AE148" s="516"/>
      <c r="AF148" s="515"/>
    </row>
    <row r="149" spans="1:33" s="541" customFormat="1" ht="12" customHeight="1">
      <c r="A149" s="542"/>
      <c r="B149" s="556">
        <f>B142+1</f>
        <v>3</v>
      </c>
      <c r="C149" s="480">
        <f>B149</f>
        <v>3</v>
      </c>
      <c r="D149" s="592"/>
      <c r="E149" s="592"/>
      <c r="F149" s="650"/>
      <c r="G149" s="592"/>
      <c r="H149" s="651"/>
      <c r="I149" s="652"/>
      <c r="J149" s="653"/>
      <c r="K149" s="837" t="str">
        <f>IF(MAX(P144:P148)&gt;200,"zie rapport voor nadere toelichting overstroomvoorzieningen","")</f>
        <v/>
      </c>
      <c r="L149" s="837"/>
      <c r="M149" s="837"/>
      <c r="N149" s="837"/>
      <c r="O149" s="837"/>
      <c r="P149" s="837"/>
      <c r="Q149" s="392" t="str">
        <f>IF(SUM(H144:H150)=0,"verbergen","")</f>
        <v/>
      </c>
      <c r="R149" s="392"/>
      <c r="S149" s="392"/>
      <c r="T149" s="544"/>
      <c r="U149" s="392"/>
      <c r="V149" s="392"/>
      <c r="W149" s="392"/>
      <c r="X149" s="392"/>
      <c r="Y149" s="392"/>
      <c r="Z149" s="547">
        <f t="shared" si="24"/>
        <v>3</v>
      </c>
      <c r="AA149" s="404"/>
      <c r="AB149" s="516"/>
      <c r="AC149" s="516"/>
      <c r="AD149" s="516"/>
      <c r="AE149" s="516"/>
      <c r="AF149" s="515"/>
    </row>
    <row r="150" spans="1:33" s="541" customFormat="1" ht="12" customHeight="1">
      <c r="A150" s="542"/>
      <c r="B150" s="543"/>
      <c r="C150" s="654"/>
      <c r="D150" s="404"/>
      <c r="E150" s="404"/>
      <c r="F150" s="586"/>
      <c r="G150" s="404"/>
      <c r="H150" s="655"/>
      <c r="I150" s="656"/>
      <c r="J150" s="657"/>
      <c r="K150" s="838"/>
      <c r="L150" s="838"/>
      <c r="M150" s="839"/>
      <c r="N150" s="839"/>
      <c r="O150" s="840"/>
      <c r="P150" s="840"/>
      <c r="Q150" s="392" t="str">
        <f>Q149</f>
        <v/>
      </c>
      <c r="R150" s="392"/>
      <c r="S150" s="392"/>
      <c r="T150" s="544"/>
      <c r="U150" s="392"/>
      <c r="V150" s="392"/>
      <c r="W150" s="392"/>
      <c r="X150" s="392"/>
      <c r="Y150" s="392"/>
      <c r="Z150" s="547">
        <f t="shared" si="24"/>
        <v>3</v>
      </c>
      <c r="AA150" s="404"/>
      <c r="AB150" s="516"/>
      <c r="AC150" s="516"/>
      <c r="AD150" s="516"/>
      <c r="AE150" s="516"/>
      <c r="AF150" s="515"/>
    </row>
    <row r="151" spans="1:33" s="518" customFormat="1" ht="12" customHeight="1">
      <c r="A151" s="516"/>
      <c r="B151" s="515"/>
      <c r="C151" s="464" t="s">
        <v>1158</v>
      </c>
      <c r="D151" s="100" t="s">
        <v>141</v>
      </c>
      <c r="E151" s="464" t="str">
        <f>L28</f>
        <v>woonkamer / eetkamer</v>
      </c>
      <c r="F151" s="586"/>
      <c r="G151" s="586"/>
      <c r="H151" s="647">
        <f>H119</f>
        <v>7</v>
      </c>
      <c r="I151" s="833">
        <f>H151*12</f>
        <v>84</v>
      </c>
      <c r="J151" s="833"/>
      <c r="K151" s="834" t="str">
        <f>IF(I151&gt;180,"zie rapport voor nadere toelichting overstroomvoorzieningen","")</f>
        <v/>
      </c>
      <c r="L151" s="834"/>
      <c r="M151" s="834"/>
      <c r="N151" s="834"/>
      <c r="O151" s="834"/>
      <c r="P151" s="834"/>
      <c r="Q151" s="525" t="str">
        <f>IF(H151=0,"verbergen","")</f>
        <v/>
      </c>
      <c r="R151" s="516"/>
      <c r="S151" s="516"/>
      <c r="T151" s="521"/>
      <c r="U151" s="516"/>
      <c r="V151" s="517"/>
      <c r="W151" s="517"/>
      <c r="X151" s="517"/>
      <c r="Y151" s="517"/>
      <c r="Z151" s="508"/>
      <c r="AA151" s="648"/>
      <c r="AB151" s="517"/>
      <c r="AC151" s="517"/>
      <c r="AD151" s="517"/>
      <c r="AE151" s="517"/>
      <c r="AF151" s="517"/>
    </row>
    <row r="152" spans="1:33" s="518" customFormat="1" ht="12" customHeight="1">
      <c r="A152" s="516"/>
      <c r="B152" s="515"/>
      <c r="C152" s="464" t="s">
        <v>1158</v>
      </c>
      <c r="D152" s="100" t="s">
        <v>141</v>
      </c>
      <c r="E152" s="464" t="s">
        <v>1160</v>
      </c>
      <c r="F152" s="586"/>
      <c r="G152" s="586"/>
      <c r="H152" s="647">
        <v>14</v>
      </c>
      <c r="I152" s="833">
        <f t="shared" ref="I152:I155" si="25">H152*12</f>
        <v>168</v>
      </c>
      <c r="J152" s="833"/>
      <c r="K152" s="834" t="str">
        <f>IF(I152&gt;180,"zie rapport voor nadere toelichting overstroomvoorzieningen","")</f>
        <v/>
      </c>
      <c r="L152" s="834"/>
      <c r="M152" s="834"/>
      <c r="N152" s="834"/>
      <c r="O152" s="834"/>
      <c r="P152" s="834"/>
      <c r="Q152" s="525" t="str">
        <f>IF(H152=0,"verbergen","")</f>
        <v/>
      </c>
      <c r="R152" s="516"/>
      <c r="S152" s="516"/>
      <c r="T152" s="521"/>
      <c r="U152" s="516"/>
      <c r="V152" s="517"/>
      <c r="W152" s="517"/>
      <c r="X152" s="517"/>
      <c r="Y152" s="517"/>
      <c r="Z152" s="508"/>
      <c r="AA152" s="648"/>
      <c r="AB152" s="517"/>
      <c r="AC152" s="517"/>
      <c r="AD152" s="517"/>
      <c r="AE152" s="517"/>
      <c r="AF152" s="517"/>
    </row>
    <row r="153" spans="1:33" s="518" customFormat="1" ht="12" customHeight="1">
      <c r="A153" s="516"/>
      <c r="B153" s="515"/>
      <c r="C153" s="464" t="s">
        <v>1158</v>
      </c>
      <c r="D153" s="100" t="s">
        <v>141</v>
      </c>
      <c r="E153" s="464" t="s">
        <v>729</v>
      </c>
      <c r="F153" s="586"/>
      <c r="G153" s="586"/>
      <c r="H153" s="647">
        <v>21</v>
      </c>
      <c r="I153" s="833">
        <f t="shared" si="25"/>
        <v>252</v>
      </c>
      <c r="J153" s="833"/>
      <c r="K153" s="834" t="str">
        <f>IF(I153&gt;180,"zie rapport voor nadere toelichting overstroomvoorzieningen","")</f>
        <v>zie rapport voor nadere toelichting overstroomvoorzieningen</v>
      </c>
      <c r="L153" s="834"/>
      <c r="M153" s="834"/>
      <c r="N153" s="834"/>
      <c r="O153" s="834"/>
      <c r="P153" s="834"/>
      <c r="Q153" s="525" t="str">
        <f>IF(H153=0,"verbergen","")</f>
        <v/>
      </c>
      <c r="R153" s="516"/>
      <c r="S153" s="516"/>
      <c r="T153" s="521"/>
      <c r="U153" s="516"/>
      <c r="V153" s="517"/>
      <c r="W153" s="517"/>
      <c r="X153" s="517"/>
      <c r="Y153" s="517"/>
      <c r="Z153" s="508"/>
      <c r="AA153" s="648"/>
      <c r="AB153" s="517"/>
      <c r="AC153" s="517"/>
      <c r="AD153" s="517"/>
      <c r="AE153" s="517"/>
      <c r="AF153" s="517"/>
    </row>
    <row r="154" spans="1:33" s="518" customFormat="1" ht="12" customHeight="1">
      <c r="A154" s="527"/>
      <c r="B154" s="515"/>
      <c r="C154" s="464" t="s">
        <v>1158</v>
      </c>
      <c r="D154" s="100" t="s">
        <v>141</v>
      </c>
      <c r="E154" s="464" t="s">
        <v>727</v>
      </c>
      <c r="F154" s="586"/>
      <c r="G154" s="404"/>
      <c r="H154" s="647">
        <v>7</v>
      </c>
      <c r="I154" s="833">
        <f t="shared" si="25"/>
        <v>84</v>
      </c>
      <c r="J154" s="833"/>
      <c r="K154" s="834" t="str">
        <f>IF(I154&gt;180,"zie rapport voor nadere toelichting overstroomvoorzieningen","")</f>
        <v/>
      </c>
      <c r="L154" s="834"/>
      <c r="M154" s="834"/>
      <c r="N154" s="834"/>
      <c r="O154" s="834"/>
      <c r="P154" s="834"/>
      <c r="Q154" s="525" t="str">
        <f>IF(H154=0,"verbergen","")</f>
        <v/>
      </c>
      <c r="R154" s="516"/>
      <c r="S154" s="516"/>
      <c r="T154" s="521"/>
      <c r="U154" s="516"/>
      <c r="V154" s="517"/>
      <c r="W154" s="517"/>
      <c r="X154" s="517"/>
      <c r="Y154" s="517"/>
      <c r="Z154" s="508"/>
      <c r="AA154" s="648"/>
      <c r="AB154" s="517"/>
      <c r="AC154" s="517"/>
      <c r="AD154" s="517"/>
      <c r="AE154" s="517"/>
      <c r="AF154" s="517"/>
    </row>
    <row r="155" spans="1:33" s="518" customFormat="1" ht="12" customHeight="1">
      <c r="A155" s="527"/>
      <c r="B155" s="515"/>
      <c r="C155" s="472" t="s">
        <v>1159</v>
      </c>
      <c r="D155" s="342" t="s">
        <v>141</v>
      </c>
      <c r="E155" s="472" t="s">
        <v>1161</v>
      </c>
      <c r="F155" s="609"/>
      <c r="G155" s="628"/>
      <c r="H155" s="649">
        <v>14</v>
      </c>
      <c r="I155" s="835">
        <f t="shared" si="25"/>
        <v>168</v>
      </c>
      <c r="J155" s="835"/>
      <c r="K155" s="836" t="str">
        <f>IF(I155&gt;180,"zie rapport voor nadere toelichting overstroomvoorzieningen","")</f>
        <v/>
      </c>
      <c r="L155" s="836"/>
      <c r="M155" s="836"/>
      <c r="N155" s="836"/>
      <c r="O155" s="836"/>
      <c r="P155" s="836"/>
      <c r="Q155" s="525" t="str">
        <f>IF(H155=0,"verbergen","")</f>
        <v/>
      </c>
      <c r="R155" s="516"/>
      <c r="S155" s="516"/>
      <c r="T155" s="521"/>
      <c r="U155" s="516"/>
      <c r="V155" s="517"/>
      <c r="W155" s="517"/>
      <c r="X155" s="517"/>
      <c r="Y155" s="517"/>
      <c r="Z155" s="508"/>
      <c r="AA155" s="648"/>
      <c r="AB155" s="517"/>
      <c r="AC155" s="517"/>
      <c r="AD155" s="517"/>
      <c r="AE155" s="517"/>
      <c r="AF155" s="517"/>
    </row>
    <row r="156" spans="1:33" s="518" customFormat="1" ht="12" customHeight="1">
      <c r="A156" s="527"/>
      <c r="B156" s="590"/>
      <c r="C156" s="480" t="s">
        <v>734</v>
      </c>
      <c r="D156" s="592"/>
      <c r="E156" s="592"/>
      <c r="F156" s="650"/>
      <c r="G156" s="592"/>
      <c r="H156" s="651"/>
      <c r="I156" s="652"/>
      <c r="J156" s="653"/>
      <c r="K156" s="837" t="str">
        <f>IF(MAX(P151:P155)&gt;200,"zie rapport voor nadere toelichting overstroomvoorzieningen","")</f>
        <v/>
      </c>
      <c r="L156" s="837"/>
      <c r="M156" s="837"/>
      <c r="N156" s="837"/>
      <c r="O156" s="837"/>
      <c r="P156" s="837"/>
      <c r="Q156" s="516" t="str">
        <f>IF(SUM(H151:H157)=0,"verbergen","")</f>
        <v/>
      </c>
      <c r="R156" s="516"/>
      <c r="S156" s="516"/>
      <c r="T156" s="521"/>
      <c r="U156" s="516"/>
      <c r="V156" s="517"/>
      <c r="W156" s="517"/>
      <c r="X156" s="517"/>
      <c r="Y156" s="517"/>
      <c r="Z156" s="508"/>
      <c r="AA156" s="648"/>
      <c r="AB156" s="517"/>
      <c r="AC156" s="517"/>
      <c r="AD156" s="517"/>
      <c r="AE156" s="517"/>
      <c r="AF156" s="517"/>
    </row>
    <row r="157" spans="1:33" s="518" customFormat="1" ht="12" customHeight="1">
      <c r="A157" s="527"/>
      <c r="B157" s="515"/>
      <c r="C157" s="654"/>
      <c r="D157" s="404"/>
      <c r="E157" s="404"/>
      <c r="F157" s="586"/>
      <c r="G157" s="404"/>
      <c r="H157" s="655"/>
      <c r="I157" s="656"/>
      <c r="J157" s="657"/>
      <c r="K157" s="396"/>
      <c r="L157" s="396"/>
      <c r="M157" s="585"/>
      <c r="N157" s="585"/>
      <c r="O157" s="734"/>
      <c r="P157" s="734"/>
      <c r="Q157" s="516" t="str">
        <f>Q156</f>
        <v/>
      </c>
      <c r="R157" s="516"/>
      <c r="S157" s="516"/>
      <c r="T157" s="521"/>
      <c r="U157" s="516"/>
      <c r="V157" s="517"/>
      <c r="W157" s="517"/>
      <c r="X157" s="517"/>
      <c r="Y157" s="517"/>
      <c r="Z157" s="508"/>
      <c r="AA157" s="648"/>
      <c r="AB157" s="517"/>
      <c r="AC157" s="517"/>
      <c r="AD157" s="517"/>
      <c r="AE157" s="517"/>
      <c r="AF157" s="517"/>
    </row>
    <row r="158" spans="1:33" s="518" customFormat="1" ht="12" customHeight="1">
      <c r="A158" s="527"/>
      <c r="B158" s="515"/>
      <c r="C158" s="654"/>
      <c r="D158" s="404"/>
      <c r="E158" s="404"/>
      <c r="F158" s="586"/>
      <c r="G158" s="404"/>
      <c r="H158" s="655"/>
      <c r="I158" s="656"/>
      <c r="J158" s="657"/>
      <c r="K158" s="396"/>
      <c r="L158" s="396"/>
      <c r="M158" s="585"/>
      <c r="N158" s="585"/>
      <c r="O158" s="734"/>
      <c r="P158" s="734"/>
      <c r="Q158" s="516"/>
      <c r="R158" s="516"/>
      <c r="S158" s="516"/>
      <c r="T158" s="521"/>
      <c r="U158" s="516"/>
      <c r="V158" s="517"/>
      <c r="W158" s="517"/>
      <c r="X158" s="517"/>
      <c r="Y158" s="517"/>
      <c r="Z158" s="517"/>
      <c r="AA158" s="648"/>
      <c r="AB158" s="517"/>
      <c r="AC158" s="517"/>
      <c r="AD158" s="517"/>
      <c r="AE158" s="517"/>
      <c r="AF158" s="517"/>
    </row>
    <row r="159" spans="1:33" s="518" customFormat="1" ht="15" customHeight="1">
      <c r="A159" s="515"/>
      <c r="B159" s="658" t="s">
        <v>673</v>
      </c>
      <c r="C159" s="457" t="s">
        <v>1089</v>
      </c>
      <c r="D159" s="575"/>
      <c r="E159" s="575"/>
      <c r="F159" s="575"/>
      <c r="G159" s="575"/>
      <c r="H159" s="575"/>
      <c r="I159" s="575"/>
      <c r="J159" s="575"/>
      <c r="K159" s="575"/>
      <c r="L159" s="575"/>
      <c r="M159" s="575"/>
      <c r="N159" s="575"/>
      <c r="O159" s="575"/>
      <c r="P159" s="575"/>
      <c r="Q159" s="525"/>
      <c r="R159" s="659"/>
      <c r="S159" s="660"/>
      <c r="T159" s="521"/>
      <c r="U159" s="516"/>
      <c r="V159" s="517"/>
      <c r="W159" s="517"/>
      <c r="X159" s="517"/>
      <c r="Y159" s="517"/>
      <c r="Z159" s="517"/>
      <c r="AA159" s="517"/>
      <c r="AB159" s="517"/>
      <c r="AC159" s="524"/>
      <c r="AD159" s="517"/>
      <c r="AE159" s="517"/>
      <c r="AF159" s="517"/>
      <c r="AG159" s="517"/>
    </row>
    <row r="160" spans="1:33" s="518" customFormat="1" ht="12.75" hidden="1" customHeight="1">
      <c r="A160" s="515"/>
      <c r="B160" s="515"/>
      <c r="C160" s="661"/>
      <c r="D160" s="577"/>
      <c r="E160" s="577"/>
      <c r="F160" s="577"/>
      <c r="G160" s="577"/>
      <c r="H160" s="662"/>
      <c r="I160" s="662"/>
      <c r="J160" s="577"/>
      <c r="K160" s="577"/>
      <c r="L160" s="577"/>
      <c r="M160" s="577"/>
      <c r="N160" s="577"/>
      <c r="O160" s="577"/>
      <c r="P160" s="663"/>
      <c r="Q160" s="525"/>
      <c r="R160" s="659"/>
      <c r="S160" s="664"/>
      <c r="T160" s="521"/>
      <c r="U160" s="516"/>
      <c r="V160" s="517"/>
      <c r="W160" s="517"/>
      <c r="X160" s="517"/>
      <c r="Y160" s="517"/>
      <c r="Z160" s="517"/>
      <c r="AA160" s="517"/>
      <c r="AB160" s="517"/>
      <c r="AC160" s="524"/>
      <c r="AD160" s="517"/>
      <c r="AE160" s="517"/>
      <c r="AF160" s="517"/>
      <c r="AG160" s="517"/>
    </row>
    <row r="161" spans="1:34" ht="15" customHeight="1">
      <c r="A161" s="492"/>
      <c r="B161" s="492"/>
      <c r="C161" s="579" t="s">
        <v>133</v>
      </c>
      <c r="D161" s="809" t="s">
        <v>1100</v>
      </c>
      <c r="E161" s="809"/>
      <c r="F161" s="809" t="s">
        <v>678</v>
      </c>
      <c r="G161" s="809"/>
      <c r="H161" s="809" t="s">
        <v>677</v>
      </c>
      <c r="I161" s="809"/>
      <c r="J161" s="818" t="s">
        <v>134</v>
      </c>
      <c r="K161" s="818"/>
      <c r="L161" s="646"/>
      <c r="M161" s="844" t="s">
        <v>1107</v>
      </c>
      <c r="N161" s="844"/>
      <c r="O161" s="809" t="s">
        <v>1108</v>
      </c>
      <c r="P161" s="809"/>
      <c r="Q161" s="665"/>
      <c r="R161" s="507"/>
      <c r="S161" s="507"/>
      <c r="T161" s="532"/>
      <c r="U161" s="507"/>
      <c r="V161" s="508"/>
      <c r="W161" s="508"/>
      <c r="X161" s="508"/>
      <c r="Y161" s="508"/>
      <c r="Z161" s="508"/>
      <c r="AA161" s="508"/>
      <c r="AB161" s="508"/>
      <c r="AC161" s="534"/>
      <c r="AD161" s="508"/>
      <c r="AE161" s="508"/>
      <c r="AF161" s="508"/>
      <c r="AG161" s="508"/>
    </row>
    <row r="162" spans="1:34">
      <c r="A162" s="492"/>
      <c r="B162" s="492"/>
      <c r="C162" s="463"/>
      <c r="D162" s="463"/>
      <c r="E162" s="463"/>
      <c r="F162" s="463"/>
      <c r="G162" s="463"/>
      <c r="H162" s="456"/>
      <c r="I162" s="456"/>
      <c r="J162" s="456"/>
      <c r="K162" s="456"/>
      <c r="L162" s="456"/>
      <c r="M162" s="456"/>
      <c r="N162" s="456"/>
      <c r="O162" s="456"/>
      <c r="P162" s="456"/>
      <c r="Q162" s="507"/>
      <c r="R162" s="507"/>
      <c r="S162" s="507"/>
      <c r="T162" s="532"/>
      <c r="U162" s="507"/>
      <c r="V162" s="508"/>
      <c r="W162" s="508"/>
      <c r="X162" s="508"/>
      <c r="Y162" s="508"/>
      <c r="Z162" s="508"/>
      <c r="AA162" s="508"/>
      <c r="AB162" s="508"/>
      <c r="AC162" s="524"/>
      <c r="AD162" s="508"/>
      <c r="AE162" s="517"/>
      <c r="AF162" s="508"/>
      <c r="AG162" s="508"/>
    </row>
    <row r="163" spans="1:34" s="518" customFormat="1" ht="12" customHeight="1">
      <c r="A163" s="515"/>
      <c r="B163" s="515"/>
      <c r="C163" s="464" t="str">
        <f>L28</f>
        <v>woonkamer / eetkamer</v>
      </c>
      <c r="D163" s="831">
        <f>SUMPRODUCT(($AE$1:$AE$28047)*($L$1:$L$28047=C163))</f>
        <v>28.45</v>
      </c>
      <c r="E163" s="831"/>
      <c r="F163" s="811">
        <v>1</v>
      </c>
      <c r="G163" s="811"/>
      <c r="H163" s="841">
        <f t="shared" ref="H163:H168" si="26">IF(F163=0,"",IF(F163=1,0.1,0.4))</f>
        <v>0.1</v>
      </c>
      <c r="I163" s="841"/>
      <c r="J163" s="842" t="s">
        <v>245</v>
      </c>
      <c r="K163" s="842"/>
      <c r="L163" s="404"/>
      <c r="M163" s="666">
        <f>verzamelblad!$S$7*D163/H163/1000</f>
        <v>0.85349999999999993</v>
      </c>
      <c r="N163" s="735"/>
      <c r="O163" s="843">
        <f>M163</f>
        <v>0.85349999999999993</v>
      </c>
      <c r="P163" s="843"/>
      <c r="Q163" s="525" t="str">
        <f t="shared" ref="Q163:Q168" si="27">IF(D163=0,"verbergen","")</f>
        <v/>
      </c>
      <c r="R163" s="516"/>
      <c r="S163" s="516"/>
      <c r="T163" s="516"/>
      <c r="U163" s="516"/>
      <c r="V163" s="517"/>
      <c r="W163" s="508">
        <v>1</v>
      </c>
      <c r="X163" s="517"/>
      <c r="Y163" s="517"/>
      <c r="Z163" s="517"/>
      <c r="AA163" s="517"/>
      <c r="AB163" s="517"/>
      <c r="AC163" s="517"/>
      <c r="AD163" s="517"/>
      <c r="AE163" s="517"/>
      <c r="AF163" s="517"/>
      <c r="AG163" s="517"/>
    </row>
    <row r="164" spans="1:34" s="518" customFormat="1" ht="12" customHeight="1">
      <c r="A164" s="515"/>
      <c r="B164" s="515"/>
      <c r="C164" s="464" t="s">
        <v>140</v>
      </c>
      <c r="D164" s="831">
        <f>SUMPRODUCT(($AE$1:$AE$28047)*($L$1:$L$28047=C164))</f>
        <v>0</v>
      </c>
      <c r="E164" s="831"/>
      <c r="F164" s="811">
        <v>2</v>
      </c>
      <c r="G164" s="811"/>
      <c r="H164" s="841">
        <f t="shared" si="26"/>
        <v>0.4</v>
      </c>
      <c r="I164" s="841"/>
      <c r="J164" s="842" t="s">
        <v>245</v>
      </c>
      <c r="K164" s="842"/>
      <c r="L164" s="404"/>
      <c r="M164" s="666">
        <f>verzamelblad!$S$7*D164/H164/1000</f>
        <v>0</v>
      </c>
      <c r="N164" s="735"/>
      <c r="O164" s="843">
        <f t="shared" ref="O164:O168" si="28">M164</f>
        <v>0</v>
      </c>
      <c r="P164" s="843"/>
      <c r="Q164" s="525" t="str">
        <f t="shared" si="27"/>
        <v>verbergen</v>
      </c>
      <c r="R164" s="516"/>
      <c r="S164" s="516"/>
      <c r="T164" s="516"/>
      <c r="U164" s="516"/>
      <c r="V164" s="517"/>
      <c r="W164" s="508">
        <v>1</v>
      </c>
      <c r="X164" s="517"/>
      <c r="Y164" s="517"/>
      <c r="Z164" s="517"/>
      <c r="AA164" s="517"/>
      <c r="AB164" s="517"/>
      <c r="AC164" s="517"/>
      <c r="AD164" s="517"/>
      <c r="AE164" s="517"/>
      <c r="AF164" s="517"/>
      <c r="AG164" s="517"/>
    </row>
    <row r="165" spans="1:34" s="518" customFormat="1" ht="12" customHeight="1">
      <c r="A165" s="515"/>
      <c r="B165" s="515"/>
      <c r="C165" s="464" t="s">
        <v>140</v>
      </c>
      <c r="D165" s="831">
        <f>SUMPRODUCT(($AE$1:$AE$28047)*($L$1:$L$28047=C165))</f>
        <v>0</v>
      </c>
      <c r="E165" s="831"/>
      <c r="F165" s="811">
        <v>2</v>
      </c>
      <c r="G165" s="811"/>
      <c r="H165" s="841">
        <f t="shared" si="26"/>
        <v>0.4</v>
      </c>
      <c r="I165" s="841"/>
      <c r="J165" s="842" t="s">
        <v>245</v>
      </c>
      <c r="K165" s="842"/>
      <c r="L165" s="404"/>
      <c r="M165" s="666">
        <f>verzamelblad!$S$7*D165/H165/1000</f>
        <v>0</v>
      </c>
      <c r="N165" s="735"/>
      <c r="O165" s="845">
        <f t="shared" si="28"/>
        <v>0</v>
      </c>
      <c r="P165" s="846"/>
      <c r="Q165" s="525" t="str">
        <f t="shared" si="27"/>
        <v>verbergen</v>
      </c>
      <c r="R165" s="516"/>
      <c r="S165" s="516"/>
      <c r="T165" s="516"/>
      <c r="U165" s="516"/>
      <c r="V165" s="517"/>
      <c r="W165" s="508">
        <v>1</v>
      </c>
      <c r="X165" s="517"/>
      <c r="Y165" s="517"/>
      <c r="Z165" s="517"/>
      <c r="AA165" s="517"/>
      <c r="AB165" s="517"/>
      <c r="AC165" s="517"/>
      <c r="AD165" s="517"/>
      <c r="AE165" s="517"/>
      <c r="AF165" s="517"/>
      <c r="AG165" s="517"/>
    </row>
    <row r="166" spans="1:34" s="518" customFormat="1" ht="12" customHeight="1">
      <c r="A166" s="515"/>
      <c r="B166" s="515"/>
      <c r="C166" s="464" t="s">
        <v>140</v>
      </c>
      <c r="D166" s="831">
        <f>SUMPRODUCT(($AE$1:$AE$28047)*($L$1:$L$28047=C166))</f>
        <v>0</v>
      </c>
      <c r="E166" s="831"/>
      <c r="F166" s="811">
        <v>2</v>
      </c>
      <c r="G166" s="811"/>
      <c r="H166" s="841">
        <f t="shared" si="26"/>
        <v>0.4</v>
      </c>
      <c r="I166" s="841"/>
      <c r="J166" s="842" t="s">
        <v>245</v>
      </c>
      <c r="K166" s="842"/>
      <c r="L166" s="404"/>
      <c r="M166" s="666">
        <f>verzamelblad!$S$7*D166/H166/1000</f>
        <v>0</v>
      </c>
      <c r="N166" s="735"/>
      <c r="O166" s="843">
        <f t="shared" si="28"/>
        <v>0</v>
      </c>
      <c r="P166" s="843"/>
      <c r="Q166" s="525" t="str">
        <f t="shared" si="27"/>
        <v>verbergen</v>
      </c>
      <c r="R166" s="516"/>
      <c r="S166" s="516"/>
      <c r="T166" s="516"/>
      <c r="U166" s="516"/>
      <c r="V166" s="517"/>
      <c r="W166" s="508">
        <v>1</v>
      </c>
      <c r="X166" s="517"/>
      <c r="Y166" s="517"/>
      <c r="Z166" s="517"/>
      <c r="AA166" s="517"/>
      <c r="AB166" s="517"/>
      <c r="AC166" s="517"/>
      <c r="AD166" s="517"/>
      <c r="AE166" s="517"/>
      <c r="AF166" s="517"/>
      <c r="AG166" s="517"/>
    </row>
    <row r="167" spans="1:34" s="518" customFormat="1" ht="12" customHeight="1">
      <c r="A167" s="515"/>
      <c r="B167" s="515"/>
      <c r="C167" s="667" t="s">
        <v>140</v>
      </c>
      <c r="D167" s="847">
        <f>SUMPRODUCT(($AE$1:$AE$28047)*($L$1:$L$28047=C167))</f>
        <v>0</v>
      </c>
      <c r="E167" s="847"/>
      <c r="F167" s="812">
        <v>2</v>
      </c>
      <c r="G167" s="812"/>
      <c r="H167" s="848">
        <f t="shared" si="26"/>
        <v>0.4</v>
      </c>
      <c r="I167" s="848"/>
      <c r="J167" s="849" t="s">
        <v>245</v>
      </c>
      <c r="K167" s="849"/>
      <c r="L167" s="628"/>
      <c r="M167" s="668">
        <f>verzamelblad!$S$7*D167/H167/1000</f>
        <v>0</v>
      </c>
      <c r="N167" s="738"/>
      <c r="O167" s="850">
        <f t="shared" si="28"/>
        <v>0</v>
      </c>
      <c r="P167" s="850"/>
      <c r="Q167" s="525" t="str">
        <f t="shared" si="27"/>
        <v>verbergen</v>
      </c>
      <c r="R167" s="516"/>
      <c r="S167" s="516"/>
      <c r="T167" s="516"/>
      <c r="U167" s="516"/>
      <c r="V167" s="517"/>
      <c r="W167" s="508">
        <v>1</v>
      </c>
      <c r="X167" s="517"/>
      <c r="Y167" s="517"/>
      <c r="Z167" s="517"/>
      <c r="AA167" s="517"/>
      <c r="AB167" s="517"/>
      <c r="AC167" s="517"/>
      <c r="AD167" s="517"/>
      <c r="AE167" s="517"/>
      <c r="AF167" s="517"/>
      <c r="AG167" s="517"/>
    </row>
    <row r="168" spans="1:34" s="518" customFormat="1" ht="12" customHeight="1">
      <c r="A168" s="515"/>
      <c r="B168" s="590">
        <v>1</v>
      </c>
      <c r="C168" s="480">
        <f>B168</f>
        <v>1</v>
      </c>
      <c r="D168" s="851">
        <f>SUMPRODUCT(($AD$1:$AD$50004)*($AC$1:$AC$50004=B168))</f>
        <v>28.45</v>
      </c>
      <c r="E168" s="851"/>
      <c r="F168" s="852">
        <v>1</v>
      </c>
      <c r="G168" s="852"/>
      <c r="H168" s="853">
        <f t="shared" si="26"/>
        <v>0.1</v>
      </c>
      <c r="I168" s="853"/>
      <c r="J168" s="854" t="s">
        <v>245</v>
      </c>
      <c r="K168" s="854"/>
      <c r="L168" s="592"/>
      <c r="M168" s="669">
        <f>verzamelblad!$R$7*D168/H168/1000</f>
        <v>1.7069999999999999</v>
      </c>
      <c r="N168" s="739"/>
      <c r="O168" s="855">
        <f t="shared" si="28"/>
        <v>1.7069999999999999</v>
      </c>
      <c r="P168" s="855"/>
      <c r="Q168" s="525" t="str">
        <f t="shared" si="27"/>
        <v/>
      </c>
      <c r="R168" s="516"/>
      <c r="S168" s="516"/>
      <c r="T168" s="516"/>
      <c r="U168" s="516"/>
      <c r="V168" s="517"/>
      <c r="W168" s="508">
        <v>1</v>
      </c>
      <c r="X168" s="517"/>
      <c r="Y168" s="517"/>
      <c r="Z168" s="517"/>
      <c r="AA168" s="517"/>
      <c r="AB168" s="517"/>
      <c r="AC168" s="524"/>
      <c r="AD168" s="517"/>
      <c r="AE168" s="517"/>
      <c r="AF168" s="517"/>
      <c r="AG168" s="517"/>
    </row>
    <row r="169" spans="1:34" ht="12" customHeight="1">
      <c r="A169" s="492"/>
      <c r="B169" s="492"/>
      <c r="C169" s="463"/>
      <c r="D169" s="463"/>
      <c r="E169" s="463"/>
      <c r="F169" s="463"/>
      <c r="G169" s="463"/>
      <c r="H169" s="456"/>
      <c r="I169" s="456"/>
      <c r="J169" s="456"/>
      <c r="K169" s="456"/>
      <c r="L169" s="456"/>
      <c r="M169" s="456"/>
      <c r="N169" s="456"/>
      <c r="O169" s="456"/>
      <c r="P169" s="456"/>
      <c r="Q169" s="525"/>
      <c r="R169" s="507"/>
      <c r="S169" s="507"/>
      <c r="T169" s="532"/>
      <c r="U169" s="507"/>
      <c r="V169" s="508"/>
      <c r="W169" s="508">
        <v>1</v>
      </c>
      <c r="X169" s="508"/>
      <c r="Y169" s="508"/>
      <c r="Z169" s="508"/>
      <c r="AA169" s="508"/>
      <c r="AB169" s="508"/>
      <c r="AC169" s="508"/>
      <c r="AD169" s="508"/>
      <c r="AE169" s="508"/>
      <c r="AF169" s="508"/>
      <c r="AG169" s="508"/>
    </row>
    <row r="170" spans="1:34" s="541" customFormat="1" ht="12" customHeight="1">
      <c r="A170" s="543"/>
      <c r="B170" s="543"/>
      <c r="C170" s="464" t="str">
        <f>L29</f>
        <v>keuken</v>
      </c>
      <c r="D170" s="831">
        <f>SUMPRODUCT(($AE$1:$AE$27990)*($L$1:$L$27990=C170))</f>
        <v>15.1</v>
      </c>
      <c r="E170" s="831"/>
      <c r="F170" s="811">
        <v>1</v>
      </c>
      <c r="G170" s="811"/>
      <c r="H170" s="841">
        <f t="shared" ref="H170:H175" si="29">IF(F170=0,"",IF(F170=1,0.1,0.4))</f>
        <v>0.1</v>
      </c>
      <c r="I170" s="841"/>
      <c r="J170" s="842" t="s">
        <v>245</v>
      </c>
      <c r="K170" s="842"/>
      <c r="L170" s="404"/>
      <c r="M170" s="666">
        <f>verzamelblad!$S$7*D170/H170/1000</f>
        <v>0.45299999999999996</v>
      </c>
      <c r="N170" s="735"/>
      <c r="O170" s="843">
        <f>M170</f>
        <v>0.45299999999999996</v>
      </c>
      <c r="P170" s="843"/>
      <c r="Q170" s="403" t="str">
        <f>IF(D170=0,"verbergen","")</f>
        <v/>
      </c>
      <c r="R170" s="404"/>
      <c r="S170" s="404"/>
      <c r="T170" s="392"/>
      <c r="U170" s="392"/>
      <c r="V170" s="392"/>
      <c r="W170" s="547">
        <f>W169+1</f>
        <v>2</v>
      </c>
      <c r="X170" s="392"/>
      <c r="Y170" s="392"/>
      <c r="Z170" s="392"/>
      <c r="AA170" s="404"/>
      <c r="AB170" s="516"/>
      <c r="AC170" s="516"/>
      <c r="AD170" s="516"/>
      <c r="AE170" s="516"/>
      <c r="AF170" s="516"/>
      <c r="AG170" s="516"/>
      <c r="AH170" s="516"/>
    </row>
    <row r="171" spans="1:34" s="541" customFormat="1" ht="12" customHeight="1">
      <c r="A171" s="543"/>
      <c r="B171" s="543"/>
      <c r="C171" s="464" t="str">
        <f>L30</f>
        <v>bijkeuken</v>
      </c>
      <c r="D171" s="831">
        <f>SUMPRODUCT(($AE$1:$AE$27990)*($L$1:$L$27990=C171))</f>
        <v>5.96</v>
      </c>
      <c r="E171" s="831"/>
      <c r="F171" s="811">
        <v>1</v>
      </c>
      <c r="G171" s="811"/>
      <c r="H171" s="841">
        <f t="shared" si="29"/>
        <v>0.1</v>
      </c>
      <c r="I171" s="841"/>
      <c r="J171" s="842" t="s">
        <v>245</v>
      </c>
      <c r="K171" s="842"/>
      <c r="L171" s="404"/>
      <c r="M171" s="666">
        <f>verzamelblad!$S$7*D171/H171/1000</f>
        <v>0.17879999999999999</v>
      </c>
      <c r="N171" s="735"/>
      <c r="O171" s="843">
        <f t="shared" ref="O171:O175" si="30">M171</f>
        <v>0.17879999999999999</v>
      </c>
      <c r="P171" s="843"/>
      <c r="Q171" s="403" t="str">
        <f t="shared" ref="Q171:Q175" si="31">IF(D171=0,"verbergen","")</f>
        <v/>
      </c>
      <c r="R171" s="404"/>
      <c r="S171" s="404"/>
      <c r="T171" s="392"/>
      <c r="U171" s="392"/>
      <c r="V171" s="392"/>
      <c r="W171" s="547">
        <f t="shared" ref="W171:W176" si="32">W170</f>
        <v>2</v>
      </c>
      <c r="X171" s="392"/>
      <c r="Y171" s="392"/>
      <c r="Z171" s="392"/>
      <c r="AA171" s="404"/>
      <c r="AB171" s="516"/>
      <c r="AC171" s="516"/>
      <c r="AD171" s="516"/>
      <c r="AE171" s="516"/>
      <c r="AF171" s="516"/>
      <c r="AG171" s="516"/>
      <c r="AH171" s="516"/>
    </row>
    <row r="172" spans="1:34" s="541" customFormat="1" ht="12" customHeight="1">
      <c r="A172" s="543"/>
      <c r="B172" s="543"/>
      <c r="C172" s="464" t="s">
        <v>140</v>
      </c>
      <c r="D172" s="831">
        <f>SUMPRODUCT(($AE$1:$AE$27990)*($L$1:$L$27990=C172))</f>
        <v>0</v>
      </c>
      <c r="E172" s="831"/>
      <c r="F172" s="811">
        <v>2</v>
      </c>
      <c r="G172" s="811"/>
      <c r="H172" s="841">
        <f t="shared" si="29"/>
        <v>0.4</v>
      </c>
      <c r="I172" s="841"/>
      <c r="J172" s="842" t="s">
        <v>245</v>
      </c>
      <c r="K172" s="842"/>
      <c r="L172" s="404"/>
      <c r="M172" s="666">
        <f>verzamelblad!$S$7*D172/H172/1000</f>
        <v>0</v>
      </c>
      <c r="N172" s="735"/>
      <c r="O172" s="843">
        <f t="shared" si="30"/>
        <v>0</v>
      </c>
      <c r="P172" s="843"/>
      <c r="Q172" s="403" t="str">
        <f t="shared" si="31"/>
        <v>verbergen</v>
      </c>
      <c r="R172" s="404"/>
      <c r="S172" s="404"/>
      <c r="T172" s="392"/>
      <c r="U172" s="392"/>
      <c r="V172" s="392"/>
      <c r="W172" s="547">
        <f t="shared" si="32"/>
        <v>2</v>
      </c>
      <c r="X172" s="392"/>
      <c r="Y172" s="392"/>
      <c r="Z172" s="392"/>
      <c r="AA172" s="404"/>
      <c r="AB172" s="516"/>
      <c r="AC172" s="516"/>
      <c r="AD172" s="516"/>
      <c r="AE172" s="516"/>
      <c r="AF172" s="516"/>
      <c r="AG172" s="516"/>
      <c r="AH172" s="516"/>
    </row>
    <row r="173" spans="1:34" s="541" customFormat="1" ht="12" customHeight="1">
      <c r="A173" s="543"/>
      <c r="B173" s="543"/>
      <c r="C173" s="464" t="s">
        <v>140</v>
      </c>
      <c r="D173" s="831">
        <f>SUMPRODUCT(($AE$1:$AE$27990)*($L$1:$L$27990=C173))</f>
        <v>0</v>
      </c>
      <c r="E173" s="831"/>
      <c r="F173" s="811">
        <v>2</v>
      </c>
      <c r="G173" s="811"/>
      <c r="H173" s="841">
        <f t="shared" si="29"/>
        <v>0.4</v>
      </c>
      <c r="I173" s="841"/>
      <c r="J173" s="842" t="s">
        <v>245</v>
      </c>
      <c r="K173" s="842"/>
      <c r="L173" s="404"/>
      <c r="M173" s="666">
        <f>verzamelblad!$S$7*D173/H173/1000</f>
        <v>0</v>
      </c>
      <c r="N173" s="735"/>
      <c r="O173" s="843">
        <f t="shared" si="30"/>
        <v>0</v>
      </c>
      <c r="P173" s="843"/>
      <c r="Q173" s="403" t="str">
        <f t="shared" si="31"/>
        <v>verbergen</v>
      </c>
      <c r="R173" s="404"/>
      <c r="S173" s="404"/>
      <c r="T173" s="392"/>
      <c r="U173" s="392"/>
      <c r="V173" s="392"/>
      <c r="W173" s="547">
        <f t="shared" si="32"/>
        <v>2</v>
      </c>
      <c r="X173" s="392"/>
      <c r="Y173" s="392"/>
      <c r="Z173" s="392"/>
      <c r="AA173" s="404"/>
      <c r="AB173" s="516"/>
      <c r="AC173" s="516"/>
      <c r="AD173" s="516"/>
      <c r="AE173" s="516"/>
      <c r="AF173" s="516"/>
      <c r="AG173" s="516"/>
      <c r="AH173" s="516"/>
    </row>
    <row r="174" spans="1:34" s="541" customFormat="1" ht="12" customHeight="1">
      <c r="A174" s="543"/>
      <c r="B174" s="543"/>
      <c r="C174" s="464" t="s">
        <v>140</v>
      </c>
      <c r="D174" s="847">
        <f>SUMPRODUCT(($AE$1:$AE$27990)*($L$1:$L$27990=C174))</f>
        <v>0</v>
      </c>
      <c r="E174" s="847"/>
      <c r="F174" s="812">
        <v>2</v>
      </c>
      <c r="G174" s="812"/>
      <c r="H174" s="848">
        <f t="shared" si="29"/>
        <v>0.4</v>
      </c>
      <c r="I174" s="848"/>
      <c r="J174" s="849" t="s">
        <v>245</v>
      </c>
      <c r="K174" s="849"/>
      <c r="L174" s="628"/>
      <c r="M174" s="668">
        <f>verzamelblad!$S$7*D174/H174/1000</f>
        <v>0</v>
      </c>
      <c r="N174" s="738"/>
      <c r="O174" s="850">
        <f t="shared" si="30"/>
        <v>0</v>
      </c>
      <c r="P174" s="850"/>
      <c r="Q174" s="403" t="str">
        <f>IF(D174=0,"verbergen","")</f>
        <v>verbergen</v>
      </c>
      <c r="R174" s="404"/>
      <c r="S174" s="404"/>
      <c r="T174" s="392"/>
      <c r="U174" s="392"/>
      <c r="V174" s="392"/>
      <c r="W174" s="547">
        <f t="shared" si="32"/>
        <v>2</v>
      </c>
      <c r="X174" s="392"/>
      <c r="Y174" s="392"/>
      <c r="Z174" s="392"/>
      <c r="AA174" s="404"/>
      <c r="AB174" s="516"/>
      <c r="AC174" s="516"/>
      <c r="AD174" s="516"/>
      <c r="AE174" s="516"/>
      <c r="AF174" s="516"/>
      <c r="AG174" s="516"/>
      <c r="AH174" s="516"/>
    </row>
    <row r="175" spans="1:34" s="541" customFormat="1" ht="12" customHeight="1">
      <c r="A175" s="543"/>
      <c r="B175" s="556">
        <f>B168+1</f>
        <v>2</v>
      </c>
      <c r="C175" s="480">
        <f>B175</f>
        <v>2</v>
      </c>
      <c r="D175" s="851">
        <f>SUMPRODUCT(($AD$1:$AD$50016)*($AC$1:$AC$50016=B175))</f>
        <v>22.4</v>
      </c>
      <c r="E175" s="851"/>
      <c r="F175" s="852">
        <v>2</v>
      </c>
      <c r="G175" s="852"/>
      <c r="H175" s="853">
        <f t="shared" si="29"/>
        <v>0.4</v>
      </c>
      <c r="I175" s="853"/>
      <c r="J175" s="854" t="s">
        <v>245</v>
      </c>
      <c r="K175" s="854"/>
      <c r="L175" s="592"/>
      <c r="M175" s="669">
        <f>verzamelblad!$R$7*D175/H175/1000</f>
        <v>0.33599999999999997</v>
      </c>
      <c r="N175" s="739"/>
      <c r="O175" s="855">
        <f t="shared" si="30"/>
        <v>0.33599999999999997</v>
      </c>
      <c r="P175" s="855"/>
      <c r="Q175" s="403" t="str">
        <f t="shared" si="31"/>
        <v/>
      </c>
      <c r="R175" s="404"/>
      <c r="S175" s="404"/>
      <c r="T175" s="392"/>
      <c r="U175" s="392"/>
      <c r="V175" s="392"/>
      <c r="W175" s="547">
        <f t="shared" si="32"/>
        <v>2</v>
      </c>
      <c r="X175" s="392"/>
      <c r="Y175" s="392"/>
      <c r="Z175" s="392"/>
      <c r="AA175" s="404"/>
      <c r="AB175" s="516"/>
      <c r="AC175" s="516"/>
      <c r="AD175" s="516"/>
      <c r="AE175" s="516"/>
      <c r="AF175" s="516"/>
      <c r="AG175" s="516"/>
      <c r="AH175" s="516"/>
    </row>
    <row r="176" spans="1:34" s="493" customFormat="1" ht="12" customHeight="1">
      <c r="A176" s="560"/>
      <c r="B176" s="560"/>
      <c r="C176" s="463"/>
      <c r="D176" s="463"/>
      <c r="E176" s="463"/>
      <c r="F176" s="463"/>
      <c r="G176" s="463"/>
      <c r="H176" s="456"/>
      <c r="I176" s="456"/>
      <c r="J176" s="456"/>
      <c r="K176" s="456"/>
      <c r="L176" s="456"/>
      <c r="M176" s="456"/>
      <c r="N176" s="456"/>
      <c r="O176" s="456"/>
      <c r="P176" s="456"/>
      <c r="Q176" s="451"/>
      <c r="R176" s="451"/>
      <c r="S176" s="451"/>
      <c r="T176" s="561"/>
      <c r="U176" s="547"/>
      <c r="V176" s="547"/>
      <c r="W176" s="547">
        <f t="shared" si="32"/>
        <v>2</v>
      </c>
      <c r="X176" s="547"/>
      <c r="Y176" s="547"/>
      <c r="Z176" s="547"/>
      <c r="AA176" s="451"/>
      <c r="AB176" s="507"/>
      <c r="AC176" s="507"/>
      <c r="AD176" s="507"/>
      <c r="AE176" s="507"/>
      <c r="AF176" s="507"/>
      <c r="AG176" s="507"/>
      <c r="AH176" s="507"/>
    </row>
    <row r="177" spans="1:34" s="541" customFormat="1" ht="12" customHeight="1">
      <c r="A177" s="543"/>
      <c r="B177" s="543"/>
      <c r="C177" s="640" t="str">
        <f>L31</f>
        <v>slaapkamer 1</v>
      </c>
      <c r="D177" s="831">
        <f>SUMPRODUCT(($AE$1:$AE$27974)*($L$1:$L$27974=C177))</f>
        <v>16.53</v>
      </c>
      <c r="E177" s="831"/>
      <c r="F177" s="811">
        <v>1</v>
      </c>
      <c r="G177" s="811"/>
      <c r="H177" s="841">
        <f t="shared" ref="H177:H182" si="33">IF(F177=0,"",IF(F177=1,0.1,0.4))</f>
        <v>0.1</v>
      </c>
      <c r="I177" s="841"/>
      <c r="J177" s="842" t="s">
        <v>245</v>
      </c>
      <c r="K177" s="842"/>
      <c r="L177" s="404"/>
      <c r="M177" s="666">
        <f>verzamelblad!$S$7*D177/H177/1000</f>
        <v>0.49590000000000001</v>
      </c>
      <c r="N177" s="735"/>
      <c r="O177" s="856">
        <f>M177</f>
        <v>0.49590000000000001</v>
      </c>
      <c r="P177" s="856"/>
      <c r="Q177" s="403" t="str">
        <f>IF(D177=0,"verbergen","")</f>
        <v/>
      </c>
      <c r="R177" s="404"/>
      <c r="S177" s="404"/>
      <c r="T177" s="392"/>
      <c r="U177" s="392"/>
      <c r="V177" s="392"/>
      <c r="W177" s="547">
        <f>W176+1</f>
        <v>3</v>
      </c>
      <c r="X177" s="392"/>
      <c r="Y177" s="392"/>
      <c r="Z177" s="392"/>
      <c r="AA177" s="404"/>
      <c r="AB177" s="516"/>
      <c r="AC177" s="516"/>
      <c r="AD177" s="516"/>
      <c r="AE177" s="516"/>
      <c r="AF177" s="516"/>
      <c r="AG177" s="516"/>
      <c r="AH177" s="516"/>
    </row>
    <row r="178" spans="1:34" s="541" customFormat="1" ht="12" customHeight="1">
      <c r="A178" s="543"/>
      <c r="B178" s="543"/>
      <c r="C178" s="640" t="str">
        <f>L32</f>
        <v>slaapkamer 2</v>
      </c>
      <c r="D178" s="831">
        <f>SUMPRODUCT(($AE$1:$AE$27974)*($L$1:$L$27974=C178))</f>
        <v>7.47</v>
      </c>
      <c r="E178" s="831"/>
      <c r="F178" s="811">
        <v>1</v>
      </c>
      <c r="G178" s="811"/>
      <c r="H178" s="841">
        <f t="shared" si="33"/>
        <v>0.1</v>
      </c>
      <c r="I178" s="841"/>
      <c r="J178" s="842" t="s">
        <v>245</v>
      </c>
      <c r="K178" s="842"/>
      <c r="L178" s="404"/>
      <c r="M178" s="666">
        <f>verzamelblad!$S$7*D178/H178/1000</f>
        <v>0.22409999999999999</v>
      </c>
      <c r="N178" s="735"/>
      <c r="O178" s="856">
        <f t="shared" ref="O178:O182" si="34">M178</f>
        <v>0.22409999999999999</v>
      </c>
      <c r="P178" s="856"/>
      <c r="Q178" s="403" t="str">
        <f t="shared" ref="Q178:Q182" si="35">IF(D178=0,"verbergen","")</f>
        <v/>
      </c>
      <c r="R178" s="404"/>
      <c r="S178" s="404"/>
      <c r="T178" s="392"/>
      <c r="U178" s="392"/>
      <c r="V178" s="392"/>
      <c r="W178" s="547">
        <f t="shared" ref="W178:W183" si="36">W177</f>
        <v>3</v>
      </c>
      <c r="X178" s="392"/>
      <c r="Y178" s="392"/>
      <c r="Z178" s="392"/>
      <c r="AA178" s="404"/>
      <c r="AB178" s="516"/>
      <c r="AC178" s="516"/>
      <c r="AD178" s="516"/>
      <c r="AE178" s="516"/>
      <c r="AF178" s="516"/>
      <c r="AG178" s="516"/>
      <c r="AH178" s="516"/>
    </row>
    <row r="179" spans="1:34" s="541" customFormat="1" ht="12" customHeight="1">
      <c r="A179" s="543"/>
      <c r="B179" s="543"/>
      <c r="C179" s="640" t="str">
        <f>L33</f>
        <v>studeerkamer</v>
      </c>
      <c r="D179" s="831">
        <f>SUMPRODUCT(($AE$1:$AE$27974)*($L$1:$L$27974=C179))</f>
        <v>3.66</v>
      </c>
      <c r="E179" s="831"/>
      <c r="F179" s="811">
        <v>1</v>
      </c>
      <c r="G179" s="811"/>
      <c r="H179" s="841">
        <f t="shared" si="33"/>
        <v>0.1</v>
      </c>
      <c r="I179" s="841"/>
      <c r="J179" s="842" t="s">
        <v>245</v>
      </c>
      <c r="K179" s="842"/>
      <c r="L179" s="404"/>
      <c r="M179" s="666">
        <f>verzamelblad!$S$7*D179/H179/1000</f>
        <v>0.10979999999999999</v>
      </c>
      <c r="N179" s="735"/>
      <c r="O179" s="856">
        <f t="shared" si="34"/>
        <v>0.10979999999999999</v>
      </c>
      <c r="P179" s="856"/>
      <c r="Q179" s="403" t="str">
        <f t="shared" si="35"/>
        <v/>
      </c>
      <c r="R179" s="404"/>
      <c r="S179" s="404"/>
      <c r="T179" s="392"/>
      <c r="U179" s="392"/>
      <c r="V179" s="392"/>
      <c r="W179" s="547">
        <f t="shared" si="36"/>
        <v>3</v>
      </c>
      <c r="X179" s="392"/>
      <c r="Y179" s="392"/>
      <c r="Z179" s="392"/>
      <c r="AA179" s="404"/>
      <c r="AB179" s="516"/>
      <c r="AC179" s="516"/>
      <c r="AD179" s="516"/>
      <c r="AE179" s="516"/>
      <c r="AF179" s="516"/>
      <c r="AG179" s="516"/>
      <c r="AH179" s="516"/>
    </row>
    <row r="180" spans="1:34" s="541" customFormat="1" ht="12" customHeight="1">
      <c r="A180" s="543"/>
      <c r="B180" s="543"/>
      <c r="C180" s="640" t="s">
        <v>140</v>
      </c>
      <c r="D180" s="831">
        <f>SUMPRODUCT(($AE$1:$AE$27974)*($L$1:$L$27974=C180))</f>
        <v>0</v>
      </c>
      <c r="E180" s="831"/>
      <c r="F180" s="811">
        <v>2</v>
      </c>
      <c r="G180" s="811"/>
      <c r="H180" s="841">
        <f t="shared" si="33"/>
        <v>0.4</v>
      </c>
      <c r="I180" s="841"/>
      <c r="J180" s="842" t="s">
        <v>245</v>
      </c>
      <c r="K180" s="842"/>
      <c r="L180" s="404"/>
      <c r="M180" s="666">
        <f>verzamelblad!$S$7*D180/H180/1000</f>
        <v>0</v>
      </c>
      <c r="N180" s="735"/>
      <c r="O180" s="856">
        <f t="shared" si="34"/>
        <v>0</v>
      </c>
      <c r="P180" s="856"/>
      <c r="Q180" s="403" t="str">
        <f t="shared" si="35"/>
        <v>verbergen</v>
      </c>
      <c r="R180" s="404"/>
      <c r="S180" s="404"/>
      <c r="T180" s="392"/>
      <c r="U180" s="392"/>
      <c r="V180" s="392"/>
      <c r="W180" s="547">
        <f t="shared" si="36"/>
        <v>3</v>
      </c>
      <c r="X180" s="392"/>
      <c r="Y180" s="392"/>
      <c r="Z180" s="392"/>
      <c r="AA180" s="404"/>
      <c r="AB180" s="516"/>
      <c r="AC180" s="516"/>
      <c r="AD180" s="516"/>
      <c r="AE180" s="516"/>
      <c r="AF180" s="516"/>
      <c r="AG180" s="516"/>
      <c r="AH180" s="516"/>
    </row>
    <row r="181" spans="1:34" s="541" customFormat="1" ht="12" customHeight="1">
      <c r="A181" s="543"/>
      <c r="B181" s="543"/>
      <c r="C181" s="667" t="s">
        <v>140</v>
      </c>
      <c r="D181" s="847">
        <f>SUMPRODUCT(($AE$1:$AE$27974)*($L$1:$L$27974=C181))</f>
        <v>0</v>
      </c>
      <c r="E181" s="847"/>
      <c r="F181" s="812">
        <v>2</v>
      </c>
      <c r="G181" s="812"/>
      <c r="H181" s="848">
        <f t="shared" si="33"/>
        <v>0.4</v>
      </c>
      <c r="I181" s="848"/>
      <c r="J181" s="849" t="s">
        <v>245</v>
      </c>
      <c r="K181" s="849"/>
      <c r="L181" s="628"/>
      <c r="M181" s="668">
        <f>verzamelblad!$S$7*D181/H181/1000</f>
        <v>0</v>
      </c>
      <c r="N181" s="738"/>
      <c r="O181" s="857">
        <f t="shared" si="34"/>
        <v>0</v>
      </c>
      <c r="P181" s="857"/>
      <c r="Q181" s="403" t="str">
        <f>IF(D181=0,"verbergen","")</f>
        <v>verbergen</v>
      </c>
      <c r="R181" s="404"/>
      <c r="S181" s="404"/>
      <c r="T181" s="392"/>
      <c r="U181" s="392"/>
      <c r="V181" s="392"/>
      <c r="W181" s="547">
        <f t="shared" si="36"/>
        <v>3</v>
      </c>
      <c r="X181" s="392"/>
      <c r="Y181" s="392"/>
      <c r="Z181" s="392"/>
      <c r="AA181" s="404"/>
      <c r="AB181" s="516"/>
      <c r="AC181" s="516"/>
      <c r="AD181" s="516"/>
      <c r="AE181" s="516"/>
      <c r="AF181" s="516"/>
      <c r="AG181" s="516"/>
      <c r="AH181" s="516"/>
    </row>
    <row r="182" spans="1:34" s="541" customFormat="1" ht="12" customHeight="1">
      <c r="A182" s="543"/>
      <c r="B182" s="556">
        <f>B175+1</f>
        <v>3</v>
      </c>
      <c r="C182" s="480">
        <f>B182</f>
        <v>3</v>
      </c>
      <c r="D182" s="851">
        <f>SUMPRODUCT(($AD$1:$AD$50000)*($AC$1:$AC$50000=B182))</f>
        <v>27.86</v>
      </c>
      <c r="E182" s="851"/>
      <c r="F182" s="852">
        <v>2</v>
      </c>
      <c r="G182" s="852"/>
      <c r="H182" s="853">
        <f t="shared" si="33"/>
        <v>0.4</v>
      </c>
      <c r="I182" s="853"/>
      <c r="J182" s="854" t="s">
        <v>245</v>
      </c>
      <c r="K182" s="854"/>
      <c r="L182" s="592"/>
      <c r="M182" s="669">
        <f>verzamelblad!$R$7*D182/H182/1000</f>
        <v>0.41789999999999999</v>
      </c>
      <c r="N182" s="739"/>
      <c r="O182" s="858">
        <f t="shared" si="34"/>
        <v>0.41789999999999999</v>
      </c>
      <c r="P182" s="858"/>
      <c r="Q182" s="403" t="str">
        <f t="shared" si="35"/>
        <v/>
      </c>
      <c r="R182" s="404"/>
      <c r="S182" s="404"/>
      <c r="T182" s="392"/>
      <c r="U182" s="392"/>
      <c r="V182" s="392"/>
      <c r="W182" s="547">
        <f t="shared" si="36"/>
        <v>3</v>
      </c>
      <c r="X182" s="392"/>
      <c r="Y182" s="392"/>
      <c r="Z182" s="392"/>
      <c r="AA182" s="404"/>
      <c r="AB182" s="516"/>
      <c r="AC182" s="516"/>
      <c r="AD182" s="516"/>
      <c r="AE182" s="516"/>
      <c r="AF182" s="516"/>
      <c r="AG182" s="516"/>
      <c r="AH182" s="516"/>
    </row>
    <row r="183" spans="1:34" s="493" customFormat="1" ht="12" customHeight="1">
      <c r="A183" s="560"/>
      <c r="B183" s="560"/>
      <c r="C183" s="463"/>
      <c r="D183" s="463"/>
      <c r="E183" s="463"/>
      <c r="F183" s="463"/>
      <c r="G183" s="463"/>
      <c r="H183" s="456"/>
      <c r="I183" s="456"/>
      <c r="J183" s="456"/>
      <c r="K183" s="456"/>
      <c r="L183" s="456"/>
      <c r="M183" s="456"/>
      <c r="N183" s="456"/>
      <c r="O183" s="456"/>
      <c r="P183" s="456"/>
      <c r="Q183" s="451"/>
      <c r="R183" s="451"/>
      <c r="S183" s="451"/>
      <c r="T183" s="561"/>
      <c r="U183" s="547"/>
      <c r="V183" s="547"/>
      <c r="W183" s="547">
        <f t="shared" si="36"/>
        <v>3</v>
      </c>
      <c r="X183" s="547"/>
      <c r="Y183" s="547"/>
      <c r="Z183" s="547"/>
      <c r="AA183" s="451"/>
      <c r="AB183" s="507"/>
      <c r="AC183" s="507"/>
      <c r="AD183" s="507"/>
      <c r="AE183" s="507"/>
      <c r="AF183" s="507"/>
      <c r="AG183" s="507"/>
      <c r="AH183" s="507"/>
    </row>
    <row r="184" spans="1:34" ht="12" customHeight="1"/>
  </sheetData>
  <sheetProtection algorithmName="SHA-512" hashValue="awNrHiP6S4+7LG6BRdWfBvEfBsWNpknpqkAKtkoKiqZ2MBfUVnFYCRzNGiheHLxfbh9MgcuM2mIDRoFzDUYw5w==" saltValue="GwIBWS2L9sJuCij84UFGmQ==" spinCount="100000" sheet="1" objects="1" scenarios="1"/>
  <dataConsolidate/>
  <mergeCells count="293">
    <mergeCell ref="D182:E182"/>
    <mergeCell ref="F182:G182"/>
    <mergeCell ref="H182:I182"/>
    <mergeCell ref="J182:K182"/>
    <mergeCell ref="O182:P182"/>
    <mergeCell ref="D180:E180"/>
    <mergeCell ref="F180:G180"/>
    <mergeCell ref="H180:I180"/>
    <mergeCell ref="J180:K180"/>
    <mergeCell ref="O180:P180"/>
    <mergeCell ref="D181:E181"/>
    <mergeCell ref="F181:G181"/>
    <mergeCell ref="H181:I181"/>
    <mergeCell ref="J181:K181"/>
    <mergeCell ref="O181:P181"/>
    <mergeCell ref="D178:E178"/>
    <mergeCell ref="F178:G178"/>
    <mergeCell ref="H178:I178"/>
    <mergeCell ref="J178:K178"/>
    <mergeCell ref="O178:P178"/>
    <mergeCell ref="D179:E179"/>
    <mergeCell ref="F179:G179"/>
    <mergeCell ref="H179:I179"/>
    <mergeCell ref="J179:K179"/>
    <mergeCell ref="O179:P179"/>
    <mergeCell ref="D175:E175"/>
    <mergeCell ref="F175:G175"/>
    <mergeCell ref="H175:I175"/>
    <mergeCell ref="J175:K175"/>
    <mergeCell ref="O175:P175"/>
    <mergeCell ref="D177:E177"/>
    <mergeCell ref="F177:G177"/>
    <mergeCell ref="H177:I177"/>
    <mergeCell ref="J177:K177"/>
    <mergeCell ref="O177:P177"/>
    <mergeCell ref="D173:E173"/>
    <mergeCell ref="F173:G173"/>
    <mergeCell ref="H173:I173"/>
    <mergeCell ref="J173:K173"/>
    <mergeCell ref="O173:P173"/>
    <mergeCell ref="D174:E174"/>
    <mergeCell ref="F174:G174"/>
    <mergeCell ref="H174:I174"/>
    <mergeCell ref="J174:K174"/>
    <mergeCell ref="O174:P174"/>
    <mergeCell ref="D171:E171"/>
    <mergeCell ref="F171:G171"/>
    <mergeCell ref="H171:I171"/>
    <mergeCell ref="J171:K171"/>
    <mergeCell ref="O171:P171"/>
    <mergeCell ref="D172:E172"/>
    <mergeCell ref="F172:G172"/>
    <mergeCell ref="H172:I172"/>
    <mergeCell ref="J172:K172"/>
    <mergeCell ref="O172:P172"/>
    <mergeCell ref="D168:E168"/>
    <mergeCell ref="F168:G168"/>
    <mergeCell ref="H168:I168"/>
    <mergeCell ref="J168:K168"/>
    <mergeCell ref="O168:P168"/>
    <mergeCell ref="D170:E170"/>
    <mergeCell ref="F170:G170"/>
    <mergeCell ref="H170:I170"/>
    <mergeCell ref="J170:K170"/>
    <mergeCell ref="O170:P170"/>
    <mergeCell ref="D166:E166"/>
    <mergeCell ref="F166:G166"/>
    <mergeCell ref="H166:I166"/>
    <mergeCell ref="J166:K166"/>
    <mergeCell ref="O166:P166"/>
    <mergeCell ref="D167:E167"/>
    <mergeCell ref="F167:G167"/>
    <mergeCell ref="H167:I167"/>
    <mergeCell ref="J167:K167"/>
    <mergeCell ref="O167:P167"/>
    <mergeCell ref="D164:E164"/>
    <mergeCell ref="F164:G164"/>
    <mergeCell ref="H164:I164"/>
    <mergeCell ref="J164:K164"/>
    <mergeCell ref="O164:P164"/>
    <mergeCell ref="D165:E165"/>
    <mergeCell ref="F165:G165"/>
    <mergeCell ref="H165:I165"/>
    <mergeCell ref="J165:K165"/>
    <mergeCell ref="O165:P165"/>
    <mergeCell ref="O161:P161"/>
    <mergeCell ref="D163:E163"/>
    <mergeCell ref="F163:G163"/>
    <mergeCell ref="H163:I163"/>
    <mergeCell ref="J163:K163"/>
    <mergeCell ref="O163:P163"/>
    <mergeCell ref="I154:J154"/>
    <mergeCell ref="K154:P154"/>
    <mergeCell ref="I155:J155"/>
    <mergeCell ref="K155:P155"/>
    <mergeCell ref="K156:P156"/>
    <mergeCell ref="D161:E161"/>
    <mergeCell ref="F161:G161"/>
    <mergeCell ref="H161:I161"/>
    <mergeCell ref="J161:K161"/>
    <mergeCell ref="M161:N161"/>
    <mergeCell ref="I151:J151"/>
    <mergeCell ref="K151:P151"/>
    <mergeCell ref="I152:J152"/>
    <mergeCell ref="K152:P152"/>
    <mergeCell ref="I153:J153"/>
    <mergeCell ref="K153:P153"/>
    <mergeCell ref="I147:J147"/>
    <mergeCell ref="K147:P147"/>
    <mergeCell ref="I148:J148"/>
    <mergeCell ref="K148:P148"/>
    <mergeCell ref="K149:P149"/>
    <mergeCell ref="K150:L150"/>
    <mergeCell ref="M150:N150"/>
    <mergeCell ref="O150:P150"/>
    <mergeCell ref="I144:J144"/>
    <mergeCell ref="K144:P144"/>
    <mergeCell ref="I145:J145"/>
    <mergeCell ref="K145:P145"/>
    <mergeCell ref="I146:J146"/>
    <mergeCell ref="K146:P146"/>
    <mergeCell ref="I141:J141"/>
    <mergeCell ref="K141:P141"/>
    <mergeCell ref="K142:P142"/>
    <mergeCell ref="K143:L143"/>
    <mergeCell ref="M143:N143"/>
    <mergeCell ref="O143:P143"/>
    <mergeCell ref="I138:J138"/>
    <mergeCell ref="K138:P138"/>
    <mergeCell ref="I139:J139"/>
    <mergeCell ref="K139:P139"/>
    <mergeCell ref="I140:J140"/>
    <mergeCell ref="K140:P140"/>
    <mergeCell ref="K135:P135"/>
    <mergeCell ref="K136:L136"/>
    <mergeCell ref="M136:N136"/>
    <mergeCell ref="O136:P136"/>
    <mergeCell ref="I137:J137"/>
    <mergeCell ref="K137:P137"/>
    <mergeCell ref="I132:J132"/>
    <mergeCell ref="K132:P132"/>
    <mergeCell ref="I133:J133"/>
    <mergeCell ref="K133:P133"/>
    <mergeCell ref="I134:J134"/>
    <mergeCell ref="K134:P134"/>
    <mergeCell ref="D126:E126"/>
    <mergeCell ref="M126:N126"/>
    <mergeCell ref="I129:J129"/>
    <mergeCell ref="I130:J130"/>
    <mergeCell ref="K130:P130"/>
    <mergeCell ref="I131:J131"/>
    <mergeCell ref="K131:P131"/>
    <mergeCell ref="K120:P120"/>
    <mergeCell ref="K121:P121"/>
    <mergeCell ref="K122:P122"/>
    <mergeCell ref="K123:P123"/>
    <mergeCell ref="K124:P124"/>
    <mergeCell ref="M125:P125"/>
    <mergeCell ref="K111:P111"/>
    <mergeCell ref="K112:P112"/>
    <mergeCell ref="M113:P113"/>
    <mergeCell ref="D114:E114"/>
    <mergeCell ref="M114:N114"/>
    <mergeCell ref="K119:P119"/>
    <mergeCell ref="F103:H103"/>
    <mergeCell ref="M103:N103"/>
    <mergeCell ref="K107:P107"/>
    <mergeCell ref="K108:P108"/>
    <mergeCell ref="K109:P109"/>
    <mergeCell ref="K110:P110"/>
    <mergeCell ref="I101:J101"/>
    <mergeCell ref="L101:M101"/>
    <mergeCell ref="N101:O101"/>
    <mergeCell ref="I102:J102"/>
    <mergeCell ref="L102:M102"/>
    <mergeCell ref="N102:O102"/>
    <mergeCell ref="F96:H96"/>
    <mergeCell ref="M96:N96"/>
    <mergeCell ref="I99:J99"/>
    <mergeCell ref="L99:M99"/>
    <mergeCell ref="N99:O99"/>
    <mergeCell ref="I100:J100"/>
    <mergeCell ref="L100:M100"/>
    <mergeCell ref="N100:O100"/>
    <mergeCell ref="I94:J94"/>
    <mergeCell ref="L94:M94"/>
    <mergeCell ref="N94:O94"/>
    <mergeCell ref="I95:J95"/>
    <mergeCell ref="L95:M95"/>
    <mergeCell ref="N95:O95"/>
    <mergeCell ref="I92:J92"/>
    <mergeCell ref="L92:M92"/>
    <mergeCell ref="N92:O92"/>
    <mergeCell ref="I93:J93"/>
    <mergeCell ref="L93:M93"/>
    <mergeCell ref="N93:O93"/>
    <mergeCell ref="I88:J88"/>
    <mergeCell ref="L88:M88"/>
    <mergeCell ref="N88:O88"/>
    <mergeCell ref="F89:H89"/>
    <mergeCell ref="M89:N89"/>
    <mergeCell ref="I91:J91"/>
    <mergeCell ref="L91:M91"/>
    <mergeCell ref="N91:O91"/>
    <mergeCell ref="I86:J86"/>
    <mergeCell ref="L86:M86"/>
    <mergeCell ref="N86:O86"/>
    <mergeCell ref="I87:J87"/>
    <mergeCell ref="L87:M87"/>
    <mergeCell ref="N87:O87"/>
    <mergeCell ref="F82:H82"/>
    <mergeCell ref="M82:N82"/>
    <mergeCell ref="I84:J84"/>
    <mergeCell ref="L84:M84"/>
    <mergeCell ref="N84:O84"/>
    <mergeCell ref="I85:J85"/>
    <mergeCell ref="L85:M85"/>
    <mergeCell ref="N85:O85"/>
    <mergeCell ref="AJ78:AL81"/>
    <mergeCell ref="I79:J79"/>
    <mergeCell ref="N79:O79"/>
    <mergeCell ref="I80:J80"/>
    <mergeCell ref="N80:O80"/>
    <mergeCell ref="I81:J81"/>
    <mergeCell ref="N81:O81"/>
    <mergeCell ref="L76:M76"/>
    <mergeCell ref="I77:J77"/>
    <mergeCell ref="L77:M77"/>
    <mergeCell ref="N77:O77"/>
    <mergeCell ref="I78:J78"/>
    <mergeCell ref="N78:O78"/>
    <mergeCell ref="D65:G65"/>
    <mergeCell ref="D67:G67"/>
    <mergeCell ref="D68:G68"/>
    <mergeCell ref="F74:H74"/>
    <mergeCell ref="F76:H76"/>
    <mergeCell ref="I76:J76"/>
    <mergeCell ref="D56:E56"/>
    <mergeCell ref="D57:E57"/>
    <mergeCell ref="D58:E58"/>
    <mergeCell ref="D59:E59"/>
    <mergeCell ref="D60:E60"/>
    <mergeCell ref="E61:G61"/>
    <mergeCell ref="D49:E49"/>
    <mergeCell ref="D50:E50"/>
    <mergeCell ref="D51:E51"/>
    <mergeCell ref="D52:E52"/>
    <mergeCell ref="D53:E53"/>
    <mergeCell ref="E54:G54"/>
    <mergeCell ref="D42:E42"/>
    <mergeCell ref="D43:E43"/>
    <mergeCell ref="D44:E44"/>
    <mergeCell ref="D45:E45"/>
    <mergeCell ref="D46:E46"/>
    <mergeCell ref="E47:G47"/>
    <mergeCell ref="F34:G34"/>
    <mergeCell ref="J34:K34"/>
    <mergeCell ref="N34:O34"/>
    <mergeCell ref="F36:G36"/>
    <mergeCell ref="D40:E40"/>
    <mergeCell ref="D41:F41"/>
    <mergeCell ref="F32:G32"/>
    <mergeCell ref="J32:K32"/>
    <mergeCell ref="N32:O32"/>
    <mergeCell ref="F33:G33"/>
    <mergeCell ref="J33:K33"/>
    <mergeCell ref="N33:O33"/>
    <mergeCell ref="F30:G30"/>
    <mergeCell ref="J30:K30"/>
    <mergeCell ref="N30:O30"/>
    <mergeCell ref="F31:G31"/>
    <mergeCell ref="J31:K31"/>
    <mergeCell ref="N31:O31"/>
    <mergeCell ref="F28:G28"/>
    <mergeCell ref="J28:K28"/>
    <mergeCell ref="N28:O28"/>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s>
  <conditionalFormatting sqref="F20">
    <cfRule type="expression" dxfId="161" priority="159" stopIfTrue="1">
      <formula>F19&lt;18</formula>
    </cfRule>
    <cfRule type="expression" dxfId="160" priority="160" stopIfTrue="1">
      <formula>F19&lt;F18</formula>
    </cfRule>
  </conditionalFormatting>
  <conditionalFormatting sqref="H22:I23">
    <cfRule type="expression" dxfId="159" priority="158" stopIfTrue="1">
      <formula>H22&lt;F22</formula>
    </cfRule>
  </conditionalFormatting>
  <conditionalFormatting sqref="I15 K15:P15 H8:P11">
    <cfRule type="cellIs" dxfId="158" priority="161" stopIfTrue="1" operator="equal">
      <formula>"&lt;PROJECTNUMMER&gt;"</formula>
    </cfRule>
  </conditionalFormatting>
  <conditionalFormatting sqref="L16:L20">
    <cfRule type="expression" dxfId="157" priority="157">
      <formula>L16=0</formula>
    </cfRule>
  </conditionalFormatting>
  <conditionalFormatting sqref="F28:F29">
    <cfRule type="expression" dxfId="156" priority="156" stopIfTrue="1">
      <formula>D28-E28&lt;5</formula>
    </cfRule>
  </conditionalFormatting>
  <conditionalFormatting sqref="D28:D29">
    <cfRule type="expression" dxfId="155" priority="162" stopIfTrue="1">
      <formula>C28=""</formula>
    </cfRule>
  </conditionalFormatting>
  <conditionalFormatting sqref="I79:P81 I78:K78 AJ78 M78:P78 I77:P77">
    <cfRule type="expression" dxfId="154" priority="155">
      <formula>$S$16&lt;&gt;1</formula>
    </cfRule>
  </conditionalFormatting>
  <conditionalFormatting sqref="N77:P81">
    <cfRule type="expression" dxfId="153" priority="154">
      <formula>$S$12="nader te bepalen"</formula>
    </cfRule>
  </conditionalFormatting>
  <conditionalFormatting sqref="H16">
    <cfRule type="expression" dxfId="152" priority="151">
      <formula>AND(SUM(L16:L20)&gt;=10,SUM(L16:L20)&lt;100)</formula>
    </cfRule>
    <cfRule type="expression" dxfId="151" priority="152">
      <formula>SUM(L16:L20)&gt;=100</formula>
    </cfRule>
    <cfRule type="expression" dxfId="150" priority="153">
      <formula>SUM(L16:L20)&lt;10</formula>
    </cfRule>
  </conditionalFormatting>
  <conditionalFormatting sqref="F17">
    <cfRule type="expression" dxfId="149" priority="148">
      <formula>F17&lt;10</formula>
    </cfRule>
    <cfRule type="expression" dxfId="148" priority="149">
      <formula>AND(F17&gt;=10,F17&lt;100)</formula>
    </cfRule>
    <cfRule type="expression" dxfId="147" priority="150">
      <formula>F17&gt;=100</formula>
    </cfRule>
  </conditionalFormatting>
  <conditionalFormatting sqref="F18">
    <cfRule type="expression" dxfId="146" priority="145">
      <formula>F18&lt;10</formula>
    </cfRule>
    <cfRule type="expression" dxfId="145" priority="146">
      <formula>AND(F18&gt;=10,F18&lt;100)</formula>
    </cfRule>
    <cfRule type="expression" dxfId="144" priority="147">
      <formula>F18&gt;=100</formula>
    </cfRule>
  </conditionalFormatting>
  <conditionalFormatting sqref="F19">
    <cfRule type="expression" dxfId="143" priority="142">
      <formula>F19&lt;10</formula>
    </cfRule>
    <cfRule type="expression" dxfId="142" priority="143">
      <formula>AND(F19&gt;=10,F19&lt;100)</formula>
    </cfRule>
    <cfRule type="expression" dxfId="141" priority="144">
      <formula>F19&gt;=100</formula>
    </cfRule>
  </conditionalFormatting>
  <conditionalFormatting sqref="K47">
    <cfRule type="expression" dxfId="140" priority="141" stopIfTrue="1">
      <formula>A47="nee"</formula>
    </cfRule>
  </conditionalFormatting>
  <conditionalFormatting sqref="K47">
    <cfRule type="expression" dxfId="139" priority="140" stopIfTrue="1">
      <formula>A47="nee"</formula>
    </cfRule>
  </conditionalFormatting>
  <conditionalFormatting sqref="E47">
    <cfRule type="cellIs" dxfId="138" priority="139" stopIfTrue="1" operator="equal">
      <formula>"voldoet niet"</formula>
    </cfRule>
  </conditionalFormatting>
  <conditionalFormatting sqref="K47">
    <cfRule type="expression" dxfId="137" priority="138" stopIfTrue="1">
      <formula>A47="nee"</formula>
    </cfRule>
  </conditionalFormatting>
  <conditionalFormatting sqref="K47">
    <cfRule type="expression" dxfId="136" priority="137" stopIfTrue="1">
      <formula>A47="nee"</formula>
    </cfRule>
  </conditionalFormatting>
  <conditionalFormatting sqref="F77:H82">
    <cfRule type="expression" dxfId="135" priority="136">
      <formula>$S$16=3</formula>
    </cfRule>
  </conditionalFormatting>
  <conditionalFormatting sqref="H107:P114">
    <cfRule type="expression" dxfId="134" priority="135">
      <formula>$S$16=3</formula>
    </cfRule>
  </conditionalFormatting>
  <conditionalFormatting sqref="H119:P126">
    <cfRule type="expression" dxfId="133" priority="134">
      <formula>$S$16=3</formula>
    </cfRule>
  </conditionalFormatting>
  <conditionalFormatting sqref="F102:H103">
    <cfRule type="expression" dxfId="132" priority="104">
      <formula>$S$16=3</formula>
    </cfRule>
  </conditionalFormatting>
  <conditionalFormatting sqref="I99:P101">
    <cfRule type="expression" dxfId="131" priority="131">
      <formula>$S$16&lt;&gt;1</formula>
    </cfRule>
  </conditionalFormatting>
  <conditionalFormatting sqref="N99:P101">
    <cfRule type="expression" dxfId="130" priority="130">
      <formula>$S$12="nader te bepalen"</formula>
    </cfRule>
  </conditionalFormatting>
  <conditionalFormatting sqref="I99:P101">
    <cfRule type="expression" dxfId="129" priority="125">
      <formula>$S$16&lt;&gt;1</formula>
    </cfRule>
  </conditionalFormatting>
  <conditionalFormatting sqref="N99:P101">
    <cfRule type="expression" dxfId="128" priority="124">
      <formula>$S$12="nader te bepalen"</formula>
    </cfRule>
  </conditionalFormatting>
  <conditionalFormatting sqref="I99:P101">
    <cfRule type="expression" dxfId="127" priority="133">
      <formula>$S$16&lt;&gt;1</formula>
    </cfRule>
  </conditionalFormatting>
  <conditionalFormatting sqref="I99:P101">
    <cfRule type="expression" dxfId="126" priority="132">
      <formula>$S$16&lt;&gt;1</formula>
    </cfRule>
  </conditionalFormatting>
  <conditionalFormatting sqref="I99:P101">
    <cfRule type="expression" dxfId="125" priority="129">
      <formula>$S$16&lt;&gt;1</formula>
    </cfRule>
  </conditionalFormatting>
  <conditionalFormatting sqref="N99:P101">
    <cfRule type="expression" dxfId="124" priority="128">
      <formula>$S$12="nader te bepalen"</formula>
    </cfRule>
  </conditionalFormatting>
  <conditionalFormatting sqref="I99:P101">
    <cfRule type="expression" dxfId="123" priority="127">
      <formula>$S$16&lt;&gt;1</formula>
    </cfRule>
  </conditionalFormatting>
  <conditionalFormatting sqref="I99:P101">
    <cfRule type="expression" dxfId="122" priority="126">
      <formula>$S$16&lt;&gt;1</formula>
    </cfRule>
  </conditionalFormatting>
  <conditionalFormatting sqref="I99:P101">
    <cfRule type="expression" dxfId="121" priority="123">
      <formula>$S$16&lt;&gt;1</formula>
    </cfRule>
  </conditionalFormatting>
  <conditionalFormatting sqref="N99:P101">
    <cfRule type="expression" dxfId="120" priority="122">
      <formula>$S$12="nader te bepalen"</formula>
    </cfRule>
  </conditionalFormatting>
  <conditionalFormatting sqref="I99:P101">
    <cfRule type="expression" dxfId="119" priority="121">
      <formula>$S$16&lt;&gt;1</formula>
    </cfRule>
  </conditionalFormatting>
  <conditionalFormatting sqref="N99:P101">
    <cfRule type="expression" dxfId="118" priority="120">
      <formula>$S$12="nader te bepalen"</formula>
    </cfRule>
  </conditionalFormatting>
  <conditionalFormatting sqref="F99:H101">
    <cfRule type="expression" dxfId="117" priority="119">
      <formula>$S$16=3</formula>
    </cfRule>
  </conditionalFormatting>
  <conditionalFormatting sqref="I102:P102">
    <cfRule type="expression" dxfId="116" priority="116">
      <formula>$S$16&lt;&gt;1</formula>
    </cfRule>
  </conditionalFormatting>
  <conditionalFormatting sqref="N102:P102">
    <cfRule type="expression" dxfId="115" priority="115">
      <formula>$S$12="nader te bepalen"</formula>
    </cfRule>
  </conditionalFormatting>
  <conditionalFormatting sqref="I102:P102">
    <cfRule type="expression" dxfId="114" priority="110">
      <formula>$S$16&lt;&gt;1</formula>
    </cfRule>
  </conditionalFormatting>
  <conditionalFormatting sqref="N102:P102">
    <cfRule type="expression" dxfId="113" priority="109">
      <formula>$S$12="nader te bepalen"</formula>
    </cfRule>
  </conditionalFormatting>
  <conditionalFormatting sqref="I102:P102">
    <cfRule type="expression" dxfId="112" priority="118">
      <formula>$S$16&lt;&gt;1</formula>
    </cfRule>
  </conditionalFormatting>
  <conditionalFormatting sqref="I102:P102">
    <cfRule type="expression" dxfId="111" priority="117">
      <formula>$S$16&lt;&gt;1</formula>
    </cfRule>
  </conditionalFormatting>
  <conditionalFormatting sqref="I102:P102">
    <cfRule type="expression" dxfId="110" priority="114">
      <formula>$S$16&lt;&gt;1</formula>
    </cfRule>
  </conditionalFormatting>
  <conditionalFormatting sqref="N102:P102">
    <cfRule type="expression" dxfId="109" priority="113">
      <formula>$S$12="nader te bepalen"</formula>
    </cfRule>
  </conditionalFormatting>
  <conditionalFormatting sqref="I102:P102">
    <cfRule type="expression" dxfId="108" priority="112">
      <formula>$S$16&lt;&gt;1</formula>
    </cfRule>
  </conditionalFormatting>
  <conditionalFormatting sqref="I102:P102">
    <cfRule type="expression" dxfId="107" priority="111">
      <formula>$S$16&lt;&gt;1</formula>
    </cfRule>
  </conditionalFormatting>
  <conditionalFormatting sqref="I102:P102">
    <cfRule type="expression" dxfId="106" priority="108">
      <formula>$S$16&lt;&gt;1</formula>
    </cfRule>
  </conditionalFormatting>
  <conditionalFormatting sqref="N102:P102">
    <cfRule type="expression" dxfId="105" priority="107">
      <formula>$S$12="nader te bepalen"</formula>
    </cfRule>
  </conditionalFormatting>
  <conditionalFormatting sqref="I102:P102">
    <cfRule type="expression" dxfId="104" priority="106">
      <formula>$S$16&lt;&gt;1</formula>
    </cfRule>
  </conditionalFormatting>
  <conditionalFormatting sqref="N102:P102">
    <cfRule type="expression" dxfId="103" priority="105">
      <formula>$S$12="nader te bepalen"</formula>
    </cfRule>
  </conditionalFormatting>
  <conditionalFormatting sqref="P78">
    <cfRule type="expression" dxfId="102" priority="95" stopIfTrue="1">
      <formula>P78="-"</formula>
    </cfRule>
    <cfRule type="expression" dxfId="101" priority="100" stopIfTrue="1">
      <formula>P78&lt;H78</formula>
    </cfRule>
  </conditionalFormatting>
  <conditionalFormatting sqref="P79">
    <cfRule type="expression" dxfId="100" priority="96" stopIfTrue="1">
      <formula>P79="-"</formula>
    </cfRule>
    <cfRule type="expression" dxfId="99" priority="101" stopIfTrue="1">
      <formula>P79&lt;H79</formula>
    </cfRule>
  </conditionalFormatting>
  <conditionalFormatting sqref="P80">
    <cfRule type="expression" dxfId="98" priority="97" stopIfTrue="1">
      <formula>P80="-"</formula>
    </cfRule>
    <cfRule type="expression" dxfId="97" priority="102" stopIfTrue="1">
      <formula>P80&lt;H80</formula>
    </cfRule>
  </conditionalFormatting>
  <conditionalFormatting sqref="P81">
    <cfRule type="expression" dxfId="96" priority="98" stopIfTrue="1">
      <formula>P81="-"</formula>
    </cfRule>
    <cfRule type="expression" dxfId="95" priority="103" stopIfTrue="1">
      <formula>P81&lt;H81</formula>
    </cfRule>
  </conditionalFormatting>
  <conditionalFormatting sqref="P77">
    <cfRule type="expression" dxfId="94" priority="94" stopIfTrue="1">
      <formula>P77="-"</formula>
    </cfRule>
    <cfRule type="expression" dxfId="93" priority="99" stopIfTrue="1">
      <formula>P77&lt;H77</formula>
    </cfRule>
  </conditionalFormatting>
  <conditionalFormatting sqref="P99">
    <cfRule type="expression" dxfId="92" priority="86" stopIfTrue="1">
      <formula>P99="-"</formula>
    </cfRule>
    <cfRule type="expression" dxfId="91" priority="90" stopIfTrue="1">
      <formula>P99&lt;H99</formula>
    </cfRule>
  </conditionalFormatting>
  <conditionalFormatting sqref="P100">
    <cfRule type="expression" dxfId="90" priority="87" stopIfTrue="1">
      <formula>P100="-"</formula>
    </cfRule>
    <cfRule type="expression" dxfId="89" priority="91" stopIfTrue="1">
      <formula>P100&lt;H100</formula>
    </cfRule>
  </conditionalFormatting>
  <conditionalFormatting sqref="P101">
    <cfRule type="expression" dxfId="88" priority="88" stopIfTrue="1">
      <formula>P101="-"</formula>
    </cfRule>
    <cfRule type="expression" dxfId="87" priority="92" stopIfTrue="1">
      <formula>P101&lt;H101</formula>
    </cfRule>
  </conditionalFormatting>
  <conditionalFormatting sqref="P102">
    <cfRule type="expression" dxfId="86" priority="89" stopIfTrue="1">
      <formula>P102="-"</formula>
    </cfRule>
    <cfRule type="expression" dxfId="85" priority="93" stopIfTrue="1">
      <formula>P102&lt;H102</formula>
    </cfRule>
  </conditionalFormatting>
  <conditionalFormatting sqref="F82:H82">
    <cfRule type="containsText" dxfId="84" priority="85" operator="containsText" text="voldoet niet op VG-niveau">
      <formula>NOT(ISERROR(SEARCH("voldoet niet op VG-niveau",F82)))</formula>
    </cfRule>
  </conditionalFormatting>
  <conditionalFormatting sqref="K54">
    <cfRule type="expression" dxfId="83" priority="84" stopIfTrue="1">
      <formula>A54="nee"</formula>
    </cfRule>
  </conditionalFormatting>
  <conditionalFormatting sqref="K54">
    <cfRule type="expression" dxfId="82" priority="83" stopIfTrue="1">
      <formula>A54="nee"</formula>
    </cfRule>
  </conditionalFormatting>
  <conditionalFormatting sqref="E54">
    <cfRule type="cellIs" dxfId="81" priority="82" stopIfTrue="1" operator="equal">
      <formula>"voldoet niet"</formula>
    </cfRule>
  </conditionalFormatting>
  <conditionalFormatting sqref="K54">
    <cfRule type="expression" dxfId="80" priority="81" stopIfTrue="1">
      <formula>A54="nee"</formula>
    </cfRule>
  </conditionalFormatting>
  <conditionalFormatting sqref="K54">
    <cfRule type="expression" dxfId="79" priority="80" stopIfTrue="1">
      <formula>A54="nee"</formula>
    </cfRule>
  </conditionalFormatting>
  <conditionalFormatting sqref="I84:P88">
    <cfRule type="expression" dxfId="78" priority="79">
      <formula>$S$16&lt;&gt;1</formula>
    </cfRule>
  </conditionalFormatting>
  <conditionalFormatting sqref="N84:P88">
    <cfRule type="expression" dxfId="77" priority="78">
      <formula>$S$12="nader te bepalen"</formula>
    </cfRule>
  </conditionalFormatting>
  <conditionalFormatting sqref="F84:H89">
    <cfRule type="expression" dxfId="76" priority="77">
      <formula>$S$16=3</formula>
    </cfRule>
  </conditionalFormatting>
  <conditionalFormatting sqref="Q84:Q88">
    <cfRule type="expression" dxfId="75" priority="76">
      <formula>SUM(Q80:Q84)&lt;E85</formula>
    </cfRule>
  </conditionalFormatting>
  <conditionalFormatting sqref="P84">
    <cfRule type="expression" dxfId="74" priority="66" stopIfTrue="1">
      <formula>P84="-"</formula>
    </cfRule>
    <cfRule type="expression" dxfId="73" priority="71" stopIfTrue="1">
      <formula>P84&lt;H84</formula>
    </cfRule>
  </conditionalFormatting>
  <conditionalFormatting sqref="P85">
    <cfRule type="expression" dxfId="72" priority="67" stopIfTrue="1">
      <formula>P85="-"</formula>
    </cfRule>
    <cfRule type="expression" dxfId="71" priority="72" stopIfTrue="1">
      <formula>P85&lt;H85</formula>
    </cfRule>
  </conditionalFormatting>
  <conditionalFormatting sqref="P86">
    <cfRule type="expression" dxfId="70" priority="68" stopIfTrue="1">
      <formula>P86="-"</formula>
    </cfRule>
    <cfRule type="expression" dxfId="69" priority="73" stopIfTrue="1">
      <formula>P86&lt;H86</formula>
    </cfRule>
  </conditionalFormatting>
  <conditionalFormatting sqref="P87">
    <cfRule type="expression" dxfId="68" priority="69" stopIfTrue="1">
      <formula>P87="-"</formula>
    </cfRule>
    <cfRule type="expression" dxfId="67" priority="74" stopIfTrue="1">
      <formula>P87&lt;H87</formula>
    </cfRule>
  </conditionalFormatting>
  <conditionalFormatting sqref="P88">
    <cfRule type="expression" dxfId="66" priority="70" stopIfTrue="1">
      <formula>P88="-"</formula>
    </cfRule>
    <cfRule type="expression" dxfId="65" priority="75" stopIfTrue="1">
      <formula>P88&lt;H88</formula>
    </cfRule>
  </conditionalFormatting>
  <conditionalFormatting sqref="F89:H89">
    <cfRule type="containsText" dxfId="64" priority="65" operator="containsText" text="voldoet niet op VG-niveau">
      <formula>NOT(ISERROR(SEARCH("voldoet niet op VG-niveau",F89)))</formula>
    </cfRule>
  </conditionalFormatting>
  <conditionalFormatting sqref="G8:G10">
    <cfRule type="cellIs" dxfId="63" priority="64" stopIfTrue="1" operator="equal">
      <formula>"&lt;PROJECTNUMMER&gt;"</formula>
    </cfRule>
  </conditionalFormatting>
  <conditionalFormatting sqref="D8">
    <cfRule type="cellIs" dxfId="62" priority="63" stopIfTrue="1" operator="equal">
      <formula>"&lt;PROJECTNUMMER&gt;"</formula>
    </cfRule>
  </conditionalFormatting>
  <conditionalFormatting sqref="D9">
    <cfRule type="cellIs" dxfId="61" priority="62" stopIfTrue="1" operator="equal">
      <formula>"&lt;PROJECTNUMMER&gt;"</formula>
    </cfRule>
  </conditionalFormatting>
  <conditionalFormatting sqref="D10">
    <cfRule type="cellIs" dxfId="60" priority="61" stopIfTrue="1" operator="equal">
      <formula>"&lt;PROJECTNUMMER&gt;"</formula>
    </cfRule>
  </conditionalFormatting>
  <conditionalFormatting sqref="F30">
    <cfRule type="expression" dxfId="59" priority="58" stopIfTrue="1">
      <formula>D30-E30&lt;5</formula>
    </cfRule>
  </conditionalFormatting>
  <conditionalFormatting sqref="F30">
    <cfRule type="expression" dxfId="58" priority="57" stopIfTrue="1">
      <formula>D30-E30&lt;5</formula>
    </cfRule>
  </conditionalFormatting>
  <conditionalFormatting sqref="F30">
    <cfRule type="expression" dxfId="57" priority="54" stopIfTrue="1">
      <formula>D30-E30&lt;5</formula>
    </cfRule>
  </conditionalFormatting>
  <conditionalFormatting sqref="D30">
    <cfRule type="expression" dxfId="56" priority="53" stopIfTrue="1">
      <formula>C30=""</formula>
    </cfRule>
  </conditionalFormatting>
  <conditionalFormatting sqref="F30">
    <cfRule type="expression" dxfId="55" priority="60" stopIfTrue="1">
      <formula>D30=""</formula>
    </cfRule>
  </conditionalFormatting>
  <conditionalFormatting sqref="F30">
    <cfRule type="expression" dxfId="54" priority="59" stopIfTrue="1">
      <formula>D30=""</formula>
    </cfRule>
  </conditionalFormatting>
  <conditionalFormatting sqref="D30">
    <cfRule type="expression" dxfId="53" priority="56" stopIfTrue="1">
      <formula>C30=""</formula>
    </cfRule>
  </conditionalFormatting>
  <conditionalFormatting sqref="F30">
    <cfRule type="expression" dxfId="52" priority="55" stopIfTrue="1">
      <formula>D30-E30&lt;5</formula>
    </cfRule>
  </conditionalFormatting>
  <conditionalFormatting sqref="F31">
    <cfRule type="expression" dxfId="51" priority="50" stopIfTrue="1">
      <formula>D31-E31&lt;5</formula>
    </cfRule>
  </conditionalFormatting>
  <conditionalFormatting sqref="F31">
    <cfRule type="expression" dxfId="50" priority="49" stopIfTrue="1">
      <formula>D31-E31&lt;5</formula>
    </cfRule>
  </conditionalFormatting>
  <conditionalFormatting sqref="F31">
    <cfRule type="expression" dxfId="49" priority="46" stopIfTrue="1">
      <formula>D31-E31&lt;5</formula>
    </cfRule>
  </conditionalFormatting>
  <conditionalFormatting sqref="D31">
    <cfRule type="expression" dxfId="48" priority="45" stopIfTrue="1">
      <formula>C31=""</formula>
    </cfRule>
  </conditionalFormatting>
  <conditionalFormatting sqref="F31">
    <cfRule type="expression" dxfId="47" priority="52" stopIfTrue="1">
      <formula>D31=""</formula>
    </cfRule>
  </conditionalFormatting>
  <conditionalFormatting sqref="F31">
    <cfRule type="expression" dxfId="46" priority="51" stopIfTrue="1">
      <formula>D31=""</formula>
    </cfRule>
  </conditionalFormatting>
  <conditionalFormatting sqref="D31">
    <cfRule type="expression" dxfId="45" priority="48" stopIfTrue="1">
      <formula>C31=""</formula>
    </cfRule>
  </conditionalFormatting>
  <conditionalFormatting sqref="F31">
    <cfRule type="expression" dxfId="44" priority="47" stopIfTrue="1">
      <formula>D31-E31&lt;5</formula>
    </cfRule>
  </conditionalFormatting>
  <conditionalFormatting sqref="F32">
    <cfRule type="expression" dxfId="43" priority="42" stopIfTrue="1">
      <formula>D32-E32&lt;5</formula>
    </cfRule>
  </conditionalFormatting>
  <conditionalFormatting sqref="F32">
    <cfRule type="expression" dxfId="42" priority="41" stopIfTrue="1">
      <formula>D32-E32&lt;5</formula>
    </cfRule>
  </conditionalFormatting>
  <conditionalFormatting sqref="F32">
    <cfRule type="expression" dxfId="41" priority="38" stopIfTrue="1">
      <formula>D32-E32&lt;5</formula>
    </cfRule>
  </conditionalFormatting>
  <conditionalFormatting sqref="D32">
    <cfRule type="expression" dxfId="40" priority="37" stopIfTrue="1">
      <formula>C32=""</formula>
    </cfRule>
  </conditionalFormatting>
  <conditionalFormatting sqref="F32">
    <cfRule type="expression" dxfId="39" priority="44" stopIfTrue="1">
      <formula>D32=""</formula>
    </cfRule>
  </conditionalFormatting>
  <conditionalFormatting sqref="F32">
    <cfRule type="expression" dxfId="38" priority="43" stopIfTrue="1">
      <formula>D32=""</formula>
    </cfRule>
  </conditionalFormatting>
  <conditionalFormatting sqref="D32">
    <cfRule type="expression" dxfId="37" priority="40" stopIfTrue="1">
      <formula>C32=""</formula>
    </cfRule>
  </conditionalFormatting>
  <conditionalFormatting sqref="F32">
    <cfRule type="expression" dxfId="36" priority="39" stopIfTrue="1">
      <formula>D32-E32&lt;5</formula>
    </cfRule>
  </conditionalFormatting>
  <conditionalFormatting sqref="F33">
    <cfRule type="expression" dxfId="35" priority="34" stopIfTrue="1">
      <formula>D33-E33&lt;5</formula>
    </cfRule>
  </conditionalFormatting>
  <conditionalFormatting sqref="F33">
    <cfRule type="expression" dxfId="34" priority="33" stopIfTrue="1">
      <formula>D33-E33&lt;5</formula>
    </cfRule>
  </conditionalFormatting>
  <conditionalFormatting sqref="F33">
    <cfRule type="expression" dxfId="33" priority="30" stopIfTrue="1">
      <formula>D33-E33&lt;5</formula>
    </cfRule>
  </conditionalFormatting>
  <conditionalFormatting sqref="D33">
    <cfRule type="expression" dxfId="32" priority="29" stopIfTrue="1">
      <formula>C33=""</formula>
    </cfRule>
  </conditionalFormatting>
  <conditionalFormatting sqref="F33">
    <cfRule type="expression" dxfId="31" priority="36" stopIfTrue="1">
      <formula>D33=""</formula>
    </cfRule>
  </conditionalFormatting>
  <conditionalFormatting sqref="F33">
    <cfRule type="expression" dxfId="30" priority="35" stopIfTrue="1">
      <formula>D33=""</formula>
    </cfRule>
  </conditionalFormatting>
  <conditionalFormatting sqref="D33">
    <cfRule type="expression" dxfId="29" priority="32" stopIfTrue="1">
      <formula>C33=""</formula>
    </cfRule>
  </conditionalFormatting>
  <conditionalFormatting sqref="F33">
    <cfRule type="expression" dxfId="28" priority="31" stopIfTrue="1">
      <formula>D33-E33&lt;5</formula>
    </cfRule>
  </conditionalFormatting>
  <conditionalFormatting sqref="F34">
    <cfRule type="expression" dxfId="27" priority="26" stopIfTrue="1">
      <formula>D34-E34&lt;5</formula>
    </cfRule>
  </conditionalFormatting>
  <conditionalFormatting sqref="F34">
    <cfRule type="expression" dxfId="26" priority="25" stopIfTrue="1">
      <formula>D34-E34&lt;5</formula>
    </cfRule>
  </conditionalFormatting>
  <conditionalFormatting sqref="F34">
    <cfRule type="expression" dxfId="25" priority="22" stopIfTrue="1">
      <formula>D34-E34&lt;5</formula>
    </cfRule>
  </conditionalFormatting>
  <conditionalFormatting sqref="D34">
    <cfRule type="expression" dxfId="24" priority="21" stopIfTrue="1">
      <formula>C34=""</formula>
    </cfRule>
  </conditionalFormatting>
  <conditionalFormatting sqref="F34">
    <cfRule type="expression" dxfId="23" priority="28" stopIfTrue="1">
      <formula>D34=""</formula>
    </cfRule>
  </conditionalFormatting>
  <conditionalFormatting sqref="F34">
    <cfRule type="expression" dxfId="22" priority="27" stopIfTrue="1">
      <formula>D34=""</formula>
    </cfRule>
  </conditionalFormatting>
  <conditionalFormatting sqref="D34">
    <cfRule type="expression" dxfId="21" priority="24" stopIfTrue="1">
      <formula>C34=""</formula>
    </cfRule>
  </conditionalFormatting>
  <conditionalFormatting sqref="F34">
    <cfRule type="expression" dxfId="20" priority="23" stopIfTrue="1">
      <formula>D34-E34&lt;5</formula>
    </cfRule>
  </conditionalFormatting>
  <conditionalFormatting sqref="K61">
    <cfRule type="expression" dxfId="19" priority="20" stopIfTrue="1">
      <formula>A61="nee"</formula>
    </cfRule>
  </conditionalFormatting>
  <conditionalFormatting sqref="K61">
    <cfRule type="expression" dxfId="18" priority="19" stopIfTrue="1">
      <formula>A61="nee"</formula>
    </cfRule>
  </conditionalFormatting>
  <conditionalFormatting sqref="E61">
    <cfRule type="cellIs" dxfId="17" priority="18" stopIfTrue="1" operator="equal">
      <formula>"voldoet niet"</formula>
    </cfRule>
  </conditionalFormatting>
  <conditionalFormatting sqref="K61">
    <cfRule type="expression" dxfId="16" priority="17" stopIfTrue="1">
      <formula>A61="nee"</formula>
    </cfRule>
  </conditionalFormatting>
  <conditionalFormatting sqref="K61">
    <cfRule type="expression" dxfId="15" priority="16" stopIfTrue="1">
      <formula>A61="nee"</formula>
    </cfRule>
  </conditionalFormatting>
  <conditionalFormatting sqref="I91:P95">
    <cfRule type="expression" dxfId="14" priority="15">
      <formula>$S$16&lt;&gt;1</formula>
    </cfRule>
  </conditionalFormatting>
  <conditionalFormatting sqref="N91:P95">
    <cfRule type="expression" dxfId="13" priority="14">
      <formula>$S$12="nader te bepalen"</formula>
    </cfRule>
  </conditionalFormatting>
  <conditionalFormatting sqref="F91:H96">
    <cfRule type="expression" dxfId="12" priority="13">
      <formula>$S$16=3</formula>
    </cfRule>
  </conditionalFormatting>
  <conditionalFormatting sqref="Q91:Q95">
    <cfRule type="expression" dxfId="11" priority="12">
      <formula>SUM(Q87:Q91)&lt;E92</formula>
    </cfRule>
  </conditionalFormatting>
  <conditionalFormatting sqref="P91">
    <cfRule type="expression" dxfId="10" priority="2" stopIfTrue="1">
      <formula>P91="-"</formula>
    </cfRule>
    <cfRule type="expression" dxfId="9" priority="7" stopIfTrue="1">
      <formula>P91&lt;H91</formula>
    </cfRule>
  </conditionalFormatting>
  <conditionalFormatting sqref="P92">
    <cfRule type="expression" dxfId="8" priority="3" stopIfTrue="1">
      <formula>P92="-"</formula>
    </cfRule>
    <cfRule type="expression" dxfId="7" priority="8" stopIfTrue="1">
      <formula>P92&lt;H92</formula>
    </cfRule>
  </conditionalFormatting>
  <conditionalFormatting sqref="P93">
    <cfRule type="expression" dxfId="6" priority="4" stopIfTrue="1">
      <formula>P93="-"</formula>
    </cfRule>
    <cfRule type="expression" dxfId="5" priority="9" stopIfTrue="1">
      <formula>P93&lt;H93</formula>
    </cfRule>
  </conditionalFormatting>
  <conditionalFormatting sqref="P94">
    <cfRule type="expression" dxfId="4" priority="5" stopIfTrue="1">
      <formula>P94="-"</formula>
    </cfRule>
    <cfRule type="expression" dxfId="3" priority="10" stopIfTrue="1">
      <formula>P94&lt;H94</formula>
    </cfRule>
  </conditionalFormatting>
  <conditionalFormatting sqref="P95">
    <cfRule type="expression" dxfId="2" priority="6" stopIfTrue="1">
      <formula>P95="-"</formula>
    </cfRule>
    <cfRule type="expression" dxfId="1" priority="11" stopIfTrue="1">
      <formula>P95&lt;H95</formula>
    </cfRule>
  </conditionalFormatting>
  <conditionalFormatting sqref="F96:H96">
    <cfRule type="containsText" dxfId="0" priority="1" operator="containsText" text="voldoet niet op VG-niveau">
      <formula>NOT(ISERROR(SEARCH("voldoet niet op VG-niveau",F96)))</formula>
    </cfRule>
  </conditionalFormatting>
  <dataValidations disablePrompts="1" count="7">
    <dataValidation type="list" allowBlank="1" showInputMessage="1" showErrorMessage="1" sqref="N99:O102 N77:O81 N84:O88 N91:O95" xr:uid="{FFE5A314-218C-49D5-B8B2-806FA23CAECC}">
      <formula1>INDIRECT($S$12)</formula1>
    </dataValidation>
    <dataValidation type="list" allowBlank="1" showInputMessage="1" showErrorMessage="1" sqref="F99:F102 F77:F81 F84:F88 F91:F95" xr:uid="{BC6EA2F3-A411-4C40-B542-F4C02F7A35C2}">
      <formula1>$T$16:$T$18</formula1>
    </dataValidation>
    <dataValidation type="list" allowBlank="1" showInputMessage="1" showErrorMessage="1" sqref="D67:G67" xr:uid="{BD8C4C92-6BFB-420D-9A05-D1C394489651}">
      <formula1>PD_TypeVentilatie</formula1>
    </dataValidation>
    <dataValidation type="list" allowBlank="1" showInputMessage="1" showErrorMessage="1" sqref="D68:G68" xr:uid="{2BD5948B-309D-4AFC-AA25-0F07B313878D}">
      <formula1>PD_RoosterFabrikant</formula1>
    </dataValidation>
    <dataValidation type="list" allowBlank="1" showInputMessage="1" showErrorMessage="1" sqref="D65:G65" xr:uid="{2065B4C9-4B0D-4CEC-A565-CA122E9C6E65}">
      <formula1>PD_Uitgangspunten</formula1>
    </dataValidation>
    <dataValidation type="list" allowBlank="1" showInputMessage="1" showErrorMessage="1" sqref="H65:M65" xr:uid="{DEC1C773-A42E-4CC7-B305-4E5324A7E3E8}">
      <formula1>PD_70procent</formula1>
    </dataValidation>
    <dataValidation type="whole" operator="greaterThan" allowBlank="1" showInputMessage="1" showErrorMessage="1" errorTitle="Getal invoeren" error="Voer een getal in om het verblijfsgebied aan te geven." sqref="C29:C34" xr:uid="{E04DB255-C412-4E8F-92F0-6C1F73E0065D}">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63"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3777"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203778"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203779" r:id="rId7" name="Button 9">
              <controlPr defaultSize="0" print="0" autoFill="0" autoPict="0" macro="[0]!daglichtad1">
                <anchor moveWithCells="1" sizeWithCells="1">
                  <from>
                    <xdr:col>14</xdr:col>
                    <xdr:colOff>182880</xdr:colOff>
                    <xdr:row>37</xdr:row>
                    <xdr:rowOff>7620</xdr:rowOff>
                  </from>
                  <to>
                    <xdr:col>15</xdr:col>
                    <xdr:colOff>792480</xdr:colOff>
                    <xdr:row>38</xdr:row>
                    <xdr:rowOff>0</xdr:rowOff>
                  </to>
                </anchor>
              </controlPr>
            </control>
          </mc:Choice>
        </mc:AlternateContent>
        <mc:AlternateContent xmlns:mc="http://schemas.openxmlformats.org/markup-compatibility/2006">
          <mc:Choice Requires="x14">
            <control shapeId="203780" r:id="rId8" name="Button 11">
              <controlPr defaultSize="0" print="0" autoFill="0" autoPict="0" macro="[0]!spuiad1">
                <anchor moveWithCells="1" sizeWithCells="1">
                  <from>
                    <xdr:col>14</xdr:col>
                    <xdr:colOff>137160</xdr:colOff>
                    <xdr:row>158</xdr:row>
                    <xdr:rowOff>7620</xdr:rowOff>
                  </from>
                  <to>
                    <xdr:col>15</xdr:col>
                    <xdr:colOff>746760</xdr:colOff>
                    <xdr:row>159</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8DA5F-1C53-4D17-BAB1-E8BF4D8F6915}">
  <sheetPr codeName="Blad22">
    <tabColor indexed="11"/>
    <pageSetUpPr fitToPage="1"/>
  </sheetPr>
  <dimension ref="A1:AQ153"/>
  <sheetViews>
    <sheetView view="pageBreakPreview" topLeftCell="C66" zoomScale="85" zoomScaleNormal="100" zoomScaleSheetLayoutView="85" workbookViewId="0">
      <selection activeCell="M152" sqref="M152"/>
    </sheetView>
  </sheetViews>
  <sheetFormatPr defaultColWidth="9.109375" defaultRowHeight="13.2"/>
  <cols>
    <col min="1" max="1" width="8.44140625" style="670" hidden="1" customWidth="1"/>
    <col min="2" max="2" width="4.109375" style="670" hidden="1" customWidth="1"/>
    <col min="3" max="3" width="19.5546875" style="671" customWidth="1"/>
    <col min="4" max="4" width="10.6640625" style="671" customWidth="1"/>
    <col min="5" max="5" width="14.5546875" style="671" customWidth="1"/>
    <col min="6" max="7" width="10.6640625" style="671" customWidth="1"/>
    <col min="8" max="10" width="10.6640625" style="672" customWidth="1"/>
    <col min="11" max="11" width="13.33203125" style="672" customWidth="1"/>
    <col min="12" max="14" width="10.6640625" style="672" customWidth="1"/>
    <col min="15" max="15" width="12.6640625" style="672" customWidth="1"/>
    <col min="16" max="16" width="21.6640625" style="672" customWidth="1"/>
    <col min="17" max="17" width="12.109375" style="498" hidden="1" customWidth="1"/>
    <col min="18" max="18" width="47.109375" style="498" hidden="1" customWidth="1"/>
    <col min="19" max="19" width="11.5546875" style="498" hidden="1" customWidth="1"/>
    <col min="20" max="20" width="3.44140625" style="673" hidden="1" customWidth="1"/>
    <col min="21" max="22" width="3.44140625" style="498" hidden="1" customWidth="1"/>
    <col min="23" max="23" width="5.33203125" style="498" hidden="1" customWidth="1"/>
    <col min="24" max="24" width="19.6640625" style="498" hidden="1" customWidth="1"/>
    <col min="25" max="25" width="28.109375" style="498" hidden="1" customWidth="1"/>
    <col min="26" max="26" width="3.44140625" style="498" hidden="1" customWidth="1"/>
    <col min="27" max="28" width="3.109375" style="498" hidden="1" customWidth="1"/>
    <col min="29" max="29" width="20.6640625" style="500" hidden="1" customWidth="1"/>
    <col min="30" max="30" width="23.6640625" style="498" hidden="1" customWidth="1"/>
    <col min="31" max="31" width="23.109375" style="498" hidden="1" customWidth="1"/>
    <col min="32" max="32" width="8.5546875" style="498" hidden="1" customWidth="1"/>
    <col min="33" max="33" width="3.5546875" style="498" hidden="1" customWidth="1"/>
    <col min="34" max="34" width="3.44140625" style="498" hidden="1" customWidth="1"/>
    <col min="35" max="40" width="9.109375" style="498" customWidth="1"/>
    <col min="41" max="16384" width="9.109375" style="498"/>
  </cols>
  <sheetData>
    <row r="1" spans="1:34" ht="57" hidden="1" customHeight="1">
      <c r="A1" s="492"/>
      <c r="B1" s="492"/>
      <c r="C1" s="428"/>
      <c r="D1" s="428"/>
      <c r="E1" s="428"/>
      <c r="F1" s="428"/>
      <c r="G1" s="428"/>
      <c r="H1" s="429"/>
      <c r="I1" s="429"/>
      <c r="J1" s="429"/>
      <c r="K1" s="429"/>
      <c r="L1" s="429"/>
      <c r="M1" s="429"/>
      <c r="N1" s="429"/>
      <c r="O1" s="429"/>
      <c r="P1" s="429"/>
      <c r="Q1" s="493" t="s">
        <v>1067</v>
      </c>
      <c r="R1" s="494"/>
      <c r="S1" s="495"/>
      <c r="T1" s="496"/>
      <c r="U1" s="497"/>
      <c r="AC1" s="498"/>
      <c r="AH1" s="498" t="s">
        <v>1067</v>
      </c>
    </row>
    <row r="2" spans="1:34" ht="12" hidden="1" customHeight="1">
      <c r="A2" s="492"/>
      <c r="B2" s="492"/>
      <c r="C2" s="493"/>
      <c r="D2" s="493"/>
      <c r="E2" s="493"/>
      <c r="F2" s="493"/>
      <c r="G2" s="493"/>
      <c r="H2" s="493"/>
      <c r="I2" s="493"/>
      <c r="J2" s="493"/>
      <c r="K2" s="493"/>
      <c r="L2" s="493"/>
      <c r="M2" s="493"/>
      <c r="N2" s="493"/>
      <c r="O2" s="493"/>
      <c r="P2" s="493"/>
      <c r="Q2" s="497"/>
      <c r="R2" s="499"/>
      <c r="S2" s="499"/>
      <c r="T2" s="496"/>
      <c r="U2" s="497"/>
    </row>
    <row r="3" spans="1:34" ht="27.75" hidden="1" customHeight="1">
      <c r="A3" s="501"/>
      <c r="B3" s="501"/>
      <c r="C3" s="502"/>
      <c r="D3" s="502"/>
      <c r="E3" s="502"/>
      <c r="F3" s="502"/>
      <c r="G3" s="502"/>
      <c r="H3" s="502"/>
      <c r="I3" s="502"/>
      <c r="J3" s="503"/>
      <c r="K3" s="503"/>
      <c r="L3" s="503"/>
      <c r="M3" s="503"/>
      <c r="N3" s="503"/>
      <c r="O3" s="503"/>
      <c r="P3" s="429"/>
      <c r="Q3" s="497"/>
      <c r="R3" s="429" t="s">
        <v>1053</v>
      </c>
      <c r="S3" s="429" t="b">
        <v>0</v>
      </c>
      <c r="T3" s="496"/>
      <c r="U3" s="497"/>
    </row>
    <row r="4" spans="1:34" ht="27" customHeight="1">
      <c r="A4" s="492"/>
      <c r="B4" s="492"/>
      <c r="C4" s="792" t="s">
        <v>1109</v>
      </c>
      <c r="D4" s="792"/>
      <c r="E4" s="792"/>
      <c r="F4" s="792"/>
      <c r="G4" s="792"/>
      <c r="H4" s="792"/>
      <c r="I4" s="792"/>
      <c r="J4" s="792"/>
      <c r="K4" s="792"/>
      <c r="L4" s="792"/>
      <c r="M4" s="792"/>
      <c r="N4" s="792"/>
      <c r="O4" s="792"/>
      <c r="P4" s="792"/>
      <c r="Q4" s="504"/>
      <c r="R4" s="505" t="s">
        <v>697</v>
      </c>
      <c r="S4" s="505"/>
      <c r="T4" s="506"/>
      <c r="U4" s="507"/>
      <c r="V4" s="508"/>
      <c r="W4" s="508"/>
      <c r="X4" s="508"/>
    </row>
    <row r="5" spans="1:34" s="514" customFormat="1" ht="24" customHeight="1">
      <c r="A5" s="509"/>
      <c r="B5" s="509"/>
      <c r="C5" s="793"/>
      <c r="D5" s="793"/>
      <c r="E5" s="793"/>
      <c r="F5" s="793"/>
      <c r="G5" s="793"/>
      <c r="H5" s="793"/>
      <c r="I5" s="793"/>
      <c r="J5" s="793"/>
      <c r="K5" s="793"/>
      <c r="L5" s="793"/>
      <c r="M5" s="510"/>
      <c r="N5" s="510"/>
      <c r="O5" s="510"/>
      <c r="P5" s="511" t="str">
        <f ca="1">RIGHT(CELL("filename",A2),LEN(CELL("filename",A2))-SEARCH("]",CELL("filename",A2)))</f>
        <v>Woningtype B</v>
      </c>
      <c r="Q5" s="506">
        <f>Gegevensblad!U1-2</f>
        <v>5</v>
      </c>
      <c r="R5" s="506" t="s">
        <v>291</v>
      </c>
      <c r="S5" s="512">
        <v>1</v>
      </c>
      <c r="T5" s="512">
        <f>S5+2</f>
        <v>3</v>
      </c>
      <c r="U5" s="506"/>
      <c r="V5" s="513"/>
      <c r="W5" s="513"/>
      <c r="X5" s="513"/>
      <c r="AC5" s="500"/>
      <c r="AF5" s="498"/>
    </row>
    <row r="6" spans="1:34" s="518" customFormat="1" ht="15" customHeight="1">
      <c r="A6" s="515"/>
      <c r="B6" s="515"/>
      <c r="C6" s="788" t="s">
        <v>1079</v>
      </c>
      <c r="D6" s="788"/>
      <c r="E6" s="788"/>
      <c r="F6" s="788"/>
      <c r="G6" s="788"/>
      <c r="H6" s="788"/>
      <c r="I6" s="788"/>
      <c r="J6" s="788"/>
      <c r="K6" s="788"/>
      <c r="L6" s="788"/>
      <c r="M6" s="788"/>
      <c r="N6" s="788"/>
      <c r="O6" s="788"/>
      <c r="P6" s="788"/>
      <c r="Q6" s="516">
        <f>Gegevensblad!AA1</f>
        <v>0</v>
      </c>
      <c r="R6" s="516" t="s">
        <v>292</v>
      </c>
      <c r="S6" s="512">
        <v>2</v>
      </c>
      <c r="T6" s="512">
        <f>S6</f>
        <v>2</v>
      </c>
      <c r="U6" s="516"/>
      <c r="V6" s="517"/>
      <c r="W6" s="517"/>
      <c r="X6" s="517"/>
      <c r="AC6" s="500"/>
      <c r="AF6" s="498"/>
    </row>
    <row r="7" spans="1:34" s="518" customFormat="1">
      <c r="A7" s="515"/>
      <c r="B7" s="515"/>
      <c r="C7" s="386"/>
      <c r="D7" s="386"/>
      <c r="E7" s="386"/>
      <c r="F7" s="386"/>
      <c r="G7" s="386"/>
      <c r="H7" s="386"/>
      <c r="I7" s="386"/>
      <c r="J7" s="386"/>
      <c r="K7" s="386"/>
      <c r="L7" s="386"/>
      <c r="M7" s="386"/>
      <c r="N7" s="386"/>
      <c r="O7" s="386"/>
      <c r="P7" s="386"/>
      <c r="Q7" s="516"/>
      <c r="R7" s="516" t="s">
        <v>254</v>
      </c>
      <c r="S7" s="512">
        <v>4</v>
      </c>
      <c r="T7" s="519"/>
      <c r="U7" s="516"/>
      <c r="V7" s="517"/>
      <c r="W7" s="517"/>
      <c r="X7" s="517"/>
      <c r="AC7" s="500"/>
      <c r="AF7" s="498"/>
    </row>
    <row r="8" spans="1:34" s="518" customFormat="1" ht="12" customHeight="1">
      <c r="A8" s="515"/>
      <c r="B8" s="515"/>
      <c r="C8" s="387" t="s">
        <v>691</v>
      </c>
      <c r="D8" s="796" t="s">
        <v>1128</v>
      </c>
      <c r="E8" s="796"/>
      <c r="F8" s="796"/>
      <c r="G8" s="389"/>
      <c r="H8" s="390"/>
      <c r="I8" s="390"/>
      <c r="J8" s="390"/>
      <c r="K8" s="391"/>
      <c r="L8" s="391"/>
      <c r="M8" s="391"/>
      <c r="N8" s="391"/>
      <c r="O8" s="391"/>
      <c r="P8" s="391"/>
      <c r="Q8" s="516"/>
      <c r="R8" s="516" t="s">
        <v>254</v>
      </c>
      <c r="S8" s="512">
        <f>COUNTA(X:X)</f>
        <v>4</v>
      </c>
      <c r="T8" s="519"/>
      <c r="U8" s="516"/>
      <c r="V8" s="517"/>
      <c r="W8" s="517"/>
      <c r="X8" s="517"/>
      <c r="AC8" s="500"/>
      <c r="AF8" s="498"/>
    </row>
    <row r="9" spans="1:34" s="518" customFormat="1" ht="12" customHeight="1">
      <c r="A9" s="515"/>
      <c r="B9" s="515"/>
      <c r="C9" s="387" t="s">
        <v>692</v>
      </c>
      <c r="D9" s="396" t="s">
        <v>1129</v>
      </c>
      <c r="E9" s="388"/>
      <c r="F9" s="388"/>
      <c r="G9" s="392" t="s">
        <v>1041</v>
      </c>
      <c r="H9" s="393"/>
      <c r="I9" s="394" t="s">
        <v>1042</v>
      </c>
      <c r="J9" s="390"/>
      <c r="K9" s="391"/>
      <c r="L9" s="391"/>
      <c r="M9" s="391"/>
      <c r="N9" s="391"/>
      <c r="O9" s="391"/>
      <c r="P9" s="391"/>
      <c r="Q9" s="516"/>
      <c r="R9" s="516" t="s">
        <v>253</v>
      </c>
      <c r="S9" s="520">
        <f>COUNTA(C28:C34)-1</f>
        <v>2</v>
      </c>
      <c r="T9" s="519"/>
      <c r="U9" s="516"/>
      <c r="V9" s="517"/>
      <c r="W9" s="517"/>
      <c r="X9" s="517"/>
      <c r="AC9" s="500"/>
      <c r="AF9" s="498"/>
    </row>
    <row r="10" spans="1:34" s="518" customFormat="1" ht="12" customHeight="1">
      <c r="A10" s="515"/>
      <c r="B10" s="515"/>
      <c r="C10" s="387" t="s">
        <v>693</v>
      </c>
      <c r="D10" s="396" t="s">
        <v>1130</v>
      </c>
      <c r="E10" s="388"/>
      <c r="F10" s="388"/>
      <c r="G10" s="395"/>
      <c r="H10" s="393"/>
      <c r="I10" s="396" t="s">
        <v>1056</v>
      </c>
      <c r="J10" s="390"/>
      <c r="K10" s="391"/>
      <c r="L10" s="391"/>
      <c r="M10" s="391"/>
      <c r="N10" s="391"/>
      <c r="O10" s="391"/>
      <c r="P10" s="391"/>
      <c r="Q10" s="516"/>
      <c r="R10" s="516" t="s">
        <v>253</v>
      </c>
      <c r="S10" s="512">
        <f>MAX(U:W)</f>
        <v>2</v>
      </c>
      <c r="T10" s="519"/>
      <c r="U10" s="516"/>
      <c r="V10" s="517"/>
      <c r="W10" s="517"/>
      <c r="X10" s="517"/>
      <c r="AC10" s="500"/>
      <c r="AF10" s="498"/>
    </row>
    <row r="11" spans="1:34" s="518" customFormat="1" ht="12" customHeight="1">
      <c r="A11" s="515"/>
      <c r="B11" s="515"/>
      <c r="C11" s="387" t="s">
        <v>694</v>
      </c>
      <c r="D11" s="797" t="s">
        <v>1127</v>
      </c>
      <c r="E11" s="798"/>
      <c r="F11" s="798"/>
      <c r="G11" s="798"/>
      <c r="H11" s="397"/>
      <c r="I11" s="397"/>
      <c r="J11" s="398"/>
      <c r="K11" s="399"/>
      <c r="L11" s="399"/>
      <c r="M11" s="399"/>
      <c r="N11" s="399"/>
      <c r="O11" s="399"/>
      <c r="P11" s="399"/>
      <c r="Q11" s="516"/>
      <c r="R11" s="516"/>
      <c r="S11" s="516"/>
      <c r="T11" s="521"/>
      <c r="U11" s="516"/>
      <c r="V11" s="517"/>
      <c r="W11" s="517"/>
      <c r="X11" s="517"/>
      <c r="AC11" s="500"/>
      <c r="AF11" s="498"/>
    </row>
    <row r="12" spans="1:34" s="518" customFormat="1" ht="24" customHeight="1">
      <c r="A12" s="515"/>
      <c r="B12" s="515"/>
      <c r="C12" s="400"/>
      <c r="D12" s="401"/>
      <c r="E12" s="401"/>
      <c r="F12" s="401"/>
      <c r="G12" s="387"/>
      <c r="H12" s="387"/>
      <c r="I12" s="387"/>
      <c r="J12" s="387"/>
      <c r="K12" s="387"/>
      <c r="L12" s="387"/>
      <c r="M12" s="387"/>
      <c r="N12" s="387"/>
      <c r="O12" s="387"/>
      <c r="P12" s="387"/>
      <c r="Q12" s="522"/>
      <c r="R12" s="516" t="s">
        <v>604</v>
      </c>
      <c r="S12" s="523" t="str">
        <f>D58</f>
        <v xml:space="preserve">Buva </v>
      </c>
      <c r="T12" s="521" t="s">
        <v>268</v>
      </c>
      <c r="U12" s="516"/>
      <c r="V12" s="517"/>
      <c r="W12" s="517"/>
      <c r="X12" s="517"/>
      <c r="AC12" s="500"/>
      <c r="AF12" s="498"/>
    </row>
    <row r="13" spans="1:34" s="518" customFormat="1" ht="15" customHeight="1">
      <c r="A13" s="515"/>
      <c r="B13" s="515"/>
      <c r="C13" s="788" t="s">
        <v>1081</v>
      </c>
      <c r="D13" s="788"/>
      <c r="E13" s="788"/>
      <c r="F13" s="788"/>
      <c r="G13" s="788"/>
      <c r="H13" s="788"/>
      <c r="I13" s="788"/>
      <c r="J13" s="788"/>
      <c r="K13" s="788"/>
      <c r="L13" s="788"/>
      <c r="M13" s="788"/>
      <c r="N13" s="788"/>
      <c r="O13" s="788"/>
      <c r="P13" s="788"/>
      <c r="Q13" s="522"/>
      <c r="R13" s="516" t="s">
        <v>696</v>
      </c>
      <c r="S13" s="516"/>
      <c r="T13" s="521" t="s">
        <v>268</v>
      </c>
      <c r="U13" s="516"/>
      <c r="V13" s="517"/>
      <c r="W13" s="517"/>
      <c r="X13" s="517"/>
      <c r="AC13" s="500"/>
      <c r="AF13" s="498"/>
    </row>
    <row r="14" spans="1:34" s="518" customFormat="1">
      <c r="A14" s="515"/>
      <c r="B14" s="515"/>
      <c r="C14" s="402"/>
      <c r="D14" s="402"/>
      <c r="E14" s="402"/>
      <c r="F14" s="402"/>
      <c r="G14" s="402"/>
      <c r="H14" s="403"/>
      <c r="I14" s="403"/>
      <c r="J14" s="402"/>
      <c r="K14" s="403"/>
      <c r="L14" s="403"/>
      <c r="M14" s="403"/>
      <c r="N14" s="403"/>
      <c r="O14" s="403"/>
      <c r="P14" s="403"/>
      <c r="Q14" s="516"/>
      <c r="R14" s="516"/>
      <c r="S14" s="516"/>
      <c r="T14" s="521" t="s">
        <v>268</v>
      </c>
      <c r="U14" s="516"/>
      <c r="V14" s="517"/>
      <c r="W14" s="517"/>
      <c r="X14" s="517"/>
      <c r="Y14" s="517"/>
      <c r="Z14" s="517"/>
      <c r="AA14" s="517"/>
      <c r="AB14" s="517"/>
      <c r="AC14" s="524"/>
      <c r="AD14" s="517"/>
      <c r="AE14" s="517"/>
      <c r="AF14" s="508"/>
    </row>
    <row r="15" spans="1:34" s="518" customFormat="1" ht="12" customHeight="1">
      <c r="A15" s="515"/>
      <c r="B15" s="515"/>
      <c r="C15" s="402" t="s">
        <v>131</v>
      </c>
      <c r="D15" s="404"/>
      <c r="E15" s="404"/>
      <c r="F15" s="396" t="s">
        <v>738</v>
      </c>
      <c r="G15" s="402"/>
      <c r="H15" s="404"/>
      <c r="I15" s="390"/>
      <c r="J15" s="402" t="s">
        <v>695</v>
      </c>
      <c r="K15" s="390"/>
      <c r="L15" s="390"/>
      <c r="M15" s="390"/>
      <c r="N15" s="390"/>
      <c r="O15" s="390"/>
      <c r="P15" s="390"/>
      <c r="Q15" s="516"/>
      <c r="R15" s="516"/>
      <c r="S15" s="516"/>
      <c r="T15" s="521"/>
      <c r="U15" s="516"/>
      <c r="V15" s="517"/>
      <c r="W15" s="517"/>
      <c r="X15" s="517"/>
      <c r="Y15" s="517"/>
      <c r="Z15" s="517"/>
      <c r="AA15" s="517"/>
      <c r="AB15" s="517"/>
      <c r="AC15" s="524"/>
      <c r="AD15" s="517"/>
      <c r="AE15" s="517"/>
      <c r="AF15" s="508"/>
    </row>
    <row r="16" spans="1:34" s="518" customFormat="1" ht="12" customHeight="1">
      <c r="A16" s="515"/>
      <c r="B16" s="515"/>
      <c r="C16" s="404" t="s">
        <v>8</v>
      </c>
      <c r="D16" s="404"/>
      <c r="E16" s="404"/>
      <c r="F16" s="405" t="s">
        <v>9</v>
      </c>
      <c r="G16" s="404"/>
      <c r="H16" s="406"/>
      <c r="I16" s="407"/>
      <c r="J16" s="408" t="s">
        <v>686</v>
      </c>
      <c r="K16" s="409"/>
      <c r="L16" s="410">
        <v>0</v>
      </c>
      <c r="M16" s="411"/>
      <c r="N16" s="409"/>
      <c r="O16" s="412"/>
      <c r="P16" s="412"/>
      <c r="Q16" s="525"/>
      <c r="R16" s="526"/>
      <c r="S16" s="527">
        <f>IF(D55="berekening op basis van minimale capaciteit",3,IF(D57="systeem A - natuurlijke toevoer &amp;  afvoer",1,IF(D57="systeem C - natuurlijke toevoer &amp; mechanische afvoer",1,2)))</f>
        <v>1</v>
      </c>
      <c r="T16" s="516" t="str">
        <f>IF(S16=1,"NT","MT")</f>
        <v>NT</v>
      </c>
      <c r="V16" s="508"/>
      <c r="W16" s="517"/>
      <c r="X16" s="517"/>
      <c r="Y16" s="517"/>
      <c r="Z16" s="517"/>
      <c r="AA16" s="517"/>
      <c r="AB16" s="517"/>
      <c r="AC16" s="524"/>
      <c r="AD16" s="517"/>
      <c r="AE16" s="517"/>
      <c r="AF16" s="508"/>
      <c r="AH16" s="528"/>
    </row>
    <row r="17" spans="1:34" s="518" customFormat="1" ht="12" customHeight="1">
      <c r="A17" s="515"/>
      <c r="B17" s="515"/>
      <c r="C17" s="404" t="s">
        <v>48</v>
      </c>
      <c r="D17" s="404"/>
      <c r="E17" s="404"/>
      <c r="F17" s="413">
        <f>SUM(L16:L20)</f>
        <v>0</v>
      </c>
      <c r="G17" s="403"/>
      <c r="H17" s="414"/>
      <c r="I17" s="404"/>
      <c r="J17" s="408" t="s">
        <v>687</v>
      </c>
      <c r="K17" s="409"/>
      <c r="L17" s="410">
        <v>0</v>
      </c>
      <c r="M17" s="415"/>
      <c r="N17" s="409"/>
      <c r="O17" s="404"/>
      <c r="P17" s="416"/>
      <c r="Q17" s="525"/>
      <c r="R17" s="526"/>
      <c r="S17" s="527">
        <f>IF(D58="nader te bepalen",1,2)</f>
        <v>2</v>
      </c>
      <c r="T17" s="516" t="s">
        <v>725</v>
      </c>
      <c r="V17" s="508"/>
      <c r="W17" s="517"/>
      <c r="X17" s="517"/>
      <c r="Y17" s="517"/>
      <c r="Z17" s="517"/>
      <c r="AA17" s="517"/>
      <c r="AB17" s="517"/>
      <c r="AC17" s="524"/>
      <c r="AD17" s="517"/>
      <c r="AE17" s="517"/>
      <c r="AF17" s="508"/>
      <c r="AH17" s="528"/>
    </row>
    <row r="18" spans="1:34" s="518" customFormat="1" ht="12" customHeight="1">
      <c r="A18" s="515"/>
      <c r="B18" s="515"/>
      <c r="C18" s="403" t="s">
        <v>684</v>
      </c>
      <c r="D18" s="404"/>
      <c r="E18" s="404"/>
      <c r="F18" s="413">
        <f>F17*verzamelblad!$AD$7</f>
        <v>0</v>
      </c>
      <c r="G18" s="417"/>
      <c r="H18" s="418"/>
      <c r="I18" s="419"/>
      <c r="J18" s="408" t="s">
        <v>688</v>
      </c>
      <c r="K18" s="409"/>
      <c r="L18" s="410">
        <v>0</v>
      </c>
      <c r="M18" s="415"/>
      <c r="N18" s="409"/>
      <c r="O18" s="404"/>
      <c r="P18" s="416"/>
      <c r="Q18" s="525"/>
      <c r="R18" s="526"/>
      <c r="T18" s="516"/>
      <c r="U18" s="516"/>
      <c r="V18" s="508"/>
      <c r="W18" s="517"/>
      <c r="X18" s="517"/>
      <c r="Y18" s="517"/>
      <c r="Z18" s="517"/>
      <c r="AA18" s="517"/>
      <c r="AB18" s="517"/>
      <c r="AC18" s="524"/>
      <c r="AD18" s="517"/>
      <c r="AE18" s="517"/>
      <c r="AF18" s="508"/>
      <c r="AH18" s="528"/>
    </row>
    <row r="19" spans="1:34" s="518" customFormat="1" ht="12" customHeight="1">
      <c r="A19" s="515"/>
      <c r="B19" s="515"/>
      <c r="C19" s="403" t="s">
        <v>685</v>
      </c>
      <c r="D19" s="404"/>
      <c r="E19" s="404"/>
      <c r="F19" s="413">
        <f>F33</f>
        <v>0</v>
      </c>
      <c r="G19" s="420" t="s">
        <v>661</v>
      </c>
      <c r="H19" s="421">
        <f>IF(OR(F17=0,F19=0),0,F19/F17)</f>
        <v>0</v>
      </c>
      <c r="I19" s="404"/>
      <c r="J19" s="408" t="s">
        <v>689</v>
      </c>
      <c r="K19" s="409"/>
      <c r="L19" s="410">
        <v>0</v>
      </c>
      <c r="M19" s="415"/>
      <c r="N19" s="409"/>
      <c r="O19" s="404"/>
      <c r="P19" s="416"/>
      <c r="Q19" s="525"/>
      <c r="R19" s="526"/>
      <c r="T19" s="516"/>
      <c r="U19" s="507"/>
      <c r="V19" s="508"/>
      <c r="W19" s="508"/>
      <c r="X19" s="508"/>
      <c r="Y19" s="517"/>
      <c r="Z19" s="517"/>
      <c r="AA19" s="517"/>
      <c r="AB19" s="517"/>
      <c r="AC19" s="524"/>
      <c r="AD19" s="517"/>
      <c r="AE19" s="517"/>
      <c r="AF19" s="508"/>
      <c r="AH19" s="528"/>
    </row>
    <row r="20" spans="1:34" s="518" customFormat="1" ht="12" customHeight="1">
      <c r="A20" s="515"/>
      <c r="B20" s="515"/>
      <c r="C20" s="403" t="s">
        <v>658</v>
      </c>
      <c r="D20" s="404"/>
      <c r="E20" s="404"/>
      <c r="F20" s="403" t="str">
        <f>IF(F19&lt;18,"nee, VG &lt; 18m²",IF(F19&lt;F18,"nee, &lt; 55%",IF(F19&gt;=F18,"ja, &gt;=55% &amp; VG &gt;= 18m²")))</f>
        <v>nee, VG &lt; 18m²</v>
      </c>
      <c r="G20" s="422"/>
      <c r="H20" s="421"/>
      <c r="I20" s="404"/>
      <c r="J20" s="408" t="s">
        <v>690</v>
      </c>
      <c r="K20" s="409"/>
      <c r="L20" s="410">
        <v>0</v>
      </c>
      <c r="M20" s="415"/>
      <c r="N20" s="409"/>
      <c r="O20" s="404"/>
      <c r="P20" s="416"/>
      <c r="Q20" s="525"/>
      <c r="R20" s="515"/>
      <c r="S20" s="516"/>
      <c r="T20" s="521"/>
      <c r="U20" s="516"/>
      <c r="V20" s="517"/>
      <c r="W20" s="517"/>
      <c r="X20" s="517"/>
      <c r="Y20" s="517"/>
      <c r="Z20" s="517"/>
      <c r="AA20" s="517"/>
      <c r="AB20" s="517"/>
      <c r="AC20" s="524"/>
      <c r="AD20" s="517"/>
      <c r="AE20" s="517"/>
      <c r="AF20" s="508"/>
      <c r="AH20" s="528"/>
    </row>
    <row r="21" spans="1:34" s="518" customFormat="1" ht="12" customHeight="1">
      <c r="A21" s="515"/>
      <c r="B21" s="515"/>
      <c r="C21" s="423" t="s">
        <v>736</v>
      </c>
      <c r="D21" s="404"/>
      <c r="E21" s="404"/>
      <c r="F21" s="776" t="s">
        <v>1138</v>
      </c>
      <c r="G21" s="424"/>
      <c r="H21" s="424"/>
      <c r="I21" s="404"/>
      <c r="J21" s="415"/>
      <c r="K21" s="409"/>
      <c r="L21" s="425"/>
      <c r="M21" s="415"/>
      <c r="N21" s="409"/>
      <c r="O21" s="404"/>
      <c r="P21" s="416"/>
      <c r="Q21" s="525"/>
      <c r="R21" s="529"/>
      <c r="S21" s="516"/>
      <c r="T21" s="521"/>
      <c r="U21" s="516"/>
      <c r="V21" s="517"/>
      <c r="W21" s="517"/>
      <c r="X21" s="517"/>
      <c r="Y21" s="517"/>
      <c r="Z21" s="517"/>
      <c r="AA21" s="517"/>
      <c r="AB21" s="517"/>
      <c r="AC21" s="524"/>
      <c r="AD21" s="517"/>
      <c r="AE21" s="517"/>
      <c r="AF21" s="508"/>
      <c r="AH21" s="528"/>
    </row>
    <row r="22" spans="1:34" s="518" customFormat="1" ht="12" customHeight="1">
      <c r="A22" s="515"/>
      <c r="B22" s="515"/>
      <c r="C22" s="423" t="s">
        <v>659</v>
      </c>
      <c r="D22" s="404"/>
      <c r="E22" s="404"/>
      <c r="F22" s="426">
        <f>verzamelblad!$AN$7</f>
        <v>1</v>
      </c>
      <c r="G22" s="420" t="s">
        <v>661</v>
      </c>
      <c r="H22" s="805">
        <v>0</v>
      </c>
      <c r="I22" s="805"/>
      <c r="J22" s="427" t="str">
        <f>IF(H22&lt;F22,"voldoet niet","")</f>
        <v>voldoet niet</v>
      </c>
      <c r="K22" s="409"/>
      <c r="L22" s="425"/>
      <c r="M22" s="415"/>
      <c r="N22" s="409"/>
      <c r="O22" s="404"/>
      <c r="P22" s="416"/>
      <c r="Q22" s="525"/>
      <c r="R22" s="529"/>
      <c r="S22" s="516"/>
      <c r="T22" s="521"/>
      <c r="U22" s="516"/>
      <c r="V22" s="517"/>
      <c r="W22" s="517"/>
      <c r="X22" s="517"/>
      <c r="Y22" s="517"/>
      <c r="Z22" s="517"/>
      <c r="AA22" s="517"/>
      <c r="AB22" s="517"/>
      <c r="AC22" s="524"/>
      <c r="AD22" s="517"/>
      <c r="AE22" s="517"/>
      <c r="AF22" s="508"/>
      <c r="AH22" s="528"/>
    </row>
    <row r="23" spans="1:34" s="518" customFormat="1" ht="12" customHeight="1">
      <c r="A23" s="515"/>
      <c r="B23" s="515"/>
      <c r="C23" s="423" t="s">
        <v>660</v>
      </c>
      <c r="D23" s="404"/>
      <c r="E23" s="404"/>
      <c r="F23" s="426">
        <f>verzamelblad!$AX$7</f>
        <v>1</v>
      </c>
      <c r="G23" s="420" t="s">
        <v>661</v>
      </c>
      <c r="H23" s="805">
        <v>0</v>
      </c>
      <c r="I23" s="805"/>
      <c r="J23" s="427" t="str">
        <f>IF(H23&lt;F23,"voldoet niet","")</f>
        <v>voldoet niet</v>
      </c>
      <c r="K23" s="409"/>
      <c r="L23" s="425"/>
      <c r="M23" s="415"/>
      <c r="N23" s="409"/>
      <c r="O23" s="404"/>
      <c r="P23" s="416"/>
      <c r="Q23" s="525"/>
      <c r="R23" s="529"/>
      <c r="S23" s="516"/>
      <c r="T23" s="521"/>
      <c r="U23" s="516"/>
      <c r="V23" s="517"/>
      <c r="W23" s="517"/>
      <c r="X23" s="517"/>
      <c r="Y23" s="517"/>
      <c r="Z23" s="517"/>
      <c r="AA23" s="517"/>
      <c r="AB23" s="517"/>
      <c r="AC23" s="524"/>
      <c r="AD23" s="517"/>
      <c r="AE23" s="517"/>
      <c r="AF23" s="508"/>
      <c r="AH23" s="528"/>
    </row>
    <row r="24" spans="1:34" s="518" customFormat="1" ht="12" customHeight="1">
      <c r="A24" s="515"/>
      <c r="B24" s="515"/>
      <c r="C24" s="403"/>
      <c r="D24" s="403"/>
      <c r="E24" s="403"/>
      <c r="F24" s="403"/>
      <c r="G24" s="403"/>
      <c r="H24" s="530"/>
      <c r="I24" s="530"/>
      <c r="J24" s="530"/>
      <c r="K24" s="530"/>
      <c r="L24" s="530"/>
      <c r="M24" s="530"/>
      <c r="N24" s="530"/>
      <c r="O24" s="530"/>
      <c r="P24" s="530"/>
      <c r="Q24" s="525"/>
      <c r="R24" s="529"/>
      <c r="S24" s="516"/>
      <c r="T24" s="521"/>
      <c r="U24" s="516"/>
      <c r="V24" s="517"/>
      <c r="W24" s="517"/>
      <c r="X24" s="517"/>
      <c r="Y24" s="517"/>
      <c r="Z24" s="517"/>
      <c r="AA24" s="517"/>
      <c r="AB24" s="517"/>
      <c r="AC24" s="524"/>
      <c r="AD24" s="517"/>
      <c r="AE24" s="517"/>
      <c r="AF24" s="508"/>
      <c r="AH24" s="528"/>
    </row>
    <row r="25" spans="1:34" s="518" customFormat="1" ht="15" customHeight="1">
      <c r="A25" s="515"/>
      <c r="B25" s="515"/>
      <c r="C25" s="806" t="s">
        <v>1082</v>
      </c>
      <c r="D25" s="806"/>
      <c r="E25" s="806"/>
      <c r="F25" s="806"/>
      <c r="G25" s="806"/>
      <c r="H25" s="806"/>
      <c r="I25" s="806"/>
      <c r="J25" s="806"/>
      <c r="K25" s="806"/>
      <c r="L25" s="806"/>
      <c r="M25" s="806"/>
      <c r="N25" s="806"/>
      <c r="O25" s="806"/>
      <c r="P25" s="806"/>
      <c r="Q25" s="522"/>
      <c r="R25" s="531"/>
      <c r="S25" s="516"/>
      <c r="T25" s="521"/>
      <c r="U25" s="516"/>
      <c r="V25" s="517"/>
      <c r="W25" s="517"/>
      <c r="X25" s="517"/>
      <c r="Y25" s="517"/>
      <c r="Z25" s="517"/>
      <c r="AA25" s="517"/>
      <c r="AB25" s="517"/>
      <c r="AC25" s="524"/>
      <c r="AD25" s="517"/>
      <c r="AE25" s="517"/>
      <c r="AF25" s="508"/>
      <c r="AH25" s="528"/>
    </row>
    <row r="26" spans="1:34" ht="12.75" hidden="1" customHeight="1">
      <c r="A26" s="492"/>
      <c r="B26" s="492"/>
      <c r="C26" s="428"/>
      <c r="D26" s="428"/>
      <c r="E26" s="428"/>
      <c r="F26" s="428"/>
      <c r="G26" s="428"/>
      <c r="H26" s="429"/>
      <c r="I26" s="429"/>
      <c r="J26" s="429"/>
      <c r="K26" s="429"/>
      <c r="L26" s="429"/>
      <c r="M26" s="429"/>
      <c r="N26" s="429"/>
      <c r="O26" s="429"/>
      <c r="P26" s="429"/>
      <c r="Q26" s="507"/>
      <c r="R26" s="507"/>
      <c r="S26" s="507"/>
      <c r="T26" s="532"/>
      <c r="U26" s="507"/>
      <c r="V26" s="508"/>
      <c r="W26" s="508"/>
      <c r="X26" s="508"/>
      <c r="Y26" s="508"/>
      <c r="Z26" s="508"/>
      <c r="AA26" s="508"/>
      <c r="AB26" s="508"/>
      <c r="AC26" s="524"/>
      <c r="AD26" s="508"/>
      <c r="AE26" s="508"/>
      <c r="AF26" s="508"/>
      <c r="AG26" s="508"/>
      <c r="AH26" s="508"/>
    </row>
    <row r="27" spans="1:34" ht="30" customHeight="1">
      <c r="A27" s="492"/>
      <c r="B27" s="492"/>
      <c r="C27" s="430" t="s">
        <v>652</v>
      </c>
      <c r="D27" s="726" t="s">
        <v>1096</v>
      </c>
      <c r="E27" s="726" t="s">
        <v>1097</v>
      </c>
      <c r="F27" s="807" t="s">
        <v>1098</v>
      </c>
      <c r="G27" s="807"/>
      <c r="H27" s="807" t="s">
        <v>1099</v>
      </c>
      <c r="I27" s="807"/>
      <c r="J27" s="807" t="s">
        <v>132</v>
      </c>
      <c r="K27" s="807"/>
      <c r="L27" s="807" t="s">
        <v>676</v>
      </c>
      <c r="M27" s="807"/>
      <c r="N27" s="807" t="s">
        <v>1100</v>
      </c>
      <c r="O27" s="807"/>
      <c r="P27" s="726"/>
      <c r="Q27" s="533"/>
      <c r="R27" s="507"/>
      <c r="S27" s="507"/>
      <c r="T27" s="532"/>
      <c r="U27" s="507"/>
      <c r="V27" s="508"/>
      <c r="W27" s="508"/>
      <c r="X27" s="508"/>
      <c r="Y27" s="508"/>
      <c r="Z27" s="508"/>
      <c r="AA27" s="508"/>
      <c r="AB27" s="508"/>
      <c r="AC27" s="534"/>
      <c r="AD27" s="508"/>
      <c r="AE27" s="508"/>
      <c r="AF27" s="508"/>
      <c r="AG27" s="508"/>
      <c r="AH27" s="535"/>
    </row>
    <row r="28" spans="1:34" s="518" customFormat="1" ht="12" customHeight="1">
      <c r="A28" s="527">
        <v>1</v>
      </c>
      <c r="B28" s="515" t="s">
        <v>258</v>
      </c>
      <c r="C28" s="431">
        <v>1</v>
      </c>
      <c r="D28" s="432">
        <v>0</v>
      </c>
      <c r="E28" s="433">
        <f>IF(C28="","",SUMPRODUCT(($Y$1:$Y$28016)*($U$1:$U$28016=C28)))</f>
        <v>0</v>
      </c>
      <c r="F28" s="799" t="str">
        <f>IF(E28="","",IF(SUMPRODUCT(($AD$1:$AD$28071)*($AC$1:$AC$28071=C28))-E28&lt;verzamelblad!$AG$7,"&lt; " &amp; verzamelblad!$AG$7 &amp; " m², geen VG",SUMPRODUCT(($AD$1:$AD$28071)*($AC$1:$AC$28071=C28))-E28))</f>
        <v>&lt; 5 m², geen VG</v>
      </c>
      <c r="G28" s="799"/>
      <c r="H28" s="434">
        <f>IF(C28="","",0)</f>
        <v>0</v>
      </c>
      <c r="I28" s="435"/>
      <c r="J28" s="800">
        <f t="shared" ref="J28" si="0">A28</f>
        <v>1</v>
      </c>
      <c r="K28" s="800"/>
      <c r="L28" s="436" t="s">
        <v>741</v>
      </c>
      <c r="M28" s="436"/>
      <c r="N28" s="801">
        <v>0</v>
      </c>
      <c r="O28" s="801"/>
      <c r="P28" s="437"/>
      <c r="Q28" s="392"/>
      <c r="R28" s="516"/>
      <c r="S28" s="516"/>
      <c r="T28" s="521"/>
      <c r="U28" s="516"/>
      <c r="V28" s="517"/>
      <c r="W28" s="517"/>
      <c r="X28" s="536">
        <f t="shared" ref="X28" si="1">A28</f>
        <v>1</v>
      </c>
      <c r="Y28" s="517"/>
      <c r="Z28" s="517"/>
      <c r="AA28" s="517"/>
      <c r="AB28" s="517"/>
      <c r="AC28" s="537">
        <f t="shared" ref="AC28" si="2">IF(C28&lt;&gt;"",C28,AC27)</f>
        <v>1</v>
      </c>
      <c r="AD28" s="538">
        <f>IF(C28&lt;&gt;"",D28+H28,0)</f>
        <v>0</v>
      </c>
      <c r="AE28" s="539">
        <f t="shared" ref="AE28" si="3">N28</f>
        <v>0</v>
      </c>
      <c r="AF28" s="540"/>
      <c r="AG28" s="517"/>
      <c r="AH28" s="535"/>
    </row>
    <row r="29" spans="1:34" s="518" customFormat="1" ht="12" customHeight="1">
      <c r="A29" s="527">
        <f>A28+1</f>
        <v>2</v>
      </c>
      <c r="B29" s="515" t="s">
        <v>258</v>
      </c>
      <c r="C29" s="438">
        <v>2</v>
      </c>
      <c r="D29" s="432">
        <v>0</v>
      </c>
      <c r="E29" s="725">
        <f>IF(C29="","",SUMPRODUCT(($Y$1:$Y$28122)*($U$1:$U$28122=C29)))</f>
        <v>0</v>
      </c>
      <c r="F29" s="802" t="str">
        <f>IF(E29="","",IF(SUMPRODUCT(($AD$1:$AD$28122)*($AC$1:$AC$28122=C29))-E29&lt;verzamelblad!$AG$7,"&lt; " &amp; verzamelblad!$AG$7 &amp; " m², geen VG",SUMPRODUCT(($AD$1:$AD$28122)*($AC$1:$AC$28122=C29))-E29))</f>
        <v>&lt; 5 m², geen VG</v>
      </c>
      <c r="G29" s="802"/>
      <c r="H29" s="434">
        <f t="shared" ref="H29:H31" si="4">IF(C29="","",0)</f>
        <v>0</v>
      </c>
      <c r="I29" s="439"/>
      <c r="J29" s="803">
        <f>A29</f>
        <v>2</v>
      </c>
      <c r="K29" s="803"/>
      <c r="L29" s="440" t="s">
        <v>742</v>
      </c>
      <c r="M29" s="440"/>
      <c r="N29" s="804">
        <v>0</v>
      </c>
      <c r="O29" s="804"/>
      <c r="P29" s="441"/>
      <c r="Q29" s="404"/>
      <c r="R29" s="541"/>
      <c r="S29" s="541"/>
      <c r="T29" s="521"/>
      <c r="U29" s="516"/>
      <c r="V29" s="517"/>
      <c r="W29" s="517"/>
      <c r="X29" s="536">
        <f>A29</f>
        <v>2</v>
      </c>
      <c r="Y29" s="517"/>
      <c r="Z29" s="517"/>
      <c r="AA29" s="517"/>
      <c r="AB29" s="517"/>
      <c r="AC29" s="537">
        <f>IF(C29&lt;&gt;"",C29,AC28)</f>
        <v>2</v>
      </c>
      <c r="AD29" s="538">
        <f t="shared" ref="AD29:AD31" si="5">IF(C29&lt;&gt;"",D29+H29,0)</f>
        <v>0</v>
      </c>
      <c r="AE29" s="539">
        <f>N29</f>
        <v>0</v>
      </c>
      <c r="AF29" s="540"/>
      <c r="AG29" s="517"/>
      <c r="AH29" s="535"/>
    </row>
    <row r="30" spans="1:34" s="518" customFormat="1" ht="12" customHeight="1">
      <c r="A30" s="542">
        <f>A29+1</f>
        <v>3</v>
      </c>
      <c r="B30" s="543" t="s">
        <v>258</v>
      </c>
      <c r="C30" s="438"/>
      <c r="D30" s="740">
        <v>0</v>
      </c>
      <c r="E30" s="725" t="str">
        <f>IF(C30="","",SUMPRODUCT(($Y$1:$Y$28181)*($U$1:$U$28181=C30)))</f>
        <v/>
      </c>
      <c r="F30" s="802" t="str">
        <f>IF(E30="","",IF(SUMPRODUCT(($AD$1:$AD$28181)*($AC$1:$AC$28181=C30))-E30&lt;verzamelblad!$AG$7,"&lt; " &amp; verzamelblad!$AG$7 &amp; " m², geen VG",SUMPRODUCT(($AD$1:$AD$28181)*($AC$1:$AC$28181=C30))-E30))</f>
        <v/>
      </c>
      <c r="G30" s="802"/>
      <c r="H30" s="756" t="str">
        <f t="shared" si="4"/>
        <v/>
      </c>
      <c r="I30" s="439"/>
      <c r="J30" s="803">
        <f>A30</f>
        <v>3</v>
      </c>
      <c r="K30" s="803"/>
      <c r="L30" s="440" t="s">
        <v>1131</v>
      </c>
      <c r="M30" s="440"/>
      <c r="N30" s="804">
        <v>0</v>
      </c>
      <c r="O30" s="804"/>
      <c r="P30" s="441"/>
      <c r="Q30" s="404"/>
      <c r="R30" s="404"/>
      <c r="S30" s="404"/>
      <c r="T30" s="544"/>
      <c r="U30" s="392"/>
      <c r="V30" s="545"/>
      <c r="W30" s="545"/>
      <c r="X30" s="757">
        <f>A30</f>
        <v>3</v>
      </c>
      <c r="Y30" s="545"/>
      <c r="Z30" s="545"/>
      <c r="AA30" s="546"/>
      <c r="AB30" s="517"/>
      <c r="AC30" s="537">
        <f t="shared" ref="AC30:AC31" si="6">IF(C30&lt;&gt;"",C30,AC29)</f>
        <v>2</v>
      </c>
      <c r="AD30" s="538">
        <f t="shared" si="5"/>
        <v>0</v>
      </c>
      <c r="AE30" s="539">
        <f>N30</f>
        <v>0</v>
      </c>
      <c r="AF30" s="517"/>
      <c r="AG30" s="517">
        <f>IF(P30="ja",1,0)</f>
        <v>0</v>
      </c>
      <c r="AH30" s="535"/>
    </row>
    <row r="31" spans="1:34" s="518" customFormat="1" ht="12" customHeight="1">
      <c r="A31" s="542">
        <f>A30+1</f>
        <v>4</v>
      </c>
      <c r="B31" s="543" t="s">
        <v>258</v>
      </c>
      <c r="C31" s="438"/>
      <c r="D31" s="740">
        <v>0</v>
      </c>
      <c r="E31" s="725" t="str">
        <f>IF(C31="","",SUMPRODUCT(($Y$1:$Y$28180)*($U$1:$U$28180=C31)))</f>
        <v/>
      </c>
      <c r="F31" s="802" t="str">
        <f>IF(E31="","",IF(SUMPRODUCT(($AD$1:$AD$28180)*($AC$1:$AC$28180=C31))-E31&lt;verzamelblad!$AG$7,"&lt; " &amp; verzamelblad!$AG$7 &amp; " m², geen VG",SUMPRODUCT(($AD$1:$AD$28180)*($AC$1:$AC$28180=C31))-E31))</f>
        <v/>
      </c>
      <c r="G31" s="802"/>
      <c r="H31" s="756" t="str">
        <f t="shared" si="4"/>
        <v/>
      </c>
      <c r="I31" s="439"/>
      <c r="J31" s="803">
        <f>A31</f>
        <v>4</v>
      </c>
      <c r="K31" s="803"/>
      <c r="L31" s="440" t="s">
        <v>1132</v>
      </c>
      <c r="M31" s="440"/>
      <c r="N31" s="804">
        <v>0</v>
      </c>
      <c r="O31" s="804"/>
      <c r="P31" s="441"/>
      <c r="Q31" s="404"/>
      <c r="R31" s="404"/>
      <c r="S31" s="404"/>
      <c r="T31" s="544"/>
      <c r="U31" s="392"/>
      <c r="V31" s="545"/>
      <c r="W31" s="545"/>
      <c r="X31" s="757">
        <f>A31</f>
        <v>4</v>
      </c>
      <c r="Y31" s="545"/>
      <c r="Z31" s="545"/>
      <c r="AA31" s="546"/>
      <c r="AB31" s="517"/>
      <c r="AC31" s="537">
        <f t="shared" si="6"/>
        <v>2</v>
      </c>
      <c r="AD31" s="538">
        <f t="shared" si="5"/>
        <v>0</v>
      </c>
      <c r="AE31" s="539">
        <f>N31</f>
        <v>0</v>
      </c>
      <c r="AF31" s="517"/>
      <c r="AG31" s="517">
        <f>IF(P31="ja",1,0)</f>
        <v>0</v>
      </c>
      <c r="AH31" s="535"/>
    </row>
    <row r="32" spans="1:34" ht="12" customHeight="1">
      <c r="A32" s="492"/>
      <c r="B32" s="492"/>
      <c r="C32" s="442"/>
      <c r="D32" s="443"/>
      <c r="E32" s="443"/>
      <c r="F32" s="443"/>
      <c r="G32" s="444"/>
      <c r="H32" s="444"/>
      <c r="I32" s="444"/>
      <c r="J32" s="444"/>
      <c r="K32" s="445"/>
      <c r="L32" s="445"/>
      <c r="M32" s="445"/>
      <c r="N32" s="445"/>
      <c r="O32" s="445"/>
      <c r="P32" s="445"/>
      <c r="Q32" s="547"/>
      <c r="R32" s="516"/>
      <c r="S32" s="515"/>
      <c r="T32" s="532"/>
      <c r="U32" s="507"/>
      <c r="V32" s="508"/>
      <c r="W32" s="508"/>
      <c r="X32" s="508"/>
      <c r="Y32" s="508"/>
      <c r="Z32" s="508"/>
      <c r="AA32" s="508"/>
      <c r="AB32" s="508"/>
      <c r="AC32" s="524"/>
      <c r="AD32" s="508"/>
      <c r="AE32" s="517"/>
      <c r="AF32" s="508"/>
      <c r="AG32" s="508"/>
    </row>
    <row r="33" spans="1:34" ht="12" customHeight="1">
      <c r="A33" s="492"/>
      <c r="B33" s="492"/>
      <c r="C33" s="446" t="s">
        <v>16</v>
      </c>
      <c r="D33" s="728">
        <f>SUM(D24:D32)</f>
        <v>0</v>
      </c>
      <c r="E33" s="447"/>
      <c r="F33" s="808">
        <f>SUM(F24:F32)</f>
        <v>0</v>
      </c>
      <c r="G33" s="808"/>
      <c r="H33" s="448"/>
      <c r="I33" s="448"/>
      <c r="J33" s="728"/>
      <c r="K33" s="449"/>
      <c r="L33" s="450"/>
      <c r="M33" s="404"/>
      <c r="N33" s="728">
        <f>SUM(N24:N32)</f>
        <v>0</v>
      </c>
      <c r="O33" s="451"/>
      <c r="P33" s="452"/>
      <c r="Q33" s="452"/>
      <c r="R33" s="516"/>
      <c r="S33" s="515"/>
      <c r="T33" s="532"/>
      <c r="U33" s="507"/>
      <c r="V33" s="508"/>
      <c r="W33" s="508"/>
      <c r="X33" s="508"/>
      <c r="Y33" s="508"/>
      <c r="Z33" s="508"/>
      <c r="AA33" s="508"/>
      <c r="AB33" s="508"/>
      <c r="AC33" s="524"/>
      <c r="AD33" s="508"/>
      <c r="AE33" s="517"/>
      <c r="AF33" s="508"/>
      <c r="AG33" s="508"/>
      <c r="AH33" s="508"/>
    </row>
    <row r="34" spans="1:34" ht="12" customHeight="1">
      <c r="A34" s="492"/>
      <c r="B34" s="492"/>
      <c r="C34" s="453"/>
      <c r="D34" s="454"/>
      <c r="E34" s="454"/>
      <c r="F34" s="454"/>
      <c r="G34" s="455"/>
      <c r="H34" s="455"/>
      <c r="I34" s="455"/>
      <c r="J34" s="455"/>
      <c r="K34" s="456"/>
      <c r="L34" s="456"/>
      <c r="M34" s="456"/>
      <c r="N34" s="456"/>
      <c r="O34" s="456"/>
      <c r="P34" s="456"/>
      <c r="Q34" s="547"/>
      <c r="R34" s="516"/>
      <c r="S34" s="515"/>
      <c r="T34" s="532"/>
      <c r="U34" s="507"/>
      <c r="V34" s="508"/>
      <c r="W34" s="508"/>
      <c r="X34" s="508"/>
      <c r="Y34" s="508"/>
      <c r="Z34" s="508"/>
      <c r="AA34" s="508"/>
      <c r="AB34" s="508"/>
      <c r="AC34" s="524"/>
      <c r="AD34" s="508"/>
      <c r="AE34" s="517"/>
      <c r="AF34" s="508"/>
      <c r="AG34" s="508"/>
    </row>
    <row r="35" spans="1:34" s="518" customFormat="1" ht="15" customHeight="1">
      <c r="A35" s="515"/>
      <c r="B35" s="515"/>
      <c r="C35" s="457" t="s">
        <v>1083</v>
      </c>
      <c r="D35" s="457"/>
      <c r="E35" s="457"/>
      <c r="F35" s="457"/>
      <c r="G35" s="457"/>
      <c r="H35" s="457"/>
      <c r="I35" s="457"/>
      <c r="J35" s="457"/>
      <c r="K35" s="457"/>
      <c r="L35" s="457"/>
      <c r="M35" s="457"/>
      <c r="N35" s="457"/>
      <c r="O35" s="457"/>
      <c r="P35" s="457"/>
      <c r="Q35" s="522"/>
      <c r="R35" s="516"/>
      <c r="S35" s="516"/>
      <c r="T35" s="516"/>
      <c r="U35" s="516"/>
      <c r="V35" s="517"/>
      <c r="W35" s="548"/>
      <c r="X35" s="548"/>
      <c r="Y35" s="548"/>
      <c r="Z35" s="517"/>
      <c r="AA35" s="517"/>
      <c r="AB35" s="517"/>
      <c r="AC35" s="524"/>
      <c r="AD35" s="517"/>
      <c r="AE35" s="517"/>
      <c r="AF35" s="517"/>
      <c r="AG35" s="517"/>
    </row>
    <row r="36" spans="1:34" s="518" customFormat="1" ht="12.75" hidden="1" customHeight="1">
      <c r="A36" s="515"/>
      <c r="B36" s="515"/>
      <c r="C36" s="458"/>
      <c r="D36" s="458"/>
      <c r="E36" s="458"/>
      <c r="F36" s="458"/>
      <c r="G36" s="458"/>
      <c r="H36" s="459"/>
      <c r="I36" s="459"/>
      <c r="J36" s="459"/>
      <c r="K36" s="459"/>
      <c r="L36" s="459"/>
      <c r="M36" s="459"/>
      <c r="N36" s="459"/>
      <c r="O36" s="459"/>
      <c r="P36" s="459"/>
      <c r="Q36" s="522"/>
      <c r="R36" s="516"/>
      <c r="S36" s="516"/>
      <c r="T36" s="516"/>
      <c r="U36" s="516"/>
      <c r="V36" s="548"/>
      <c r="W36" s="548"/>
      <c r="X36" s="548"/>
      <c r="Y36" s="548"/>
      <c r="Z36" s="517"/>
      <c r="AA36" s="517"/>
      <c r="AB36" s="517"/>
      <c r="AC36" s="524"/>
      <c r="AD36" s="517"/>
      <c r="AE36" s="517"/>
      <c r="AF36" s="517"/>
      <c r="AG36" s="517"/>
      <c r="AH36" s="517"/>
    </row>
    <row r="37" spans="1:34" ht="15" customHeight="1">
      <c r="A37" s="492"/>
      <c r="B37" s="492"/>
      <c r="C37" s="736" t="s">
        <v>133</v>
      </c>
      <c r="D37" s="809" t="s">
        <v>134</v>
      </c>
      <c r="E37" s="809"/>
      <c r="F37" s="460" t="s">
        <v>135</v>
      </c>
      <c r="G37" s="460" t="s">
        <v>1101</v>
      </c>
      <c r="H37" s="460" t="s">
        <v>655</v>
      </c>
      <c r="I37" s="460" t="s">
        <v>1094</v>
      </c>
      <c r="J37" s="460" t="s">
        <v>1095</v>
      </c>
      <c r="K37" s="461" t="s">
        <v>1102</v>
      </c>
      <c r="L37" s="460" t="s">
        <v>1103</v>
      </c>
      <c r="M37" s="460" t="s">
        <v>1104</v>
      </c>
      <c r="N37" s="460" t="s">
        <v>1105</v>
      </c>
      <c r="O37" s="460" t="s">
        <v>16</v>
      </c>
      <c r="P37" s="460" t="s">
        <v>662</v>
      </c>
      <c r="Q37" s="507"/>
      <c r="R37" s="507"/>
      <c r="S37" s="507"/>
      <c r="T37" s="507"/>
      <c r="U37" s="507"/>
      <c r="V37" s="508"/>
      <c r="W37" s="508"/>
      <c r="X37" s="508"/>
      <c r="Y37" s="508"/>
      <c r="Z37" s="508"/>
      <c r="AA37" s="508"/>
      <c r="AB37" s="508"/>
      <c r="AC37" s="534"/>
      <c r="AD37" s="508"/>
      <c r="AE37" s="508"/>
      <c r="AF37" s="508"/>
      <c r="AG37" s="508"/>
      <c r="AH37" s="508"/>
    </row>
    <row r="38" spans="1:34" ht="12.75" customHeight="1">
      <c r="A38" s="492"/>
      <c r="B38" s="492"/>
      <c r="C38" s="462"/>
      <c r="D38" s="810"/>
      <c r="E38" s="810"/>
      <c r="F38" s="810"/>
      <c r="G38" s="456"/>
      <c r="H38" s="463"/>
      <c r="I38" s="463"/>
      <c r="J38" s="456"/>
      <c r="K38" s="456"/>
      <c r="L38" s="456"/>
      <c r="M38" s="456"/>
      <c r="N38" s="456"/>
      <c r="O38" s="456"/>
      <c r="P38" s="456"/>
      <c r="Q38" s="507"/>
      <c r="R38" s="507"/>
      <c r="S38" s="507"/>
      <c r="T38" s="507" t="str">
        <f>IF($B38&gt;0,$B38,"")</f>
        <v/>
      </c>
      <c r="U38" s="507"/>
      <c r="V38" s="508"/>
      <c r="W38" s="508"/>
      <c r="X38" s="508"/>
      <c r="Y38" s="508"/>
      <c r="Z38" s="508"/>
      <c r="AA38" s="508"/>
      <c r="AB38" s="508"/>
      <c r="AC38" s="524"/>
      <c r="AD38" s="508"/>
      <c r="AE38" s="517"/>
      <c r="AF38" s="508"/>
      <c r="AG38" s="508"/>
      <c r="AH38" s="508"/>
    </row>
    <row r="39" spans="1:34" s="518" customFormat="1" ht="12" customHeight="1">
      <c r="A39" s="515"/>
      <c r="B39" s="515"/>
      <c r="C39" s="464" t="s">
        <v>252</v>
      </c>
      <c r="D39" s="811" t="s">
        <v>251</v>
      </c>
      <c r="E39" s="811"/>
      <c r="F39" s="657">
        <v>1</v>
      </c>
      <c r="G39" s="465">
        <v>0</v>
      </c>
      <c r="H39" s="466">
        <v>90</v>
      </c>
      <c r="I39" s="466">
        <v>20</v>
      </c>
      <c r="J39" s="466">
        <v>0</v>
      </c>
      <c r="K39" s="467" t="s">
        <v>737</v>
      </c>
      <c r="L39" s="467">
        <v>1</v>
      </c>
      <c r="M39" s="468">
        <f>IF(H39&gt;80,(IF(J39&gt;75,0,IF(I39&gt;80,0,INDEX(verzamelblad!$A$81:$BK$158, MATCH((CEILING(IF(J39&gt;=75,75,J39),1)),verzamelblad!$A$81:$A$158,), MATCH((CEILING(IF(I39&lt;=20,20,IF(I39&gt;=80,80,I39)),1)),verzamelblad!$A$81:$BK$81,))))),IF(I39&gt;75,0,INDEX(verzamelblad!$A$164:$BM$245, MATCH((CEILING(IF(H39&gt;=80,80,H39),1)),verzamelblad!$A$164:$A$245,), MATCH((CEILING(IF(I39&lt;=1,1,IF(I39&gt;=75,75,I39)),1)),verzamelblad!$A$164:$BM$164,))))</f>
        <v>0.8</v>
      </c>
      <c r="N39" s="469">
        <f>ROUND(F39*G39*L39*M39,2)</f>
        <v>0</v>
      </c>
      <c r="O39" s="470"/>
      <c r="P39" s="404"/>
      <c r="Q39" s="525" t="str">
        <f t="shared" ref="Q39:Q43" si="7">IF(G39=0,"verbergen","")</f>
        <v>verbergen</v>
      </c>
      <c r="R39" s="516"/>
      <c r="S39" s="516"/>
      <c r="T39" s="507"/>
      <c r="U39" s="507">
        <v>1</v>
      </c>
      <c r="V39" s="508"/>
      <c r="W39" s="508"/>
      <c r="X39" s="508"/>
      <c r="Y39" s="508"/>
      <c r="Z39" s="508"/>
      <c r="AA39" s="508"/>
      <c r="AB39" s="508"/>
      <c r="AC39" s="524"/>
      <c r="AD39" s="517"/>
      <c r="AE39" s="517"/>
      <c r="AF39" s="517"/>
      <c r="AG39" s="517"/>
      <c r="AH39" s="517"/>
    </row>
    <row r="40" spans="1:34" s="518" customFormat="1" ht="12" customHeight="1">
      <c r="A40" s="549"/>
      <c r="B40" s="515"/>
      <c r="C40" s="464" t="s">
        <v>252</v>
      </c>
      <c r="D40" s="811" t="s">
        <v>251</v>
      </c>
      <c r="E40" s="811"/>
      <c r="F40" s="657">
        <v>1</v>
      </c>
      <c r="G40" s="465">
        <v>0</v>
      </c>
      <c r="H40" s="466">
        <v>90</v>
      </c>
      <c r="I40" s="466">
        <v>20</v>
      </c>
      <c r="J40" s="466">
        <v>0</v>
      </c>
      <c r="K40" s="467" t="s">
        <v>737</v>
      </c>
      <c r="L40" s="467">
        <v>1</v>
      </c>
      <c r="M40" s="468">
        <f>IF(H40&gt;80,(IF(J40&gt;75,0,IF(I40&gt;80,0,INDEX(verzamelblad!$A$81:$BK$158, MATCH((CEILING(IF(J40&gt;=75,75,J40),1)),verzamelblad!$A$81:$A$158,), MATCH((CEILING(IF(I40&lt;=20,20,IF(I40&gt;=80,80,I40)),1)),verzamelblad!$A$81:$BK$81,))))),IF(I40&gt;75,0,INDEX(verzamelblad!$A$164:$BM$245, MATCH((CEILING(IF(H40&gt;=80,80,H40),1)),verzamelblad!$A$164:$A$245,), MATCH((CEILING(IF(I40&lt;=1,1,IF(I40&gt;=75,75,I40)),1)),verzamelblad!$A$164:$BM$164,))))</f>
        <v>0.8</v>
      </c>
      <c r="N40" s="469">
        <f>ROUND(F40*G40*L40*M40,2)</f>
        <v>0</v>
      </c>
      <c r="O40" s="470"/>
      <c r="P40" s="471"/>
      <c r="Q40" s="525" t="str">
        <f t="shared" si="7"/>
        <v>verbergen</v>
      </c>
      <c r="R40" s="516"/>
      <c r="S40" s="516"/>
      <c r="T40" s="507"/>
      <c r="U40" s="507">
        <v>1</v>
      </c>
      <c r="V40" s="508"/>
      <c r="W40" s="508"/>
      <c r="X40" s="508"/>
      <c r="Y40" s="508"/>
      <c r="Z40" s="508"/>
      <c r="AA40" s="508"/>
      <c r="AB40" s="508"/>
      <c r="AC40" s="524"/>
      <c r="AD40" s="517"/>
      <c r="AE40" s="517"/>
      <c r="AF40" s="517"/>
      <c r="AG40" s="517"/>
      <c r="AH40" s="517"/>
    </row>
    <row r="41" spans="1:34" s="518" customFormat="1" ht="12" customHeight="1">
      <c r="A41" s="520"/>
      <c r="B41" s="515"/>
      <c r="C41" s="464" t="s">
        <v>252</v>
      </c>
      <c r="D41" s="811" t="s">
        <v>251</v>
      </c>
      <c r="E41" s="811"/>
      <c r="F41" s="657">
        <v>1</v>
      </c>
      <c r="G41" s="465">
        <v>0</v>
      </c>
      <c r="H41" s="466">
        <v>90</v>
      </c>
      <c r="I41" s="466">
        <v>20</v>
      </c>
      <c r="J41" s="466">
        <v>0</v>
      </c>
      <c r="K41" s="467" t="s">
        <v>737</v>
      </c>
      <c r="L41" s="467">
        <v>1</v>
      </c>
      <c r="M41" s="468">
        <f>IF(H41&gt;80,(IF(J41&gt;75,0,IF(I41&gt;80,0,INDEX(verzamelblad!$A$81:$BK$158, MATCH((CEILING(IF(J41&gt;=75,75,J41),1)),verzamelblad!$A$81:$A$158,), MATCH((CEILING(IF(I41&lt;=20,20,IF(I41&gt;=80,80,I41)),1)),verzamelblad!$A$81:$BK$81,))))),IF(I41&gt;75,0,INDEX(verzamelblad!$A$164:$BM$245, MATCH((CEILING(IF(H41&gt;=80,80,H41),1)),verzamelblad!$A$164:$A$245,), MATCH((CEILING(IF(I41&lt;=1,1,IF(I41&gt;=75,75,I41)),1)),verzamelblad!$A$164:$BM$164,))))</f>
        <v>0.8</v>
      </c>
      <c r="N41" s="469">
        <f>ROUND(F41*G41*L41*M41,2)</f>
        <v>0</v>
      </c>
      <c r="O41" s="470"/>
      <c r="P41" s="471"/>
      <c r="Q41" s="525" t="str">
        <f t="shared" si="7"/>
        <v>verbergen</v>
      </c>
      <c r="R41" s="516"/>
      <c r="S41" s="516"/>
      <c r="T41" s="507"/>
      <c r="U41" s="507">
        <v>1</v>
      </c>
      <c r="V41" s="508"/>
      <c r="W41" s="508"/>
      <c r="X41" s="508"/>
      <c r="Y41" s="508"/>
      <c r="Z41" s="508"/>
      <c r="AA41" s="508"/>
      <c r="AB41" s="508"/>
      <c r="AC41" s="524"/>
      <c r="AD41" s="517"/>
      <c r="AE41" s="517"/>
      <c r="AF41" s="517"/>
      <c r="AG41" s="517"/>
      <c r="AH41" s="517"/>
    </row>
    <row r="42" spans="1:34" s="518" customFormat="1" ht="12" customHeight="1">
      <c r="A42" s="520"/>
      <c r="B42" s="515"/>
      <c r="C42" s="464" t="s">
        <v>252</v>
      </c>
      <c r="D42" s="811" t="s">
        <v>251</v>
      </c>
      <c r="E42" s="811"/>
      <c r="F42" s="657">
        <v>1</v>
      </c>
      <c r="G42" s="465">
        <v>0</v>
      </c>
      <c r="H42" s="466">
        <v>90</v>
      </c>
      <c r="I42" s="466">
        <v>20</v>
      </c>
      <c r="J42" s="466">
        <v>0</v>
      </c>
      <c r="K42" s="467" t="s">
        <v>737</v>
      </c>
      <c r="L42" s="467">
        <v>1</v>
      </c>
      <c r="M42" s="468">
        <f>IF(H42&gt;80,(IF(J42&gt;75,0,IF(I42&gt;80,0,INDEX(verzamelblad!$A$81:$BK$158, MATCH((CEILING(IF(J42&gt;=75,75,J42),1)),verzamelblad!$A$81:$A$158,), MATCH((CEILING(IF(I42&lt;=20,20,IF(I42&gt;=80,80,I42)),1)),verzamelblad!$A$81:$BK$81,))))),IF(I42&gt;75,0,INDEX(verzamelblad!$A$164:$BM$245, MATCH((CEILING(IF(H42&gt;=80,80,H42),1)),verzamelblad!$A$164:$A$245,), MATCH((CEILING(IF(I42&lt;=1,1,IF(I42&gt;=75,75,I42)),1)),verzamelblad!$A$164:$BM$164,))))</f>
        <v>0.8</v>
      </c>
      <c r="N42" s="469">
        <f>ROUND(F42*G42*L42*M42,2)</f>
        <v>0</v>
      </c>
      <c r="O42" s="470"/>
      <c r="P42" s="471"/>
      <c r="Q42" s="525" t="str">
        <f t="shared" si="7"/>
        <v>verbergen</v>
      </c>
      <c r="R42" s="516"/>
      <c r="S42" s="516"/>
      <c r="T42" s="507"/>
      <c r="U42" s="507">
        <v>1</v>
      </c>
      <c r="V42" s="508"/>
      <c r="W42" s="508"/>
      <c r="X42" s="508"/>
      <c r="Y42" s="508"/>
      <c r="Z42" s="508"/>
      <c r="AA42" s="508"/>
      <c r="AB42" s="508"/>
      <c r="AC42" s="524"/>
      <c r="AD42" s="517"/>
      <c r="AE42" s="517"/>
      <c r="AF42" s="517"/>
      <c r="AG42" s="517"/>
      <c r="AH42" s="517"/>
    </row>
    <row r="43" spans="1:34" s="518" customFormat="1" ht="12" customHeight="1">
      <c r="A43" s="550"/>
      <c r="B43" s="551"/>
      <c r="C43" s="472" t="s">
        <v>252</v>
      </c>
      <c r="D43" s="812" t="s">
        <v>251</v>
      </c>
      <c r="E43" s="812"/>
      <c r="F43" s="727">
        <v>1</v>
      </c>
      <c r="G43" s="473">
        <v>0</v>
      </c>
      <c r="H43" s="474">
        <v>90</v>
      </c>
      <c r="I43" s="474">
        <v>20</v>
      </c>
      <c r="J43" s="474">
        <v>0</v>
      </c>
      <c r="K43" s="475" t="s">
        <v>737</v>
      </c>
      <c r="L43" s="475">
        <v>1</v>
      </c>
      <c r="M43" s="476">
        <f>IF(H43&gt;80,(IF(J43&gt;75,0,IF(I43&gt;80,0,INDEX(verzamelblad!$A$81:$BK$158, MATCH((CEILING(IF(J43&gt;=75,75,J43),1)),verzamelblad!$A$81:$A$158,), MATCH((CEILING(IF(I43&lt;=20,20,IF(I43&gt;=80,80,I43)),1)),verzamelblad!$A$81:$BK$81,))))),IF(I43&gt;75,0,INDEX(verzamelblad!$A$164:$BM$245, MATCH((CEILING(IF(H43&gt;=80,80,H43),1)),verzamelblad!$A$164:$A$245,), MATCH((CEILING(IF(I43&lt;=1,1,IF(I43&gt;=75,75,I43)),1)),verzamelblad!$A$164:$BM$164,))))</f>
        <v>0.8</v>
      </c>
      <c r="N43" s="477">
        <f>ROUND(F43*G43*L43*M43,2)</f>
        <v>0</v>
      </c>
      <c r="O43" s="478"/>
      <c r="P43" s="479"/>
      <c r="Q43" s="525" t="str">
        <f t="shared" si="7"/>
        <v>verbergen</v>
      </c>
      <c r="R43" s="516"/>
      <c r="S43" s="516"/>
      <c r="T43" s="507"/>
      <c r="U43" s="507">
        <v>1</v>
      </c>
      <c r="V43" s="508"/>
      <c r="W43" s="508"/>
      <c r="X43" s="508"/>
      <c r="Y43" s="508"/>
      <c r="Z43" s="508"/>
      <c r="AA43" s="508"/>
      <c r="AB43" s="508"/>
      <c r="AC43" s="524"/>
      <c r="AD43" s="517"/>
      <c r="AE43" s="517"/>
      <c r="AF43" s="517"/>
      <c r="AG43" s="517"/>
      <c r="AH43" s="517"/>
    </row>
    <row r="44" spans="1:34" s="518" customFormat="1" ht="12" customHeight="1">
      <c r="A44" s="552"/>
      <c r="B44" s="553">
        <v>1</v>
      </c>
      <c r="C44" s="480">
        <f>B44</f>
        <v>1</v>
      </c>
      <c r="D44" s="481">
        <f>IF(O44&gt;P44,P44*10,O44*10)</f>
        <v>0</v>
      </c>
      <c r="E44" s="813" t="str">
        <f>IF(O44&lt;P44,(P44*10)-(O44*10),"(voldoet)")</f>
        <v>(voldoet)</v>
      </c>
      <c r="F44" s="813"/>
      <c r="G44" s="813"/>
      <c r="H44" s="482"/>
      <c r="I44" s="482"/>
      <c r="J44" s="483"/>
      <c r="K44" s="484"/>
      <c r="L44" s="485"/>
      <c r="M44" s="485"/>
      <c r="N44" s="485"/>
      <c r="O44" s="486">
        <f>SUM(N39:N44)</f>
        <v>0</v>
      </c>
      <c r="P44" s="486">
        <f>SUMPRODUCT(($AD$1:$AD$28173)*($AC$1:$AC$28173=B44))*verzamelblad!$Y$7/100</f>
        <v>0</v>
      </c>
      <c r="Q44" s="554"/>
      <c r="R44" s="554"/>
      <c r="S44" s="554"/>
      <c r="T44" s="554"/>
      <c r="U44" s="507">
        <v>1</v>
      </c>
      <c r="V44" s="508"/>
      <c r="W44" s="508"/>
      <c r="X44" s="508"/>
      <c r="Y44" s="555">
        <f>IF(E44="(voldoet)",0,IF(E44="(voldoet niet)",D44,E44))</f>
        <v>0</v>
      </c>
      <c r="Z44" s="508"/>
      <c r="AA44" s="508"/>
      <c r="AB44" s="508"/>
      <c r="AC44" s="517"/>
      <c r="AD44" s="517"/>
      <c r="AE44" s="508"/>
      <c r="AF44" s="517"/>
      <c r="AG44" s="517"/>
      <c r="AH44" s="517"/>
    </row>
    <row r="45" spans="1:34" ht="12" customHeight="1">
      <c r="A45" s="492"/>
      <c r="B45" s="492"/>
      <c r="C45" s="487"/>
      <c r="D45" s="487"/>
      <c r="E45" s="487"/>
      <c r="F45" s="463"/>
      <c r="G45" s="463"/>
      <c r="H45" s="456"/>
      <c r="I45" s="456"/>
      <c r="J45" s="456"/>
      <c r="K45" s="456"/>
      <c r="L45" s="456"/>
      <c r="M45" s="456"/>
      <c r="N45" s="456"/>
      <c r="O45" s="488"/>
      <c r="P45" s="489"/>
      <c r="Q45" s="507"/>
      <c r="R45" s="507"/>
      <c r="S45" s="507"/>
      <c r="T45" s="507"/>
      <c r="U45" s="507">
        <v>1</v>
      </c>
      <c r="V45" s="508"/>
      <c r="W45" s="508"/>
      <c r="X45" s="508"/>
      <c r="Y45" s="508"/>
      <c r="Z45" s="508"/>
      <c r="AA45" s="508"/>
      <c r="AB45" s="508"/>
      <c r="AC45" s="524"/>
      <c r="AD45" s="508"/>
      <c r="AE45" s="508"/>
      <c r="AF45" s="508"/>
      <c r="AG45" s="508"/>
      <c r="AH45" s="508"/>
    </row>
    <row r="46" spans="1:34" s="541" customFormat="1" ht="12" customHeight="1">
      <c r="A46" s="543"/>
      <c r="B46" s="543"/>
      <c r="C46" s="464" t="s">
        <v>252</v>
      </c>
      <c r="D46" s="811" t="s">
        <v>251</v>
      </c>
      <c r="E46" s="811"/>
      <c r="F46" s="657">
        <v>1</v>
      </c>
      <c r="G46" s="465">
        <v>0</v>
      </c>
      <c r="H46" s="466">
        <v>90</v>
      </c>
      <c r="I46" s="466">
        <v>20</v>
      </c>
      <c r="J46" s="466">
        <v>0</v>
      </c>
      <c r="K46" s="467" t="s">
        <v>737</v>
      </c>
      <c r="L46" s="467">
        <v>1</v>
      </c>
      <c r="M46" s="468">
        <f>IF(H46&gt;80,(IF(J46&gt;75,0,IF(I46&gt;80,0,INDEX(verzamelblad!$A$81:$BK$158, MATCH((CEILING(IF(J46&gt;=75,75,J46),1)),verzamelblad!$A$81:$A$158,), MATCH((CEILING(IF(I46&lt;=20,20,IF(I46&gt;=80,80,I46)),1)),verzamelblad!$A$81:$BK$81,))))),IF(I46&gt;75,0,INDEX(verzamelblad!$A$164:$BM$245, MATCH((CEILING(IF(H46&gt;=80,80,H46),1)),verzamelblad!$A$164:$A$245,), MATCH((CEILING(IF(I46&lt;=1,1,IF(I46&gt;=75,75,I46)),1)),verzamelblad!$A$164:$BM$164,))))</f>
        <v>0.8</v>
      </c>
      <c r="N46" s="469">
        <f>ROUND(F46*G46*L46*M46,2)</f>
        <v>0</v>
      </c>
      <c r="O46" s="470"/>
      <c r="P46" s="404"/>
      <c r="Q46" s="729" t="str">
        <f>IF(G46=0,"verbergen","")</f>
        <v>verbergen</v>
      </c>
      <c r="R46" s="404"/>
      <c r="S46" s="404"/>
      <c r="T46" s="392"/>
      <c r="U46" s="547">
        <f>U45+1</f>
        <v>2</v>
      </c>
      <c r="V46" s="547"/>
      <c r="W46" s="547"/>
      <c r="X46" s="547"/>
      <c r="Y46" s="547"/>
      <c r="Z46" s="547"/>
      <c r="AA46" s="404"/>
      <c r="AB46" s="507"/>
      <c r="AC46" s="516"/>
      <c r="AD46" s="516"/>
      <c r="AE46" s="516"/>
      <c r="AF46" s="507"/>
      <c r="AG46" s="516"/>
      <c r="AH46" s="516"/>
    </row>
    <row r="47" spans="1:34" s="541" customFormat="1" ht="12" customHeight="1">
      <c r="A47" s="543"/>
      <c r="B47" s="543"/>
      <c r="C47" s="464" t="s">
        <v>252</v>
      </c>
      <c r="D47" s="811" t="s">
        <v>251</v>
      </c>
      <c r="E47" s="811"/>
      <c r="F47" s="657">
        <v>1</v>
      </c>
      <c r="G47" s="465">
        <v>0</v>
      </c>
      <c r="H47" s="466">
        <v>90</v>
      </c>
      <c r="I47" s="466">
        <v>20</v>
      </c>
      <c r="J47" s="466">
        <v>0</v>
      </c>
      <c r="K47" s="467" t="s">
        <v>737</v>
      </c>
      <c r="L47" s="467">
        <v>1</v>
      </c>
      <c r="M47" s="468">
        <f>IF(H47&gt;80,(IF(J47&gt;75,0,IF(I47&gt;80,0,INDEX(verzamelblad!$A$81:$BK$158, MATCH((CEILING(IF(J47&gt;=75,75,J47),1)),verzamelblad!$A$81:$A$158,), MATCH((CEILING(IF(I47&lt;=20,20,IF(I47&gt;=80,80,I47)),1)),verzamelblad!$A$81:$BK$81,))))),IF(I47&gt;75,0,INDEX(verzamelblad!$A$164:$BM$245, MATCH((CEILING(IF(H47&gt;=80,80,H47),1)),verzamelblad!$A$164:$A$245,), MATCH((CEILING(IF(I47&lt;=1,1,IF(I47&gt;=75,75,I47)),1)),verzamelblad!$A$164:$BM$164,))))</f>
        <v>0.8</v>
      </c>
      <c r="N47" s="469">
        <f>ROUND(F47*G47*L47*M47,2)</f>
        <v>0</v>
      </c>
      <c r="O47" s="470"/>
      <c r="P47" s="471"/>
      <c r="Q47" s="729" t="str">
        <f>IF(G47=0,"verbergen","")</f>
        <v>verbergen</v>
      </c>
      <c r="R47" s="404"/>
      <c r="S47" s="404"/>
      <c r="T47" s="392"/>
      <c r="U47" s="547">
        <f t="shared" ref="U47:U52" si="8">U46</f>
        <v>2</v>
      </c>
      <c r="V47" s="547"/>
      <c r="W47" s="547"/>
      <c r="X47" s="547"/>
      <c r="Y47" s="547"/>
      <c r="Z47" s="547"/>
      <c r="AA47" s="404"/>
      <c r="AB47" s="507"/>
      <c r="AC47" s="516"/>
      <c r="AD47" s="516"/>
      <c r="AE47" s="516"/>
      <c r="AF47" s="507"/>
      <c r="AG47" s="516"/>
      <c r="AH47" s="516"/>
    </row>
    <row r="48" spans="1:34" s="541" customFormat="1" ht="12" customHeight="1">
      <c r="A48" s="543"/>
      <c r="B48" s="543"/>
      <c r="C48" s="464" t="s">
        <v>252</v>
      </c>
      <c r="D48" s="811" t="s">
        <v>251</v>
      </c>
      <c r="E48" s="811"/>
      <c r="F48" s="657">
        <v>1</v>
      </c>
      <c r="G48" s="465">
        <v>0</v>
      </c>
      <c r="H48" s="466">
        <v>90</v>
      </c>
      <c r="I48" s="466">
        <v>20</v>
      </c>
      <c r="J48" s="466">
        <v>0</v>
      </c>
      <c r="K48" s="467" t="s">
        <v>737</v>
      </c>
      <c r="L48" s="467">
        <v>1</v>
      </c>
      <c r="M48" s="468">
        <f>IF(H48&gt;80,(IF(J48&gt;75,0,IF(I48&gt;80,0,INDEX(verzamelblad!$A$81:$BK$158, MATCH((CEILING(IF(J48&gt;=75,75,J48),1)),verzamelblad!$A$81:$A$158,), MATCH((CEILING(IF(I48&lt;=20,20,IF(I48&gt;=80,80,I48)),1)),verzamelblad!$A$81:$BK$81,))))),IF(I48&gt;75,0,INDEX(verzamelblad!$A$164:$BM$245, MATCH((CEILING(IF(H48&gt;=80,80,H48),1)),verzamelblad!$A$164:$A$245,), MATCH((CEILING(IF(I48&lt;=1,1,IF(I48&gt;=75,75,I48)),1)),verzamelblad!$A$164:$BM$164,))))</f>
        <v>0.8</v>
      </c>
      <c r="N48" s="469">
        <f>ROUND(F48*G48*L48*M48,2)</f>
        <v>0</v>
      </c>
      <c r="O48" s="470"/>
      <c r="P48" s="471"/>
      <c r="Q48" s="729" t="str">
        <f>IF(G48=0,"verbergen","")</f>
        <v>verbergen</v>
      </c>
      <c r="R48" s="404"/>
      <c r="S48" s="404"/>
      <c r="T48" s="392"/>
      <c r="U48" s="547">
        <f t="shared" si="8"/>
        <v>2</v>
      </c>
      <c r="V48" s="547"/>
      <c r="W48" s="547"/>
      <c r="X48" s="547"/>
      <c r="Y48" s="547"/>
      <c r="Z48" s="547"/>
      <c r="AA48" s="404"/>
      <c r="AB48" s="507"/>
      <c r="AC48" s="516"/>
      <c r="AD48" s="516"/>
      <c r="AE48" s="516"/>
      <c r="AF48" s="507"/>
      <c r="AG48" s="516"/>
      <c r="AH48" s="516"/>
    </row>
    <row r="49" spans="1:43" s="541" customFormat="1" ht="12" customHeight="1">
      <c r="A49" s="543"/>
      <c r="B49" s="543"/>
      <c r="C49" s="464" t="s">
        <v>252</v>
      </c>
      <c r="D49" s="811" t="s">
        <v>251</v>
      </c>
      <c r="E49" s="811"/>
      <c r="F49" s="657">
        <v>1</v>
      </c>
      <c r="G49" s="465">
        <v>0</v>
      </c>
      <c r="H49" s="466">
        <v>90</v>
      </c>
      <c r="I49" s="466">
        <v>20</v>
      </c>
      <c r="J49" s="466">
        <v>0</v>
      </c>
      <c r="K49" s="467" t="s">
        <v>737</v>
      </c>
      <c r="L49" s="467">
        <v>1</v>
      </c>
      <c r="M49" s="468">
        <f>IF(H49&gt;80,(IF(J49&gt;75,0,IF(I49&gt;80,0,INDEX(verzamelblad!$A$81:$BK$158, MATCH((CEILING(IF(J49&gt;=75,75,J49),1)),verzamelblad!$A$81:$A$158,), MATCH((CEILING(IF(I49&lt;=20,20,IF(I49&gt;=80,80,I49)),1)),verzamelblad!$A$81:$BK$81,))))),IF(I49&gt;75,0,INDEX(verzamelblad!$A$164:$BM$245, MATCH((CEILING(IF(H49&gt;=80,80,H49),1)),verzamelblad!$A$164:$A$245,), MATCH((CEILING(IF(I49&lt;=1,1,IF(I49&gt;=75,75,I49)),1)),verzamelblad!$A$164:$BM$164,))))</f>
        <v>0.8</v>
      </c>
      <c r="N49" s="469">
        <f>ROUND(F49*G49*L49*M49,2)</f>
        <v>0</v>
      </c>
      <c r="O49" s="470"/>
      <c r="P49" s="471"/>
      <c r="Q49" s="729" t="str">
        <f>IF(G49=0,"verbergen","")</f>
        <v>verbergen</v>
      </c>
      <c r="R49" s="404"/>
      <c r="S49" s="404"/>
      <c r="T49" s="392"/>
      <c r="U49" s="547">
        <f t="shared" si="8"/>
        <v>2</v>
      </c>
      <c r="V49" s="547"/>
      <c r="W49" s="547"/>
      <c r="X49" s="547"/>
      <c r="Y49" s="547"/>
      <c r="Z49" s="547"/>
      <c r="AA49" s="404"/>
      <c r="AB49" s="507"/>
      <c r="AC49" s="516"/>
      <c r="AD49" s="516"/>
      <c r="AE49" s="516"/>
      <c r="AF49" s="507"/>
      <c r="AG49" s="516"/>
      <c r="AH49" s="516"/>
    </row>
    <row r="50" spans="1:43" s="541" customFormat="1" ht="12" customHeight="1">
      <c r="A50" s="543"/>
      <c r="B50" s="543"/>
      <c r="C50" s="464" t="s">
        <v>252</v>
      </c>
      <c r="D50" s="812" t="s">
        <v>251</v>
      </c>
      <c r="E50" s="812"/>
      <c r="F50" s="727">
        <v>1</v>
      </c>
      <c r="G50" s="473">
        <v>0</v>
      </c>
      <c r="H50" s="474">
        <v>90</v>
      </c>
      <c r="I50" s="474">
        <v>20</v>
      </c>
      <c r="J50" s="474">
        <v>0</v>
      </c>
      <c r="K50" s="475" t="s">
        <v>737</v>
      </c>
      <c r="L50" s="475">
        <v>1</v>
      </c>
      <c r="M50" s="476">
        <f>IF(H50&gt;80,(IF(J50&gt;75,0,IF(I50&gt;80,0,INDEX(verzamelblad!$A$81:$BK$158, MATCH((CEILING(IF(J50&gt;=75,75,J50),1)),verzamelblad!$A$81:$A$158,), MATCH((CEILING(IF(I50&lt;=20,20,IF(I50&gt;=80,80,I50)),1)),verzamelblad!$A$81:$BK$81,))))),IF(I50&gt;75,0,INDEX(verzamelblad!$A$164:$BM$245, MATCH((CEILING(IF(H50&gt;=80,80,H50),1)),verzamelblad!$A$164:$A$245,), MATCH((CEILING(IF(I50&lt;=1,1,IF(I50&gt;=75,75,I50)),1)),verzamelblad!$A$164:$BM$164,))))</f>
        <v>0.8</v>
      </c>
      <c r="N50" s="477">
        <f>ROUND(F50*G50*L50*M50,2)</f>
        <v>0</v>
      </c>
      <c r="O50" s="478"/>
      <c r="P50" s="479"/>
      <c r="Q50" s="729" t="str">
        <f>IF(G50=0,"verbergen","")</f>
        <v>verbergen</v>
      </c>
      <c r="R50" s="404"/>
      <c r="S50" s="404"/>
      <c r="T50" s="392"/>
      <c r="U50" s="547">
        <f t="shared" si="8"/>
        <v>2</v>
      </c>
      <c r="V50" s="547"/>
      <c r="W50" s="547"/>
      <c r="X50" s="547"/>
      <c r="Y50" s="547"/>
      <c r="Z50" s="547"/>
      <c r="AA50" s="404"/>
      <c r="AB50" s="507"/>
      <c r="AC50" s="516"/>
      <c r="AD50" s="516"/>
      <c r="AE50" s="516"/>
      <c r="AF50" s="507"/>
      <c r="AG50" s="516"/>
      <c r="AH50" s="516"/>
    </row>
    <row r="51" spans="1:43" s="404" customFormat="1" ht="12" customHeight="1">
      <c r="A51" s="542"/>
      <c r="B51" s="556">
        <f>B44+1</f>
        <v>2</v>
      </c>
      <c r="C51" s="480">
        <f>B51</f>
        <v>2</v>
      </c>
      <c r="D51" s="481">
        <f>IF(O51&gt;P51,P51*10,O51*10)</f>
        <v>0</v>
      </c>
      <c r="E51" s="813" t="str">
        <f>IF(O51&lt;P51,(P51*10)-(O51*10),"(voldoet)")</f>
        <v>(voldoet)</v>
      </c>
      <c r="F51" s="813"/>
      <c r="G51" s="813"/>
      <c r="H51" s="482"/>
      <c r="I51" s="482"/>
      <c r="J51" s="483"/>
      <c r="K51" s="484"/>
      <c r="L51" s="485"/>
      <c r="M51" s="485"/>
      <c r="N51" s="485"/>
      <c r="O51" s="486">
        <f>SUM(N46:N51)</f>
        <v>0</v>
      </c>
      <c r="P51" s="486">
        <f>SUMPRODUCT(($AD$1:$AD$28163)*($AC$1:$AC$28163=B51))*verzamelblad!$Y$7/100</f>
        <v>0</v>
      </c>
      <c r="Q51" s="557"/>
      <c r="R51" s="557"/>
      <c r="S51" s="557"/>
      <c r="T51" s="558"/>
      <c r="U51" s="547">
        <f t="shared" si="8"/>
        <v>2</v>
      </c>
      <c r="V51" s="547"/>
      <c r="W51" s="547"/>
      <c r="X51" s="547"/>
      <c r="Y51" s="559">
        <f>IF(E51="(voldoet)",0,IF(E51="(voldoet niet)",D51,E51))</f>
        <v>0</v>
      </c>
      <c r="Z51" s="547"/>
      <c r="AB51" s="547"/>
      <c r="AC51" s="392"/>
      <c r="AD51" s="392"/>
      <c r="AE51" s="392"/>
      <c r="AF51" s="547"/>
      <c r="AG51" s="392"/>
      <c r="AH51" s="392"/>
    </row>
    <row r="52" spans="1:43" s="493" customFormat="1" ht="12" customHeight="1">
      <c r="A52" s="560"/>
      <c r="B52" s="560"/>
      <c r="C52" s="487"/>
      <c r="D52" s="487"/>
      <c r="E52" s="487"/>
      <c r="F52" s="463"/>
      <c r="G52" s="463"/>
      <c r="H52" s="456"/>
      <c r="I52" s="456"/>
      <c r="J52" s="456"/>
      <c r="K52" s="456"/>
      <c r="L52" s="456"/>
      <c r="M52" s="456"/>
      <c r="N52" s="456"/>
      <c r="O52" s="488"/>
      <c r="P52" s="489"/>
      <c r="Q52" s="451"/>
      <c r="R52" s="451"/>
      <c r="S52" s="451"/>
      <c r="T52" s="561"/>
      <c r="U52" s="547">
        <f t="shared" si="8"/>
        <v>2</v>
      </c>
      <c r="V52" s="547"/>
      <c r="W52" s="547"/>
      <c r="X52" s="547"/>
      <c r="Y52" s="547"/>
      <c r="Z52" s="547"/>
      <c r="AA52" s="451"/>
      <c r="AB52" s="507"/>
      <c r="AC52" s="507"/>
      <c r="AD52" s="507"/>
      <c r="AE52" s="507"/>
      <c r="AF52" s="507"/>
      <c r="AG52" s="507"/>
      <c r="AH52" s="507"/>
    </row>
    <row r="53" spans="1:43" ht="12" customHeight="1">
      <c r="A53" s="492"/>
      <c r="B53" s="492"/>
      <c r="C53" s="463"/>
      <c r="D53" s="463"/>
      <c r="E53" s="451"/>
      <c r="F53" s="463"/>
      <c r="G53" s="463"/>
      <c r="H53" s="456"/>
      <c r="I53" s="456"/>
      <c r="J53" s="456"/>
      <c r="K53" s="490"/>
      <c r="L53" s="491"/>
      <c r="M53" s="456"/>
      <c r="N53" s="456"/>
      <c r="O53" s="488"/>
      <c r="P53" s="489"/>
      <c r="Q53" s="507"/>
      <c r="R53" s="507"/>
      <c r="S53" s="507"/>
      <c r="T53" s="507"/>
      <c r="U53" s="507"/>
      <c r="V53" s="508"/>
      <c r="W53" s="508"/>
      <c r="X53" s="508"/>
      <c r="Y53" s="508"/>
      <c r="Z53" s="508"/>
      <c r="AA53" s="508"/>
      <c r="AB53" s="508"/>
      <c r="AC53" s="524"/>
      <c r="AD53" s="508"/>
      <c r="AE53" s="508"/>
      <c r="AF53" s="508"/>
      <c r="AG53" s="508"/>
      <c r="AH53" s="508"/>
    </row>
    <row r="54" spans="1:43" s="518" customFormat="1" ht="15" customHeight="1">
      <c r="A54" s="515"/>
      <c r="B54" s="515"/>
      <c r="C54" s="457" t="s">
        <v>1084</v>
      </c>
      <c r="D54" s="457"/>
      <c r="E54" s="457"/>
      <c r="F54" s="457"/>
      <c r="G54" s="457"/>
      <c r="H54" s="457"/>
      <c r="I54" s="457"/>
      <c r="J54" s="457"/>
      <c r="K54" s="457"/>
      <c r="L54" s="457"/>
      <c r="M54" s="457"/>
      <c r="N54" s="457"/>
      <c r="O54" s="457"/>
      <c r="P54" s="457"/>
      <c r="Q54" s="522"/>
      <c r="R54" s="562"/>
      <c r="S54" s="516"/>
      <c r="T54" s="521"/>
      <c r="U54" s="516"/>
      <c r="V54" s="548"/>
      <c r="W54" s="548"/>
      <c r="X54" s="548"/>
      <c r="Y54" s="548"/>
      <c r="Z54" s="517"/>
      <c r="AA54" s="517"/>
      <c r="AB54" s="517"/>
      <c r="AC54" s="524"/>
      <c r="AD54" s="517"/>
      <c r="AE54" s="517"/>
      <c r="AF54" s="517"/>
      <c r="AG54" s="517"/>
      <c r="AH54" s="517"/>
    </row>
    <row r="55" spans="1:43" s="518" customFormat="1" ht="12" customHeight="1">
      <c r="A55" s="543"/>
      <c r="B55" s="543"/>
      <c r="C55" s="563" t="s">
        <v>1019</v>
      </c>
      <c r="D55" s="814" t="s">
        <v>743</v>
      </c>
      <c r="E55" s="814"/>
      <c r="F55" s="814"/>
      <c r="G55" s="814"/>
      <c r="H55" s="566"/>
      <c r="I55" s="566"/>
      <c r="J55" s="566"/>
      <c r="K55" s="566"/>
      <c r="L55" s="566"/>
      <c r="M55" s="566"/>
      <c r="N55" s="566"/>
      <c r="O55" s="566"/>
      <c r="P55" s="566"/>
      <c r="Q55" s="459"/>
      <c r="Y55" s="517"/>
      <c r="Z55" s="517"/>
      <c r="AA55" s="517"/>
      <c r="AB55" s="517"/>
      <c r="AC55" s="517"/>
      <c r="AD55" s="517"/>
      <c r="AE55" s="517"/>
      <c r="AF55" s="517"/>
      <c r="AG55" s="517"/>
      <c r="AH55" s="517"/>
    </row>
    <row r="56" spans="1:43" s="518" customFormat="1" ht="12" customHeight="1">
      <c r="A56" s="543"/>
      <c r="B56" s="543"/>
      <c r="C56" s="563"/>
      <c r="D56" s="464"/>
      <c r="E56" s="464"/>
      <c r="F56" s="464"/>
      <c r="G56" s="464"/>
      <c r="H56" s="566"/>
      <c r="I56" s="566"/>
      <c r="J56" s="566"/>
      <c r="K56" s="566"/>
      <c r="L56" s="566"/>
      <c r="M56" s="566"/>
      <c r="N56" s="566"/>
      <c r="O56" s="566"/>
      <c r="P56" s="566"/>
      <c r="Q56" s="459"/>
      <c r="Y56" s="517"/>
      <c r="Z56" s="517"/>
      <c r="AA56" s="517"/>
      <c r="AB56" s="517"/>
      <c r="AC56" s="517"/>
      <c r="AD56" s="517"/>
      <c r="AE56" s="517"/>
      <c r="AF56" s="517"/>
      <c r="AG56" s="517"/>
      <c r="AH56" s="517"/>
    </row>
    <row r="57" spans="1:43" s="518" customFormat="1" ht="12" customHeight="1">
      <c r="A57" s="543"/>
      <c r="B57" s="546"/>
      <c r="C57" s="563" t="s">
        <v>726</v>
      </c>
      <c r="D57" s="814" t="s">
        <v>721</v>
      </c>
      <c r="E57" s="814"/>
      <c r="F57" s="814"/>
      <c r="G57" s="814"/>
      <c r="H57" s="566"/>
      <c r="I57" s="566"/>
      <c r="J57" s="566"/>
      <c r="K57" s="566"/>
      <c r="L57" s="566"/>
      <c r="M57" s="566"/>
      <c r="N57" s="566"/>
      <c r="O57" s="566"/>
      <c r="P57" s="566"/>
      <c r="Q57" s="459"/>
      <c r="Y57" s="517"/>
      <c r="Z57" s="517"/>
      <c r="AA57" s="517"/>
      <c r="AB57" s="517"/>
      <c r="AC57" s="517"/>
      <c r="AD57" s="517"/>
      <c r="AE57" s="517"/>
      <c r="AF57" s="517"/>
      <c r="AG57" s="517"/>
      <c r="AH57" s="517"/>
    </row>
    <row r="58" spans="1:43" s="518" customFormat="1" ht="12" customHeight="1">
      <c r="A58" s="543"/>
      <c r="B58" s="546"/>
      <c r="C58" s="563" t="s">
        <v>718</v>
      </c>
      <c r="D58" s="814" t="s">
        <v>719</v>
      </c>
      <c r="E58" s="814"/>
      <c r="F58" s="814"/>
      <c r="G58" s="814"/>
      <c r="H58" s="566"/>
      <c r="I58" s="566"/>
      <c r="J58" s="566"/>
      <c r="K58" s="566"/>
      <c r="L58" s="566"/>
      <c r="M58" s="566"/>
      <c r="N58" s="566"/>
      <c r="O58" s="566"/>
      <c r="P58" s="566"/>
      <c r="Q58" s="459" t="str">
        <f>IF(D57="systeem D - mechanische toevoer &amp; afvoer","verbergen","")</f>
        <v/>
      </c>
      <c r="Y58" s="517"/>
      <c r="Z58" s="517"/>
      <c r="AA58" s="517"/>
      <c r="AB58" s="517"/>
      <c r="AC58" s="517"/>
      <c r="AD58" s="517"/>
      <c r="AE58" s="517"/>
      <c r="AF58" s="517"/>
      <c r="AG58" s="517"/>
      <c r="AH58" s="517"/>
      <c r="AQ58" s="517"/>
    </row>
    <row r="59" spans="1:43" s="518" customFormat="1" ht="12" customHeight="1">
      <c r="A59" s="543"/>
      <c r="B59" s="546"/>
      <c r="C59" s="563"/>
      <c r="D59" s="730"/>
      <c r="E59" s="730"/>
      <c r="F59" s="730"/>
      <c r="G59" s="730"/>
      <c r="H59" s="566"/>
      <c r="I59" s="566"/>
      <c r="J59" s="566"/>
      <c r="K59" s="566"/>
      <c r="L59" s="566"/>
      <c r="M59" s="566"/>
      <c r="N59" s="566"/>
      <c r="O59" s="567"/>
      <c r="P59" s="564"/>
      <c r="Q59" s="459"/>
      <c r="Y59" s="517"/>
      <c r="Z59" s="517"/>
      <c r="AA59" s="517"/>
      <c r="AB59" s="517"/>
      <c r="AC59" s="517"/>
      <c r="AD59" s="517"/>
      <c r="AE59" s="517"/>
      <c r="AF59" s="517"/>
      <c r="AG59" s="517"/>
      <c r="AH59" s="517"/>
      <c r="AQ59" s="517"/>
    </row>
    <row r="60" spans="1:43" s="518" customFormat="1" ht="12" customHeight="1">
      <c r="A60" s="543"/>
      <c r="B60" s="546"/>
      <c r="C60" s="563" t="s">
        <v>746</v>
      </c>
      <c r="D60" s="730" t="s">
        <v>737</v>
      </c>
      <c r="E60" s="730"/>
      <c r="F60" s="730"/>
      <c r="G60" s="730"/>
      <c r="H60" s="568" t="str">
        <f>IF(D60="n.v.t.","","minimale luchtverversing, privaatrechterlijke eisen in 'hoogstand':")</f>
        <v/>
      </c>
      <c r="I60" s="546"/>
      <c r="J60" s="773"/>
      <c r="K60" s="569"/>
      <c r="L60" s="570"/>
      <c r="M60" s="404"/>
      <c r="N60" s="566" t="str">
        <f>IF(D60="n.v.t.","",N57+G108)</f>
        <v/>
      </c>
      <c r="O60" s="567" t="str">
        <f>IF(D60="n.v.t.","",N60*3.6)</f>
        <v/>
      </c>
      <c r="P60" s="564"/>
      <c r="Q60" s="459"/>
      <c r="Y60" s="517"/>
      <c r="Z60" s="517"/>
      <c r="AA60" s="517"/>
      <c r="AB60" s="517"/>
      <c r="AC60" s="517"/>
      <c r="AD60" s="517"/>
      <c r="AE60" s="517"/>
      <c r="AF60" s="517"/>
      <c r="AG60" s="517"/>
      <c r="AH60" s="517"/>
      <c r="AQ60" s="517"/>
    </row>
    <row r="61" spans="1:43" s="518" customFormat="1" ht="12" customHeight="1">
      <c r="A61" s="543"/>
      <c r="B61" s="546"/>
      <c r="C61" s="563"/>
      <c r="D61" s="730"/>
      <c r="E61" s="730"/>
      <c r="F61" s="730"/>
      <c r="G61" s="730"/>
      <c r="H61" s="766" t="s">
        <v>1133</v>
      </c>
      <c r="I61" s="774"/>
      <c r="J61" s="767"/>
      <c r="K61" s="767"/>
      <c r="L61" s="768"/>
      <c r="M61" s="769"/>
      <c r="N61" s="770"/>
      <c r="O61" s="771"/>
      <c r="P61" s="772"/>
      <c r="Q61" s="459"/>
      <c r="Y61" s="517"/>
      <c r="Z61" s="517"/>
      <c r="AA61" s="517"/>
      <c r="AB61" s="517"/>
      <c r="AC61" s="517"/>
      <c r="AD61" s="517"/>
      <c r="AE61" s="517"/>
      <c r="AF61" s="517"/>
      <c r="AG61" s="517"/>
      <c r="AH61" s="517"/>
      <c r="AQ61" s="517"/>
    </row>
    <row r="62" spans="1:43" s="518" customFormat="1" ht="12" customHeight="1">
      <c r="A62" s="543"/>
      <c r="B62" s="546"/>
      <c r="C62" s="563"/>
      <c r="D62" s="730"/>
      <c r="E62" s="730"/>
      <c r="F62" s="730"/>
      <c r="G62" s="730"/>
      <c r="H62" s="766" t="s">
        <v>1134</v>
      </c>
      <c r="I62" s="774"/>
      <c r="J62" s="775"/>
      <c r="K62" s="775"/>
      <c r="L62" s="768"/>
      <c r="M62" s="769"/>
      <c r="N62" s="770"/>
      <c r="O62" s="771"/>
      <c r="P62" s="772"/>
      <c r="Q62" s="459"/>
      <c r="Y62" s="517"/>
      <c r="Z62" s="517"/>
      <c r="AA62" s="517"/>
      <c r="AB62" s="517"/>
      <c r="AC62" s="517"/>
      <c r="AD62" s="517"/>
      <c r="AE62" s="517"/>
      <c r="AF62" s="517"/>
      <c r="AG62" s="517"/>
      <c r="AH62" s="517"/>
      <c r="AQ62" s="517"/>
    </row>
    <row r="63" spans="1:43" s="518" customFormat="1" ht="12" customHeight="1">
      <c r="A63" s="543"/>
      <c r="B63" s="543"/>
      <c r="C63" s="571" t="str">
        <f>IF(A39:A63=TRUE,"* vanwege het niet direct grenzen van ramen aan grens VG is op basis van gelijkwaardigheid een groter fictief oppervlak aan VG toegekend (zie ook toelichting rapport)","")</f>
        <v/>
      </c>
      <c r="D63" s="572"/>
      <c r="E63" s="572"/>
      <c r="F63" s="572"/>
      <c r="G63" s="572"/>
      <c r="H63" s="572"/>
      <c r="I63" s="572"/>
      <c r="J63" s="468"/>
      <c r="K63" s="490"/>
      <c r="L63" s="422"/>
      <c r="M63" s="471"/>
      <c r="N63" s="470"/>
      <c r="O63" s="573"/>
      <c r="P63" s="574"/>
      <c r="Q63" s="525"/>
      <c r="Y63" s="508"/>
      <c r="Z63" s="508"/>
      <c r="AA63" s="508"/>
      <c r="AB63" s="508"/>
      <c r="AC63" s="517"/>
      <c r="AD63" s="517"/>
      <c r="AE63" s="517"/>
      <c r="AF63" s="517"/>
      <c r="AG63" s="517"/>
      <c r="AH63" s="517"/>
    </row>
    <row r="64" spans="1:43" s="518" customFormat="1" ht="15" customHeight="1">
      <c r="A64" s="515"/>
      <c r="B64" s="515"/>
      <c r="C64" s="457" t="s">
        <v>1085</v>
      </c>
      <c r="D64" s="575"/>
      <c r="E64" s="575"/>
      <c r="F64" s="817"/>
      <c r="G64" s="817"/>
      <c r="H64" s="817"/>
      <c r="I64" s="575"/>
      <c r="J64" s="575"/>
      <c r="K64" s="575"/>
      <c r="L64" s="575"/>
      <c r="M64" s="575"/>
      <c r="N64" s="575"/>
      <c r="O64" s="575"/>
      <c r="P64" s="575"/>
      <c r="Q64" s="522"/>
      <c r="R64" s="516"/>
      <c r="S64" s="516"/>
      <c r="T64" s="521"/>
      <c r="U64" s="516"/>
      <c r="V64" s="548"/>
      <c r="W64" s="548"/>
      <c r="X64" s="548"/>
      <c r="Y64" s="548"/>
      <c r="Z64" s="517"/>
      <c r="AA64" s="517"/>
      <c r="AB64" s="517"/>
      <c r="AC64" s="524"/>
      <c r="AD64" s="517"/>
      <c r="AE64" s="517"/>
      <c r="AF64" s="517"/>
      <c r="AG64" s="517"/>
      <c r="AH64" s="517"/>
    </row>
    <row r="65" spans="1:38" s="518" customFormat="1" ht="12.75" hidden="1" customHeight="1">
      <c r="A65" s="515"/>
      <c r="B65" s="515"/>
      <c r="C65" s="576"/>
      <c r="D65" s="576"/>
      <c r="E65" s="576"/>
      <c r="F65" s="576"/>
      <c r="G65" s="576"/>
      <c r="H65" s="577"/>
      <c r="I65" s="577"/>
      <c r="J65" s="577"/>
      <c r="K65" s="577"/>
      <c r="L65" s="577"/>
      <c r="M65" s="577"/>
      <c r="N65" s="577"/>
      <c r="O65" s="577"/>
      <c r="P65" s="577"/>
      <c r="Q65" s="522"/>
      <c r="R65" s="516"/>
      <c r="S65" s="516"/>
      <c r="T65" s="521"/>
      <c r="U65" s="516"/>
      <c r="V65" s="548"/>
      <c r="W65" s="548"/>
      <c r="X65" s="548"/>
      <c r="Y65" s="548"/>
      <c r="Z65" s="517"/>
      <c r="AA65" s="517"/>
      <c r="AB65" s="517"/>
      <c r="AC65" s="524"/>
      <c r="AD65" s="517"/>
      <c r="AE65" s="517"/>
      <c r="AF65" s="517"/>
    </row>
    <row r="66" spans="1:38" ht="35.25" customHeight="1">
      <c r="A66" s="492"/>
      <c r="B66" s="492"/>
      <c r="C66" s="736" t="s">
        <v>133</v>
      </c>
      <c r="D66" s="460" t="s">
        <v>1106</v>
      </c>
      <c r="E66" s="578" t="s">
        <v>1066</v>
      </c>
      <c r="F66" s="809" t="str">
        <f>IF(S16=3,"","advies toevoercapaciteit")</f>
        <v>advies toevoercapaciteit</v>
      </c>
      <c r="G66" s="809"/>
      <c r="H66" s="809"/>
      <c r="I66" s="809" t="str">
        <f>IF(S16=1,"kozijnmerk","")</f>
        <v>kozijnmerk</v>
      </c>
      <c r="J66" s="809"/>
      <c r="K66" s="579" t="str">
        <f>IF(S16=1,"roostermaat","")</f>
        <v>roostermaat</v>
      </c>
      <c r="L66" s="818" t="str">
        <f>IF(AND(S16=1,S17=1),"benodigde capaciteit","")</f>
        <v/>
      </c>
      <c r="M66" s="818"/>
      <c r="N66" s="579" t="str">
        <f>IF(AND(S16=1,S17=2),"type","")</f>
        <v>type</v>
      </c>
      <c r="O66" s="580"/>
      <c r="P66" s="581" t="str">
        <f>IF(AND(S16=1,S17=2),"maximale roostercapaciteit","")</f>
        <v>maximale roostercapaciteit</v>
      </c>
      <c r="Q66" s="582"/>
      <c r="R66" s="582"/>
      <c r="S66" s="583"/>
      <c r="T66" s="532"/>
      <c r="U66" s="507"/>
      <c r="V66" s="508"/>
      <c r="W66" s="508"/>
      <c r="X66" s="508"/>
      <c r="Y66" s="508"/>
      <c r="Z66" s="508"/>
      <c r="AA66" s="508"/>
      <c r="AB66" s="508"/>
      <c r="AC66" s="534"/>
      <c r="AD66" s="508"/>
      <c r="AE66" s="508"/>
      <c r="AF66" s="508"/>
    </row>
    <row r="67" spans="1:38" s="541" customFormat="1" ht="12" customHeight="1">
      <c r="B67" s="515"/>
      <c r="C67" s="464" t="s">
        <v>252</v>
      </c>
      <c r="D67" s="733">
        <f>IF(F67="intern","",SUMPRODUCT(($AE$1:$AE$28039)*($L$1:$L$28039=C67)))</f>
        <v>0</v>
      </c>
      <c r="E67" s="566">
        <f>IF(F67="intern","",IF(D67=0,0,(IF(verzamelblad!$K$7*D67&gt;verzamelblad!$P$7,CEILING(verzamelblad!$K$7*D67,0.1),verzamelblad!$P$7))))</f>
        <v>0</v>
      </c>
      <c r="F67" s="584" t="str">
        <f>IF($S$16=1,"NT","MT")</f>
        <v>NT</v>
      </c>
      <c r="G67" s="731" t="s">
        <v>140</v>
      </c>
      <c r="H67" s="565">
        <v>0</v>
      </c>
      <c r="I67" s="811" t="s">
        <v>251</v>
      </c>
      <c r="J67" s="811"/>
      <c r="K67" s="585">
        <v>0</v>
      </c>
      <c r="L67" s="819" t="str">
        <f>IF(AND(S$16=1,S$17=2),"",IF(S$16=2,"",IF(K67=0,"",H67/(K67/1000))))</f>
        <v/>
      </c>
      <c r="M67" s="819"/>
      <c r="N67" s="816" t="s">
        <v>268</v>
      </c>
      <c r="O67" s="816"/>
      <c r="P67" s="586" t="str">
        <f>IF(K67=0,"-",INDEX('data roosters'!F:J,MATCH(N67,'data roosters'!F:F,0),2)*(K67/1000))</f>
        <v>-</v>
      </c>
      <c r="Q67" s="525" t="str">
        <f>IF(AND($S$16=1,$S$17=2),IF(OR(E67&lt;&gt;0,H67&lt;&gt;0,P67&lt;&gt;"-"),"","verbergen"),IF(OR(E67&lt;&gt;0,H67&lt;&gt;0),"","verbergen"))</f>
        <v>verbergen</v>
      </c>
      <c r="R67" s="587"/>
      <c r="S67" s="529"/>
      <c r="T67" s="516"/>
      <c r="U67" s="516"/>
      <c r="V67" s="507">
        <v>1</v>
      </c>
      <c r="W67" s="516"/>
      <c r="X67" s="516"/>
      <c r="Y67" s="516"/>
      <c r="Z67" s="516"/>
      <c r="AB67" s="516"/>
      <c r="AC67" s="516"/>
      <c r="AD67" s="516"/>
      <c r="AE67" s="516"/>
      <c r="AF67" s="515" t="str">
        <f>IF(E67&gt;0,"x","")</f>
        <v/>
      </c>
      <c r="AG67" s="516"/>
      <c r="AH67" s="516"/>
    </row>
    <row r="68" spans="1:38" s="541" customFormat="1" ht="12" customHeight="1">
      <c r="B68" s="515"/>
      <c r="C68" s="464" t="s">
        <v>252</v>
      </c>
      <c r="D68" s="733">
        <f>IF(F68="intern","",SUMPRODUCT(($AE$1:$AE$28039)*($L$1:$L$28039=C68)))</f>
        <v>0</v>
      </c>
      <c r="E68" s="566">
        <f>IF(F68="intern","",IF(D68=0,0,(IF(verzamelblad!$K$7*D68&gt;verzamelblad!$P$7,CEILING(verzamelblad!$K$7*D68,0.1),verzamelblad!$P$7))))</f>
        <v>0</v>
      </c>
      <c r="F68" s="584" t="str">
        <f>IF($S$16=1,"NT","MT")</f>
        <v>NT</v>
      </c>
      <c r="G68" s="731" t="s">
        <v>140</v>
      </c>
      <c r="H68" s="565">
        <v>0</v>
      </c>
      <c r="I68" s="811" t="s">
        <v>251</v>
      </c>
      <c r="J68" s="811"/>
      <c r="K68" s="585">
        <v>0</v>
      </c>
      <c r="M68" s="564"/>
      <c r="N68" s="816" t="s">
        <v>268</v>
      </c>
      <c r="O68" s="816"/>
      <c r="P68" s="586" t="str">
        <f>IF(K68=0,"-",INDEX('data roosters'!F:J,MATCH(N68,'data roosters'!F:F,0),2)*(K68/1000))</f>
        <v>-</v>
      </c>
      <c r="Q68" s="525" t="str">
        <f t="shared" ref="Q68:Q71" si="9">IF(AND($S$16=1,$S$17=2),IF(OR(E68&lt;&gt;0,H68&lt;&gt;0,P68&lt;&gt;"-"),"","verbergen"),IF(OR(E68&lt;&gt;0,H68&lt;&gt;0),"","verbergen"))</f>
        <v>verbergen</v>
      </c>
      <c r="R68" s="588"/>
      <c r="S68" s="529"/>
      <c r="T68" s="516"/>
      <c r="U68" s="516"/>
      <c r="V68" s="507">
        <v>1</v>
      </c>
      <c r="W68" s="516"/>
      <c r="X68" s="516"/>
      <c r="Y68" s="516"/>
      <c r="Z68" s="516"/>
      <c r="AB68" s="516"/>
      <c r="AC68" s="516"/>
      <c r="AD68" s="516"/>
      <c r="AE68" s="516"/>
      <c r="AF68" s="515" t="str">
        <f>IF(E68&gt;0,"x","")</f>
        <v/>
      </c>
      <c r="AG68" s="516"/>
      <c r="AH68" s="516"/>
      <c r="AJ68" s="815"/>
      <c r="AK68" s="815"/>
      <c r="AL68" s="815"/>
    </row>
    <row r="69" spans="1:38" s="541" customFormat="1" ht="12" customHeight="1">
      <c r="B69" s="515"/>
      <c r="C69" s="464" t="s">
        <v>252</v>
      </c>
      <c r="D69" s="733">
        <f>IF(F69="intern","",SUMPRODUCT(($AE$1:$AE$28039)*($L$1:$L$28039=C69)))</f>
        <v>0</v>
      </c>
      <c r="E69" s="566">
        <f>IF(F69="intern","",IF(D69=0,0,(IF(verzamelblad!$K$7*D69&gt;verzamelblad!$P$7,CEILING(verzamelblad!$K$7*D69,0.1),verzamelblad!$P$7))))</f>
        <v>0</v>
      </c>
      <c r="F69" s="584" t="str">
        <f>IF($S$16=1,"NT","MT")</f>
        <v>NT</v>
      </c>
      <c r="G69" s="731" t="s">
        <v>140</v>
      </c>
      <c r="H69" s="565">
        <v>0</v>
      </c>
      <c r="I69" s="811" t="s">
        <v>251</v>
      </c>
      <c r="J69" s="811"/>
      <c r="K69" s="585">
        <v>0</v>
      </c>
      <c r="L69" s="564" t="str">
        <f>IF(AND(S$16=1,S$17=2),"",IF(S$16=2,"",IF(K69=0,"",H69/(K69/1000))))</f>
        <v/>
      </c>
      <c r="M69" s="564"/>
      <c r="N69" s="816" t="s">
        <v>268</v>
      </c>
      <c r="O69" s="816"/>
      <c r="P69" s="586" t="str">
        <f>IF(K69=0,"-",INDEX('data roosters'!F:J,MATCH(N69,'data roosters'!F:F,0),2)*(K69/1000))</f>
        <v>-</v>
      </c>
      <c r="Q69" s="525" t="str">
        <f t="shared" si="9"/>
        <v>verbergen</v>
      </c>
      <c r="R69" s="589"/>
      <c r="S69" s="529"/>
      <c r="T69" s="516"/>
      <c r="U69" s="516"/>
      <c r="V69" s="507">
        <v>1</v>
      </c>
      <c r="W69" s="516"/>
      <c r="X69" s="516"/>
      <c r="Y69" s="516"/>
      <c r="Z69" s="516"/>
      <c r="AB69" s="516"/>
      <c r="AC69" s="516"/>
      <c r="AD69" s="516"/>
      <c r="AE69" s="516"/>
      <c r="AF69" s="515" t="str">
        <f>IF(E69&gt;0,"x","")</f>
        <v/>
      </c>
      <c r="AG69" s="516"/>
      <c r="AH69" s="516"/>
      <c r="AJ69" s="815"/>
      <c r="AK69" s="815"/>
      <c r="AL69" s="815"/>
    </row>
    <row r="70" spans="1:38" s="541" customFormat="1" ht="12" customHeight="1">
      <c r="B70" s="515"/>
      <c r="C70" s="464" t="s">
        <v>252</v>
      </c>
      <c r="D70" s="733">
        <f>IF(F70="intern","",SUMPRODUCT(($AE$1:$AE$28039)*($L$1:$L$28039=C70)))</f>
        <v>0</v>
      </c>
      <c r="E70" s="566">
        <f>IF(F70="intern","",IF(D70=0,0,(IF(verzamelblad!$K$7*D70&gt;verzamelblad!$P$7,CEILING(verzamelblad!$K$7*D70,0.1),verzamelblad!$P$7))))</f>
        <v>0</v>
      </c>
      <c r="F70" s="584" t="str">
        <f>IF($S$16=1,"NT","MT")</f>
        <v>NT</v>
      </c>
      <c r="G70" s="731" t="s">
        <v>140</v>
      </c>
      <c r="H70" s="565">
        <v>0</v>
      </c>
      <c r="I70" s="811" t="s">
        <v>251</v>
      </c>
      <c r="J70" s="811"/>
      <c r="K70" s="585">
        <v>0</v>
      </c>
      <c r="L70" s="564" t="str">
        <f>IF(AND(S$16=1,S$17=2),"",IF(S$16=2,"",IF(K70=0,"",H70/(K70/1000))))</f>
        <v/>
      </c>
      <c r="M70" s="564"/>
      <c r="N70" s="816" t="s">
        <v>268</v>
      </c>
      <c r="O70" s="816"/>
      <c r="P70" s="586" t="str">
        <f>IF(K70=0,"-",INDEX('data roosters'!F:J,MATCH(N70,'data roosters'!F:F,0),2)*(K70/1000))</f>
        <v>-</v>
      </c>
      <c r="Q70" s="525" t="str">
        <f t="shared" si="9"/>
        <v>verbergen</v>
      </c>
      <c r="R70" s="589"/>
      <c r="S70" s="529"/>
      <c r="T70" s="516"/>
      <c r="U70" s="516"/>
      <c r="V70" s="507">
        <v>1</v>
      </c>
      <c r="W70" s="516"/>
      <c r="X70" s="516"/>
      <c r="Y70" s="516"/>
      <c r="Z70" s="516"/>
      <c r="AB70" s="516"/>
      <c r="AC70" s="516"/>
      <c r="AD70" s="516"/>
      <c r="AE70" s="516"/>
      <c r="AF70" s="515" t="str">
        <f>IF(E70&gt;0,"x","")</f>
        <v/>
      </c>
      <c r="AG70" s="516"/>
      <c r="AH70" s="516"/>
      <c r="AJ70" s="815"/>
      <c r="AK70" s="815"/>
      <c r="AL70" s="815"/>
    </row>
    <row r="71" spans="1:38" s="541" customFormat="1" ht="12" customHeight="1">
      <c r="B71" s="515"/>
      <c r="C71" s="464" t="s">
        <v>252</v>
      </c>
      <c r="D71" s="733">
        <f>IF(F71="intern","",SUMPRODUCT(($AE$1:$AE$28039)*($L$1:$L$28039=C71)))</f>
        <v>0</v>
      </c>
      <c r="E71" s="566">
        <f>IF(F71="intern","",IF(D71=0,0,(IF(verzamelblad!$K$7*D71&gt;verzamelblad!$P$7,CEILING(verzamelblad!$K$7*D71,0.1),verzamelblad!$P$7))))</f>
        <v>0</v>
      </c>
      <c r="F71" s="584" t="str">
        <f>IF($S$16=1,"NT","MT")</f>
        <v>NT</v>
      </c>
      <c r="G71" s="731" t="s">
        <v>140</v>
      </c>
      <c r="H71" s="565">
        <v>0</v>
      </c>
      <c r="I71" s="811" t="s">
        <v>251</v>
      </c>
      <c r="J71" s="811"/>
      <c r="K71" s="585">
        <v>0</v>
      </c>
      <c r="L71" s="564"/>
      <c r="M71" s="564"/>
      <c r="N71" s="816" t="s">
        <v>268</v>
      </c>
      <c r="O71" s="816"/>
      <c r="P71" s="586" t="str">
        <f>IF(K71=0,"-",INDEX('data roosters'!F:J,MATCH(N71,'data roosters'!F:F,0),2)*(K71/1000))</f>
        <v>-</v>
      </c>
      <c r="Q71" s="525" t="str">
        <f t="shared" si="9"/>
        <v>verbergen</v>
      </c>
      <c r="R71" s="589"/>
      <c r="S71" s="529"/>
      <c r="T71" s="516"/>
      <c r="U71" s="516"/>
      <c r="V71" s="507">
        <v>1</v>
      </c>
      <c r="W71" s="516"/>
      <c r="X71" s="516"/>
      <c r="Y71" s="516"/>
      <c r="Z71" s="516"/>
      <c r="AB71" s="516"/>
      <c r="AC71" s="516"/>
      <c r="AD71" s="516"/>
      <c r="AE71" s="516"/>
      <c r="AF71" s="515" t="str">
        <f>IF(E71&gt;0,"x","")</f>
        <v/>
      </c>
      <c r="AG71" s="516"/>
      <c r="AH71" s="516"/>
      <c r="AJ71" s="815"/>
      <c r="AK71" s="815"/>
      <c r="AL71" s="815"/>
    </row>
    <row r="72" spans="1:38" s="541" customFormat="1" ht="12" customHeight="1">
      <c r="B72" s="590">
        <v>1</v>
      </c>
      <c r="C72" s="480">
        <f>B72</f>
        <v>1</v>
      </c>
      <c r="D72" s="481">
        <f>SUMPRODUCT(($AD$1:$AD$49995)*($AC$1:$AC$49995=B72))</f>
        <v>0</v>
      </c>
      <c r="E72" s="591">
        <f>IF(D72=0,0,(IF(verzamelblad!$E$7*D72&gt;verzamelblad!$J$7,CEILING(verzamelblad!$E$7*D72,0.1),verzamelblad!$J$7)))</f>
        <v>0</v>
      </c>
      <c r="F72" s="820" t="str">
        <f>IF(SUM(H67:H71)&lt;E72,"voldoet niet op VG-niveau","totaal: "&amp;SUM(H67:H71) &amp; " dm³/s ")</f>
        <v xml:space="preserve">totaal: 0 dm³/s </v>
      </c>
      <c r="G72" s="820"/>
      <c r="H72" s="820"/>
      <c r="I72" s="592"/>
      <c r="J72" s="593"/>
      <c r="K72" s="594"/>
      <c r="L72" s="595"/>
      <c r="M72" s="821"/>
      <c r="N72" s="821"/>
      <c r="O72" s="596"/>
      <c r="P72" s="597"/>
      <c r="Q72" s="459"/>
      <c r="R72" s="589"/>
      <c r="S72" s="529"/>
      <c r="T72" s="516"/>
      <c r="U72" s="516"/>
      <c r="V72" s="547">
        <v>1</v>
      </c>
      <c r="W72" s="516"/>
      <c r="X72" s="516"/>
      <c r="Y72" s="516"/>
      <c r="Z72" s="516"/>
      <c r="AB72" s="516"/>
      <c r="AC72" s="516"/>
      <c r="AD72" s="516"/>
      <c r="AE72" s="516"/>
      <c r="AF72" s="515" t="str">
        <f>IF(B72&gt;0,"ja")</f>
        <v>ja</v>
      </c>
      <c r="AG72" s="516"/>
      <c r="AH72" s="516"/>
    </row>
    <row r="73" spans="1:38" s="541" customFormat="1" ht="12" customHeight="1">
      <c r="B73" s="515"/>
      <c r="C73" s="598"/>
      <c r="D73" s="422"/>
      <c r="E73" s="422"/>
      <c r="F73" s="422"/>
      <c r="G73" s="422"/>
      <c r="H73" s="599"/>
      <c r="I73" s="599"/>
      <c r="J73" s="530"/>
      <c r="K73" s="600"/>
      <c r="L73" s="600"/>
      <c r="M73" s="600"/>
      <c r="N73" s="600"/>
      <c r="O73" s="600"/>
      <c r="P73" s="600"/>
      <c r="Q73" s="459"/>
      <c r="R73" s="589"/>
      <c r="S73" s="529"/>
      <c r="T73" s="516"/>
      <c r="U73" s="516"/>
      <c r="V73" s="507">
        <v>1</v>
      </c>
      <c r="W73" s="516"/>
      <c r="X73" s="516"/>
      <c r="Y73" s="516"/>
      <c r="Z73" s="516"/>
      <c r="AB73" s="516"/>
      <c r="AC73" s="516"/>
      <c r="AD73" s="516"/>
      <c r="AE73" s="516"/>
      <c r="AF73" s="515"/>
      <c r="AG73" s="516"/>
      <c r="AH73" s="516"/>
    </row>
    <row r="74" spans="1:38" s="541" customFormat="1" ht="12" customHeight="1">
      <c r="A74" s="404"/>
      <c r="B74" s="543"/>
      <c r="C74" s="464" t="s">
        <v>252</v>
      </c>
      <c r="D74" s="733">
        <f>IF(F74="intern","",SUMPRODUCT(($AE$1:$AE$28039)*($L$1:$L$28039=C74)))</f>
        <v>0</v>
      </c>
      <c r="E74" s="566">
        <f>IF(F74="intern","",IF(D74=0,0,(IF(verzamelblad!$K$7*D74&gt;verzamelblad!$P$7,CEILING(verzamelblad!$K$7*D74,0.1),verzamelblad!$P$7))))</f>
        <v>0</v>
      </c>
      <c r="F74" s="584" t="str">
        <f>IF($S$16=1,"NT","MT")</f>
        <v>NT</v>
      </c>
      <c r="G74" s="731" t="s">
        <v>140</v>
      </c>
      <c r="H74" s="565">
        <v>0</v>
      </c>
      <c r="I74" s="811" t="s">
        <v>251</v>
      </c>
      <c r="J74" s="811"/>
      <c r="K74" s="585">
        <v>0</v>
      </c>
      <c r="L74" s="819" t="str">
        <f>IF(AND(S$16=1,S$17=2),"",IF(S$16=2,"",IF(K74=0,"",H74/(K74/1000))))</f>
        <v/>
      </c>
      <c r="M74" s="819"/>
      <c r="N74" s="816" t="s">
        <v>268</v>
      </c>
      <c r="O74" s="816"/>
      <c r="P74" s="586" t="str">
        <f>IF(K74=0,"-",INDEX('data roosters'!F:J,MATCH(N74,'data roosters'!F:F,0),2)*(K74/1000))</f>
        <v>-</v>
      </c>
      <c r="Q74" s="729" t="str">
        <f>IF(AND($S$16=1,$S$17=2),IF(OR(E74&lt;&gt;0,H74&lt;&gt;0,P74&lt;&gt;"-"),"","verbergen"),IF(OR(E74&lt;&gt;0,H74&lt;&gt;0),"","verbergen"))</f>
        <v>verbergen</v>
      </c>
      <c r="R74" s="601"/>
      <c r="S74" s="602"/>
      <c r="T74" s="392"/>
      <c r="U74" s="392"/>
      <c r="V74" s="547">
        <f>V73+1</f>
        <v>2</v>
      </c>
      <c r="W74" s="392"/>
      <c r="X74" s="392"/>
      <c r="Y74" s="392"/>
      <c r="Z74" s="392"/>
      <c r="AA74" s="404"/>
      <c r="AB74" s="516"/>
      <c r="AC74" s="516"/>
      <c r="AD74" s="516"/>
      <c r="AE74" s="516"/>
      <c r="AF74" s="515" t="str">
        <f>IF(E74&gt;0,"x","")</f>
        <v/>
      </c>
      <c r="AG74" s="516"/>
      <c r="AH74" s="516"/>
    </row>
    <row r="75" spans="1:38" s="541" customFormat="1" ht="12" customHeight="1">
      <c r="A75" s="404"/>
      <c r="B75" s="543"/>
      <c r="C75" s="464" t="s">
        <v>252</v>
      </c>
      <c r="D75" s="733">
        <f>IF(F75="intern","",SUMPRODUCT(($AE$1:$AE$28007)*($L$1:$L$28007=C75)))</f>
        <v>0</v>
      </c>
      <c r="E75" s="566">
        <f>IF(F75="intern","",IF(D75=0,0,(IF(verzamelblad!$K$7*D75&gt;verzamelblad!$P$7,CEILING(verzamelblad!$K$7*D75,0.1),verzamelblad!$P$7))))</f>
        <v>0</v>
      </c>
      <c r="F75" s="584" t="str">
        <f>IF($S$16=1,"NT","MT")</f>
        <v>NT</v>
      </c>
      <c r="G75" s="731" t="s">
        <v>140</v>
      </c>
      <c r="H75" s="565">
        <v>0</v>
      </c>
      <c r="I75" s="811" t="s">
        <v>251</v>
      </c>
      <c r="J75" s="811"/>
      <c r="K75" s="585">
        <v>0</v>
      </c>
      <c r="L75" s="819" t="str">
        <f>IF(AND(S$16=1,S$17=2),"",IF(S$16=2,"",IF(K75=0,"",H75/(K75/1000))))</f>
        <v/>
      </c>
      <c r="M75" s="819"/>
      <c r="N75" s="816" t="s">
        <v>268</v>
      </c>
      <c r="O75" s="816"/>
      <c r="P75" s="586" t="str">
        <f>IF(K75=0,"-",INDEX('data roosters'!F:J,MATCH(N75,'data roosters'!F:F,0),2)*(K75/1000))</f>
        <v>-</v>
      </c>
      <c r="Q75" s="729" t="str">
        <f t="shared" ref="Q75:Q78" si="10">IF(AND($S$16=1,$S$17=2),IF(OR(E75&lt;&gt;0,H75&lt;&gt;0,P75&lt;&gt;"-"),"","verbergen"),IF(OR(E75&lt;&gt;0,H75&lt;&gt;0),"","verbergen"))</f>
        <v>verbergen</v>
      </c>
      <c r="R75" s="418"/>
      <c r="S75" s="602"/>
      <c r="T75" s="392"/>
      <c r="U75" s="392"/>
      <c r="V75" s="547">
        <f t="shared" ref="V75:V80" si="11">V74</f>
        <v>2</v>
      </c>
      <c r="W75" s="392"/>
      <c r="X75" s="392"/>
      <c r="Y75" s="392"/>
      <c r="Z75" s="392"/>
      <c r="AA75" s="404"/>
      <c r="AB75" s="516"/>
      <c r="AC75" s="516"/>
      <c r="AD75" s="516"/>
      <c r="AE75" s="516"/>
      <c r="AF75" s="515" t="str">
        <f>IF(E75&gt;0,"x","")</f>
        <v/>
      </c>
      <c r="AG75" s="516"/>
      <c r="AH75" s="516"/>
    </row>
    <row r="76" spans="1:38" s="541" customFormat="1" ht="12" customHeight="1">
      <c r="A76" s="404"/>
      <c r="B76" s="543"/>
      <c r="C76" s="464" t="s">
        <v>252</v>
      </c>
      <c r="D76" s="733">
        <f>IF(F76="intern","",SUMPRODUCT(($AE$1:$AE$28039)*($L$1:$L$28039=C76)))</f>
        <v>0</v>
      </c>
      <c r="E76" s="566">
        <f>IF(F76="intern","",IF(D76=0,0,(IF(verzamelblad!$K$7*D76&gt;verzamelblad!$P$7,CEILING(verzamelblad!$K$7*D76,0.1),verzamelblad!$P$7))))</f>
        <v>0</v>
      </c>
      <c r="F76" s="584" t="str">
        <f>IF($S$16=1,"NT","MT")</f>
        <v>NT</v>
      </c>
      <c r="G76" s="731" t="s">
        <v>140</v>
      </c>
      <c r="H76" s="565">
        <v>0</v>
      </c>
      <c r="I76" s="811" t="s">
        <v>251</v>
      </c>
      <c r="J76" s="811"/>
      <c r="K76" s="585">
        <v>0</v>
      </c>
      <c r="L76" s="819" t="str">
        <f>IF(AND(S$16=1,S$17=2),"",IF(S$16=2,"",IF(K76=0,"",H76/(K76/1000))))</f>
        <v/>
      </c>
      <c r="M76" s="819"/>
      <c r="N76" s="816" t="s">
        <v>268</v>
      </c>
      <c r="O76" s="816"/>
      <c r="P76" s="586" t="str">
        <f>IF(K76=0,"-",INDEX('data roosters'!F:J,MATCH(N76,'data roosters'!F:F,0),2)*(K76/1000))</f>
        <v>-</v>
      </c>
      <c r="Q76" s="729" t="str">
        <f t="shared" si="10"/>
        <v>verbergen</v>
      </c>
      <c r="R76" s="603"/>
      <c r="S76" s="602"/>
      <c r="T76" s="392"/>
      <c r="U76" s="392"/>
      <c r="V76" s="547">
        <f t="shared" si="11"/>
        <v>2</v>
      </c>
      <c r="W76" s="392"/>
      <c r="X76" s="392"/>
      <c r="Y76" s="392"/>
      <c r="Z76" s="392"/>
      <c r="AA76" s="404"/>
      <c r="AB76" s="516"/>
      <c r="AC76" s="516"/>
      <c r="AD76" s="516"/>
      <c r="AE76" s="516"/>
      <c r="AF76" s="515" t="str">
        <f>IF(E76&gt;0,"x","")</f>
        <v/>
      </c>
      <c r="AG76" s="516"/>
      <c r="AH76" s="516"/>
    </row>
    <row r="77" spans="1:38" s="541" customFormat="1" ht="12" customHeight="1">
      <c r="A77" s="404"/>
      <c r="B77" s="543"/>
      <c r="C77" s="464" t="s">
        <v>252</v>
      </c>
      <c r="D77" s="733">
        <f>IF(F77="intern","",SUMPRODUCT(($AE$1:$AE$28007)*($L$1:$L$28007=C77)))</f>
        <v>0</v>
      </c>
      <c r="E77" s="566">
        <f>IF(F77="intern","",IF(D77=0,0,(IF(verzamelblad!$K$7*D77&gt;verzamelblad!$P$7,CEILING(verzamelblad!$K$7*D77,0.1),verzamelblad!$P$7))))</f>
        <v>0</v>
      </c>
      <c r="F77" s="584" t="str">
        <f>IF($S$16=1,"NT","MT")</f>
        <v>NT</v>
      </c>
      <c r="G77" s="731" t="s">
        <v>140</v>
      </c>
      <c r="H77" s="565">
        <v>0</v>
      </c>
      <c r="I77" s="811" t="s">
        <v>251</v>
      </c>
      <c r="J77" s="811"/>
      <c r="K77" s="585">
        <v>0</v>
      </c>
      <c r="L77" s="819" t="str">
        <f>IF(AND(S$16=1,S$17=2),"",IF(S$16=2,"",IF(K77=0,"",H77/(K77/1000))))</f>
        <v/>
      </c>
      <c r="M77" s="819"/>
      <c r="N77" s="816" t="s">
        <v>268</v>
      </c>
      <c r="O77" s="816"/>
      <c r="P77" s="586" t="str">
        <f>IF(K77=0,"-",INDEX('data roosters'!F:J,MATCH(N77,'data roosters'!F:F,0),2)*(K77/1000))</f>
        <v>-</v>
      </c>
      <c r="Q77" s="729" t="str">
        <f t="shared" si="10"/>
        <v>verbergen</v>
      </c>
      <c r="R77" s="603"/>
      <c r="S77" s="602"/>
      <c r="T77" s="392"/>
      <c r="U77" s="392"/>
      <c r="V77" s="547">
        <f t="shared" si="11"/>
        <v>2</v>
      </c>
      <c r="W77" s="392"/>
      <c r="X77" s="392"/>
      <c r="Y77" s="392"/>
      <c r="Z77" s="392"/>
      <c r="AA77" s="404"/>
      <c r="AB77" s="516"/>
      <c r="AC77" s="516"/>
      <c r="AD77" s="516"/>
      <c r="AE77" s="516"/>
      <c r="AF77" s="515" t="str">
        <f>IF(E77&gt;0,"x","")</f>
        <v/>
      </c>
      <c r="AG77" s="516"/>
      <c r="AH77" s="516"/>
    </row>
    <row r="78" spans="1:38" s="541" customFormat="1" ht="12" customHeight="1">
      <c r="A78" s="404"/>
      <c r="B78" s="543"/>
      <c r="C78" s="464" t="s">
        <v>252</v>
      </c>
      <c r="D78" s="737">
        <f>IF(F78="intern","",SUMPRODUCT(($AE$1:$AE$28007)*($L$1:$L$28007=C78)))</f>
        <v>0</v>
      </c>
      <c r="E78" s="604">
        <f>IF(F78="intern","",IF(D78=0,0,(IF(verzamelblad!$K$7*D78&gt;verzamelblad!$P$7,CEILING(verzamelblad!$K$7*D78,0.1),verzamelblad!$P$7))))</f>
        <v>0</v>
      </c>
      <c r="F78" s="605" t="str">
        <f>IF($S$16=1,"NT","MT")</f>
        <v>NT</v>
      </c>
      <c r="G78" s="606" t="s">
        <v>140</v>
      </c>
      <c r="H78" s="607">
        <v>0</v>
      </c>
      <c r="I78" s="812" t="s">
        <v>251</v>
      </c>
      <c r="J78" s="812"/>
      <c r="K78" s="608">
        <v>0</v>
      </c>
      <c r="L78" s="822" t="str">
        <f>IF(AND(S$16=1,S$17=2),"",IF(S$16=2,"",IF(K78=0,"",H78/(K78/1000))))</f>
        <v/>
      </c>
      <c r="M78" s="822"/>
      <c r="N78" s="823" t="s">
        <v>268</v>
      </c>
      <c r="O78" s="823"/>
      <c r="P78" s="609" t="str">
        <f>IF(K78=0,"-",INDEX('data roosters'!F:J,MATCH(N78,'data roosters'!F:F,0),2)*(K78/1000))</f>
        <v>-</v>
      </c>
      <c r="Q78" s="729" t="str">
        <f t="shared" si="10"/>
        <v>verbergen</v>
      </c>
      <c r="R78" s="603"/>
      <c r="S78" s="602"/>
      <c r="T78" s="392"/>
      <c r="U78" s="392"/>
      <c r="V78" s="547">
        <f t="shared" si="11"/>
        <v>2</v>
      </c>
      <c r="W78" s="392"/>
      <c r="X78" s="392"/>
      <c r="Y78" s="392"/>
      <c r="Z78" s="392"/>
      <c r="AA78" s="404"/>
      <c r="AB78" s="516"/>
      <c r="AC78" s="516"/>
      <c r="AD78" s="516"/>
      <c r="AE78" s="516"/>
      <c r="AF78" s="515" t="str">
        <f>IF(E78&gt;0,"x","")</f>
        <v/>
      </c>
      <c r="AG78" s="516"/>
      <c r="AH78" s="516"/>
    </row>
    <row r="79" spans="1:38" s="541" customFormat="1" ht="12" customHeight="1">
      <c r="A79" s="404"/>
      <c r="B79" s="556">
        <f>B72+1</f>
        <v>2</v>
      </c>
      <c r="C79" s="480">
        <f>B79</f>
        <v>2</v>
      </c>
      <c r="D79" s="481">
        <f>SUMPRODUCT(($AD$1:$AD$50049)*($AC$1:$AC$50049=B79))</f>
        <v>0</v>
      </c>
      <c r="E79" s="591">
        <f>IF(D79=0,0,(IF(verzamelblad!$E$7*D79&gt;verzamelblad!$J$7,CEILING(verzamelblad!$E$7*D79,0.1),verzamelblad!$J$7)))</f>
        <v>0</v>
      </c>
      <c r="F79" s="824" t="str">
        <f>IF(SUM(H74:H78)&lt;E79,"voldoet niet op VG-niveau","totaal: "&amp;SUM(H74:H78) &amp; " dm³/s ")</f>
        <v xml:space="preserve">totaal: 0 dm³/s </v>
      </c>
      <c r="G79" s="824"/>
      <c r="H79" s="824"/>
      <c r="I79" s="592"/>
      <c r="J79" s="593"/>
      <c r="K79" s="594"/>
      <c r="L79" s="595"/>
      <c r="M79" s="821"/>
      <c r="N79" s="821"/>
      <c r="O79" s="596"/>
      <c r="P79" s="597"/>
      <c r="Q79" s="403"/>
      <c r="R79" s="603"/>
      <c r="S79" s="602"/>
      <c r="T79" s="392"/>
      <c r="U79" s="392"/>
      <c r="V79" s="547">
        <f t="shared" si="11"/>
        <v>2</v>
      </c>
      <c r="W79" s="392"/>
      <c r="X79" s="392"/>
      <c r="Y79" s="392"/>
      <c r="Z79" s="392"/>
      <c r="AA79" s="404"/>
      <c r="AB79" s="516"/>
      <c r="AC79" s="516"/>
      <c r="AD79" s="516"/>
      <c r="AE79" s="516"/>
      <c r="AF79" s="515" t="str">
        <f>IF(B79&gt;0,"ja")</f>
        <v>ja</v>
      </c>
      <c r="AG79" s="516"/>
      <c r="AH79" s="516"/>
    </row>
    <row r="80" spans="1:38" s="541" customFormat="1" ht="12" customHeight="1">
      <c r="A80" s="543"/>
      <c r="B80" s="543"/>
      <c r="C80" s="598"/>
      <c r="D80" s="422"/>
      <c r="E80" s="422"/>
      <c r="F80" s="422"/>
      <c r="G80" s="422"/>
      <c r="H80" s="599"/>
      <c r="I80" s="599"/>
      <c r="J80" s="530"/>
      <c r="K80" s="600"/>
      <c r="L80" s="600"/>
      <c r="M80" s="600"/>
      <c r="N80" s="600"/>
      <c r="O80" s="600"/>
      <c r="P80" s="600"/>
      <c r="Q80" s="403"/>
      <c r="R80" s="603"/>
      <c r="S80" s="602"/>
      <c r="T80" s="392"/>
      <c r="U80" s="392"/>
      <c r="V80" s="547">
        <f t="shared" si="11"/>
        <v>2</v>
      </c>
      <c r="W80" s="392"/>
      <c r="X80" s="392"/>
      <c r="Y80" s="392"/>
      <c r="Z80" s="392"/>
      <c r="AA80" s="404"/>
      <c r="AB80" s="516"/>
      <c r="AC80" s="516"/>
      <c r="AD80" s="516"/>
      <c r="AE80" s="516"/>
      <c r="AF80" s="516"/>
      <c r="AG80" s="516"/>
      <c r="AH80" s="516"/>
    </row>
    <row r="81" spans="1:34" s="541" customFormat="1" ht="12" customHeight="1">
      <c r="A81" s="515"/>
      <c r="B81" s="515"/>
      <c r="C81" s="610" t="s">
        <v>745</v>
      </c>
      <c r="D81" s="422"/>
      <c r="E81" s="611" t="str">
        <f>IF(SUM(H81:H85)=0,"n.v.t.","")</f>
        <v>n.v.t.</v>
      </c>
      <c r="F81" s="422"/>
      <c r="G81" s="422"/>
      <c r="H81" s="599"/>
      <c r="I81" s="599"/>
      <c r="J81" s="530"/>
      <c r="K81" s="600"/>
      <c r="L81" s="600"/>
      <c r="M81" s="600"/>
      <c r="N81" s="600"/>
      <c r="O81" s="600"/>
      <c r="P81" s="600"/>
      <c r="Q81" s="459"/>
      <c r="R81" s="589"/>
      <c r="S81" s="529"/>
      <c r="T81" s="516"/>
      <c r="U81" s="516"/>
      <c r="V81" s="507"/>
      <c r="W81" s="516"/>
      <c r="X81" s="516"/>
      <c r="Y81" s="516"/>
      <c r="Z81" s="516"/>
      <c r="AB81" s="516"/>
      <c r="AC81" s="516"/>
      <c r="AD81" s="516"/>
      <c r="AE81" s="516"/>
      <c r="AF81" s="516"/>
      <c r="AG81" s="516"/>
      <c r="AH81" s="516"/>
    </row>
    <row r="82" spans="1:34" s="541" customFormat="1" ht="12" customHeight="1">
      <c r="B82" s="515"/>
      <c r="C82" s="464" t="s">
        <v>140</v>
      </c>
      <c r="D82" s="733"/>
      <c r="E82" s="566"/>
      <c r="F82" s="584" t="str">
        <f>IF($S$16=1,"NT","MT")</f>
        <v>NT</v>
      </c>
      <c r="G82" s="731" t="s">
        <v>140</v>
      </c>
      <c r="H82" s="565">
        <v>0</v>
      </c>
      <c r="I82" s="811" t="s">
        <v>251</v>
      </c>
      <c r="J82" s="811"/>
      <c r="K82" s="585">
        <v>0</v>
      </c>
      <c r="L82" s="819" t="str">
        <f>IF(AND(S$16=1,S$17=2),"",IF(S$16=2,"",IF(K82=0,"",H82/(K82/1000))))</f>
        <v/>
      </c>
      <c r="M82" s="819"/>
      <c r="N82" s="816" t="s">
        <v>268</v>
      </c>
      <c r="O82" s="816"/>
      <c r="P82" s="586" t="str">
        <f>IF(K82=0,"-",INDEX('data roosters'!F:J,MATCH(N82,'data roosters'!F:F,0),2)*(K82/1000))</f>
        <v>-</v>
      </c>
      <c r="Q82" s="525" t="str">
        <f>IF(AND($S$16=1,$S$17=2),IF(OR(H82&lt;&gt;0,P82&lt;&gt;"-"),"","verbergen"),IF(H82&lt;&gt;0,"","verbergen"))</f>
        <v>verbergen</v>
      </c>
      <c r="R82" s="612"/>
      <c r="S82" s="529"/>
      <c r="T82" s="516"/>
      <c r="U82" s="516"/>
      <c r="V82" s="507"/>
      <c r="W82" s="516"/>
      <c r="X82" s="516"/>
      <c r="Y82" s="516"/>
      <c r="Z82" s="516"/>
      <c r="AB82" s="516"/>
      <c r="AC82" s="516"/>
      <c r="AD82" s="516"/>
      <c r="AE82" s="516"/>
      <c r="AF82" s="515"/>
      <c r="AG82" s="516"/>
      <c r="AH82" s="516"/>
    </row>
    <row r="83" spans="1:34" s="541" customFormat="1" ht="12" customHeight="1">
      <c r="B83" s="515"/>
      <c r="C83" s="464" t="s">
        <v>140</v>
      </c>
      <c r="D83" s="733"/>
      <c r="E83" s="566"/>
      <c r="F83" s="584" t="str">
        <f>IF($S$16=1,"NT","MT")</f>
        <v>NT</v>
      </c>
      <c r="G83" s="731" t="s">
        <v>140</v>
      </c>
      <c r="H83" s="565">
        <v>0</v>
      </c>
      <c r="I83" s="811" t="s">
        <v>251</v>
      </c>
      <c r="J83" s="811"/>
      <c r="K83" s="585">
        <v>0</v>
      </c>
      <c r="L83" s="819" t="str">
        <f>IF(AND(S$16=1,S$17=2),"",IF(S$16=2,"",IF(K83=0,"",H83/(K83/1000))))</f>
        <v/>
      </c>
      <c r="M83" s="819"/>
      <c r="N83" s="816" t="s">
        <v>268</v>
      </c>
      <c r="O83" s="816"/>
      <c r="P83" s="586" t="str">
        <f>IF(K83=0,"-",INDEX('data roosters'!F:J,MATCH(N83,'data roosters'!F:F,0),2)*(K83/1000))</f>
        <v>-</v>
      </c>
      <c r="Q83" s="525" t="str">
        <f t="shared" ref="Q83:Q85" si="12">IF(AND($S$16=1,$S$17=2),IF(OR(H83&lt;&gt;0,P83&lt;&gt;"-"),"","verbergen"),IF(H83&lt;&gt;0,"","verbergen"))</f>
        <v>verbergen</v>
      </c>
      <c r="R83" s="589"/>
      <c r="S83" s="529"/>
      <c r="T83" s="516"/>
      <c r="U83" s="516"/>
      <c r="V83" s="507"/>
      <c r="W83" s="516"/>
      <c r="X83" s="516"/>
      <c r="Y83" s="516"/>
      <c r="Z83" s="516"/>
      <c r="AB83" s="516"/>
      <c r="AC83" s="516"/>
      <c r="AD83" s="516"/>
      <c r="AE83" s="516"/>
      <c r="AF83" s="515"/>
      <c r="AG83" s="516"/>
      <c r="AH83" s="516"/>
    </row>
    <row r="84" spans="1:34" s="541" customFormat="1" ht="12" customHeight="1">
      <c r="B84" s="515"/>
      <c r="C84" s="464" t="s">
        <v>140</v>
      </c>
      <c r="D84" s="733"/>
      <c r="E84" s="566"/>
      <c r="F84" s="584" t="str">
        <f>IF($S$16=1,"NT","MT")</f>
        <v>NT</v>
      </c>
      <c r="G84" s="731" t="s">
        <v>140</v>
      </c>
      <c r="H84" s="565">
        <v>0</v>
      </c>
      <c r="I84" s="811" t="s">
        <v>251</v>
      </c>
      <c r="J84" s="811"/>
      <c r="K84" s="585">
        <v>0</v>
      </c>
      <c r="L84" s="819" t="str">
        <f>IF(AND(S$16=1,S$17=2),"",IF(S$16=2,"",IF(K84=0,"",H84/(K84/1000))))</f>
        <v/>
      </c>
      <c r="M84" s="819"/>
      <c r="N84" s="816" t="s">
        <v>268</v>
      </c>
      <c r="O84" s="816"/>
      <c r="P84" s="586" t="str">
        <f>IF(K84=0,"-",INDEX('data roosters'!F:J,MATCH(N84,'data roosters'!F:F,0),2)*(K84/1000))</f>
        <v>-</v>
      </c>
      <c r="Q84" s="525" t="str">
        <f t="shared" si="12"/>
        <v>verbergen</v>
      </c>
      <c r="R84" s="589"/>
      <c r="S84" s="529"/>
      <c r="T84" s="516"/>
      <c r="U84" s="516"/>
      <c r="V84" s="507"/>
      <c r="W84" s="516"/>
      <c r="X84" s="516"/>
      <c r="Y84" s="516"/>
      <c r="Z84" s="516"/>
      <c r="AB84" s="516"/>
      <c r="AC84" s="516"/>
      <c r="AD84" s="516"/>
      <c r="AE84" s="516"/>
      <c r="AF84" s="515"/>
      <c r="AG84" s="516"/>
      <c r="AH84" s="516"/>
    </row>
    <row r="85" spans="1:34" s="541" customFormat="1" ht="12" customHeight="1">
      <c r="B85" s="515"/>
      <c r="C85" s="464" t="s">
        <v>140</v>
      </c>
      <c r="D85" s="733"/>
      <c r="E85" s="566"/>
      <c r="F85" s="584" t="str">
        <f>IF($S$16=1,"NT","MT")</f>
        <v>NT</v>
      </c>
      <c r="G85" s="731" t="s">
        <v>140</v>
      </c>
      <c r="H85" s="565">
        <v>0</v>
      </c>
      <c r="I85" s="811" t="s">
        <v>251</v>
      </c>
      <c r="J85" s="811"/>
      <c r="K85" s="585">
        <v>0</v>
      </c>
      <c r="L85" s="819" t="str">
        <f>IF(AND(S$16=1,S$17=2),"",IF(S$16=2,"",IF(K85=0,"",H85/(K85/1000))))</f>
        <v/>
      </c>
      <c r="M85" s="819"/>
      <c r="N85" s="816" t="s">
        <v>268</v>
      </c>
      <c r="O85" s="816"/>
      <c r="P85" s="586" t="str">
        <f>IF(K85=0,"-",INDEX('data roosters'!F:J,MATCH(N85,'data roosters'!F:F,0),2)*(K85/1000))</f>
        <v>-</v>
      </c>
      <c r="Q85" s="525" t="str">
        <f t="shared" si="12"/>
        <v>verbergen</v>
      </c>
      <c r="R85" s="589"/>
      <c r="S85" s="529"/>
      <c r="T85" s="516"/>
      <c r="U85" s="516"/>
      <c r="V85" s="507"/>
      <c r="W85" s="516"/>
      <c r="X85" s="516"/>
      <c r="Y85" s="516"/>
      <c r="Z85" s="516"/>
      <c r="AB85" s="516"/>
      <c r="AC85" s="516"/>
      <c r="AD85" s="516"/>
      <c r="AE85" s="516"/>
      <c r="AF85" s="515"/>
      <c r="AG85" s="516"/>
      <c r="AH85" s="516"/>
    </row>
    <row r="86" spans="1:34" s="541" customFormat="1" ht="12" customHeight="1">
      <c r="B86" s="590"/>
      <c r="C86" s="610"/>
      <c r="D86" s="733"/>
      <c r="E86" s="566"/>
      <c r="F86" s="825"/>
      <c r="G86" s="825"/>
      <c r="H86" s="825"/>
      <c r="I86" s="404"/>
      <c r="J86" s="613"/>
      <c r="K86" s="422"/>
      <c r="L86" s="614"/>
      <c r="M86" s="826"/>
      <c r="N86" s="826"/>
      <c r="O86" s="565"/>
      <c r="P86" s="615"/>
      <c r="Q86" s="459"/>
      <c r="R86" s="589"/>
      <c r="S86" s="529"/>
      <c r="T86" s="516"/>
      <c r="U86" s="516"/>
      <c r="V86" s="547"/>
      <c r="W86" s="516"/>
      <c r="X86" s="516"/>
      <c r="Y86" s="516"/>
      <c r="Z86" s="516"/>
      <c r="AB86" s="516"/>
      <c r="AC86" s="516"/>
      <c r="AD86" s="516"/>
      <c r="AE86" s="516"/>
      <c r="AF86" s="515"/>
      <c r="AG86" s="516"/>
      <c r="AH86" s="516"/>
    </row>
    <row r="87" spans="1:34" s="518" customFormat="1" ht="15" customHeight="1">
      <c r="A87" s="515"/>
      <c r="B87" s="515"/>
      <c r="C87" s="457" t="s">
        <v>1086</v>
      </c>
      <c r="D87" s="575"/>
      <c r="E87" s="575"/>
      <c r="F87" s="575"/>
      <c r="G87" s="575"/>
      <c r="H87" s="575"/>
      <c r="I87" s="575"/>
      <c r="J87" s="575"/>
      <c r="K87" s="575"/>
      <c r="L87" s="575"/>
      <c r="M87" s="575"/>
      <c r="N87" s="575"/>
      <c r="O87" s="575"/>
      <c r="P87" s="575"/>
      <c r="Q87" s="516"/>
      <c r="R87" s="616"/>
      <c r="S87" s="516"/>
      <c r="T87" s="521"/>
      <c r="U87" s="516"/>
      <c r="V87" s="517"/>
      <c r="W87" s="517"/>
      <c r="X87" s="517"/>
      <c r="Y87" s="517"/>
      <c r="Z87" s="517"/>
      <c r="AA87" s="517"/>
      <c r="AB87" s="517"/>
      <c r="AC87" s="524"/>
      <c r="AD87" s="517"/>
      <c r="AE87" s="517"/>
      <c r="AF87" s="517"/>
    </row>
    <row r="88" spans="1:34" s="518" customFormat="1" ht="12.75" hidden="1" customHeight="1">
      <c r="A88" s="515"/>
      <c r="B88" s="515"/>
      <c r="C88" s="576"/>
      <c r="D88" s="576"/>
      <c r="E88" s="576"/>
      <c r="F88" s="576"/>
      <c r="G88" s="576"/>
      <c r="H88" s="577"/>
      <c r="I88" s="577"/>
      <c r="J88" s="577"/>
      <c r="K88" s="577"/>
      <c r="L88" s="577"/>
      <c r="M88" s="577"/>
      <c r="N88" s="577"/>
      <c r="O88" s="577"/>
      <c r="P88" s="577"/>
      <c r="Q88" s="522"/>
      <c r="R88" s="516"/>
      <c r="S88" s="516"/>
      <c r="T88" s="521"/>
      <c r="U88" s="516"/>
      <c r="V88" s="548"/>
      <c r="W88" s="548"/>
      <c r="X88" s="548"/>
      <c r="Y88" s="548"/>
      <c r="Z88" s="517"/>
      <c r="AA88" s="517"/>
      <c r="AB88" s="517"/>
      <c r="AC88" s="524"/>
      <c r="AD88" s="517"/>
      <c r="AE88" s="517"/>
      <c r="AF88" s="517"/>
    </row>
    <row r="89" spans="1:34" ht="15" customHeight="1">
      <c r="A89" s="492"/>
      <c r="B89" s="492"/>
      <c r="C89" s="579" t="s">
        <v>133</v>
      </c>
      <c r="D89" s="580"/>
      <c r="E89" s="580"/>
      <c r="F89" s="460" t="s">
        <v>653</v>
      </c>
      <c r="G89" s="736" t="s">
        <v>34</v>
      </c>
      <c r="H89" s="736" t="s">
        <v>1135</v>
      </c>
      <c r="I89" s="580"/>
      <c r="J89" s="580"/>
      <c r="K89" s="580"/>
      <c r="L89" s="580"/>
      <c r="M89" s="580"/>
      <c r="N89" s="580"/>
      <c r="O89" s="580"/>
      <c r="P89" s="580"/>
      <c r="Q89" s="507"/>
      <c r="R89" s="507"/>
      <c r="S89" s="507"/>
      <c r="T89" s="532"/>
      <c r="U89" s="507"/>
      <c r="V89" s="508"/>
      <c r="W89" s="508"/>
      <c r="X89" s="508"/>
      <c r="Y89" s="508"/>
      <c r="Z89" s="508"/>
      <c r="AA89" s="508"/>
      <c r="AB89" s="508"/>
      <c r="AC89" s="534"/>
      <c r="AD89" s="508"/>
      <c r="AE89" s="508"/>
      <c r="AF89" s="508"/>
    </row>
    <row r="90" spans="1:34" s="518" customFormat="1" ht="12" customHeight="1">
      <c r="A90" s="515"/>
      <c r="B90" s="515"/>
      <c r="C90" s="617" t="s">
        <v>728</v>
      </c>
      <c r="D90" s="404"/>
      <c r="E90" s="404"/>
      <c r="F90" s="618">
        <v>1</v>
      </c>
      <c r="G90" s="619">
        <f>F90*7</f>
        <v>7</v>
      </c>
      <c r="H90" s="620">
        <v>0</v>
      </c>
      <c r="I90" s="621"/>
      <c r="J90" s="622"/>
      <c r="K90" s="827"/>
      <c r="L90" s="827"/>
      <c r="M90" s="827"/>
      <c r="N90" s="827"/>
      <c r="O90" s="827"/>
      <c r="P90" s="827"/>
      <c r="Q90" s="525" t="str">
        <f t="shared" ref="Q90:Q95" si="13">IF(H90&gt;0,"","verbergen")</f>
        <v>verbergen</v>
      </c>
      <c r="R90" s="589"/>
      <c r="S90" s="529"/>
      <c r="T90" s="516"/>
      <c r="U90" s="516"/>
      <c r="V90" s="508"/>
      <c r="W90" s="517"/>
      <c r="X90" s="517"/>
      <c r="Y90" s="517"/>
      <c r="Z90" s="517"/>
      <c r="AA90" s="517"/>
      <c r="AB90" s="517"/>
      <c r="AC90" s="517"/>
      <c r="AD90" s="517"/>
      <c r="AE90" s="517"/>
      <c r="AF90" s="517"/>
      <c r="AG90" s="517"/>
      <c r="AH90" s="517"/>
    </row>
    <row r="91" spans="1:34" s="518" customFormat="1" ht="12" customHeight="1">
      <c r="A91" s="515"/>
      <c r="B91" s="590"/>
      <c r="C91" s="617" t="s">
        <v>729</v>
      </c>
      <c r="D91" s="404"/>
      <c r="E91" s="404"/>
      <c r="F91" s="618">
        <v>1</v>
      </c>
      <c r="G91" s="619">
        <f>F91*14</f>
        <v>14</v>
      </c>
      <c r="H91" s="620">
        <v>0</v>
      </c>
      <c r="I91" s="621"/>
      <c r="J91" s="622"/>
      <c r="K91" s="827"/>
      <c r="L91" s="827"/>
      <c r="M91" s="827"/>
      <c r="N91" s="827"/>
      <c r="O91" s="827"/>
      <c r="P91" s="827"/>
      <c r="Q91" s="525" t="str">
        <f t="shared" si="13"/>
        <v>verbergen</v>
      </c>
      <c r="R91" s="623"/>
      <c r="S91" s="624"/>
      <c r="T91" s="516"/>
      <c r="U91" s="516"/>
      <c r="V91" s="508"/>
      <c r="W91" s="517"/>
      <c r="X91" s="517"/>
      <c r="Y91" s="517"/>
      <c r="Z91" s="517"/>
      <c r="AA91" s="517"/>
      <c r="AB91" s="517"/>
      <c r="AC91" s="517"/>
      <c r="AD91" s="517"/>
      <c r="AE91" s="517"/>
      <c r="AF91" s="517"/>
    </row>
    <row r="92" spans="1:34" s="518" customFormat="1" ht="12" customHeight="1">
      <c r="A92" s="515"/>
      <c r="B92" s="515"/>
      <c r="C92" s="617" t="s">
        <v>727</v>
      </c>
      <c r="D92" s="404"/>
      <c r="E92" s="404"/>
      <c r="F92" s="618">
        <v>1</v>
      </c>
      <c r="G92" s="619">
        <f>F92*21</f>
        <v>21</v>
      </c>
      <c r="H92" s="620">
        <v>0</v>
      </c>
      <c r="I92" s="621"/>
      <c r="J92" s="622"/>
      <c r="K92" s="827"/>
      <c r="L92" s="827"/>
      <c r="M92" s="827"/>
      <c r="N92" s="827"/>
      <c r="O92" s="827"/>
      <c r="P92" s="827"/>
      <c r="Q92" s="525" t="str">
        <f t="shared" si="13"/>
        <v>verbergen</v>
      </c>
      <c r="R92" s="625"/>
      <c r="S92" s="624"/>
      <c r="T92" s="516"/>
      <c r="U92" s="516"/>
      <c r="V92" s="508"/>
      <c r="W92" s="517"/>
      <c r="X92" s="517"/>
      <c r="Y92" s="517"/>
      <c r="Z92" s="517"/>
      <c r="AA92" s="517"/>
      <c r="AB92" s="517"/>
      <c r="AC92" s="517"/>
      <c r="AD92" s="517"/>
      <c r="AE92" s="517"/>
      <c r="AF92" s="517"/>
    </row>
    <row r="93" spans="1:34" s="518" customFormat="1" ht="12" customHeight="1">
      <c r="A93" s="515"/>
      <c r="B93" s="515"/>
      <c r="C93" s="617" t="s">
        <v>140</v>
      </c>
      <c r="D93" s="404"/>
      <c r="E93" s="404"/>
      <c r="F93" s="626"/>
      <c r="G93" s="619" t="s">
        <v>268</v>
      </c>
      <c r="H93" s="620"/>
      <c r="I93" s="621"/>
      <c r="J93" s="622"/>
      <c r="K93" s="827"/>
      <c r="L93" s="827"/>
      <c r="M93" s="827"/>
      <c r="N93" s="827"/>
      <c r="O93" s="827"/>
      <c r="P93" s="827"/>
      <c r="Q93" s="525" t="str">
        <f t="shared" si="13"/>
        <v>verbergen</v>
      </c>
      <c r="R93" s="625"/>
      <c r="S93" s="624"/>
      <c r="T93" s="516"/>
      <c r="U93" s="516"/>
      <c r="V93" s="508"/>
      <c r="W93" s="517"/>
      <c r="X93" s="517"/>
      <c r="Y93" s="517"/>
      <c r="Z93" s="517"/>
      <c r="AA93" s="517"/>
      <c r="AB93" s="517"/>
      <c r="AC93" s="517"/>
      <c r="AD93" s="517"/>
      <c r="AE93" s="517"/>
      <c r="AF93" s="517"/>
    </row>
    <row r="94" spans="1:34" s="518" customFormat="1" ht="12" customHeight="1">
      <c r="A94" s="515"/>
      <c r="B94" s="515"/>
      <c r="C94" s="617" t="s">
        <v>140</v>
      </c>
      <c r="D94" s="404"/>
      <c r="E94" s="404"/>
      <c r="F94" s="626"/>
      <c r="G94" s="619" t="s">
        <v>268</v>
      </c>
      <c r="H94" s="620"/>
      <c r="I94" s="621"/>
      <c r="J94" s="622"/>
      <c r="K94" s="827"/>
      <c r="L94" s="827"/>
      <c r="M94" s="827"/>
      <c r="N94" s="827"/>
      <c r="O94" s="827"/>
      <c r="P94" s="827"/>
      <c r="Q94" s="525" t="str">
        <f t="shared" si="13"/>
        <v>verbergen</v>
      </c>
      <c r="R94" s="625"/>
      <c r="S94" s="624"/>
      <c r="T94" s="516"/>
      <c r="U94" s="516"/>
      <c r="V94" s="508"/>
      <c r="W94" s="517"/>
      <c r="X94" s="517"/>
      <c r="Y94" s="517"/>
      <c r="Z94" s="517"/>
      <c r="AA94" s="517"/>
      <c r="AB94" s="517"/>
      <c r="AC94" s="517"/>
      <c r="AD94" s="517"/>
      <c r="AE94" s="517"/>
      <c r="AF94" s="517"/>
    </row>
    <row r="95" spans="1:34" s="518" customFormat="1" ht="12" customHeight="1">
      <c r="A95" s="515"/>
      <c r="B95" s="515"/>
      <c r="C95" s="627" t="s">
        <v>140</v>
      </c>
      <c r="D95" s="628"/>
      <c r="E95" s="628"/>
      <c r="F95" s="629"/>
      <c r="G95" s="630" t="s">
        <v>268</v>
      </c>
      <c r="H95" s="631"/>
      <c r="I95" s="632"/>
      <c r="J95" s="633"/>
      <c r="K95" s="828"/>
      <c r="L95" s="828"/>
      <c r="M95" s="828"/>
      <c r="N95" s="828"/>
      <c r="O95" s="828"/>
      <c r="P95" s="828"/>
      <c r="Q95" s="525" t="str">
        <f t="shared" si="13"/>
        <v>verbergen</v>
      </c>
      <c r="R95" s="625"/>
      <c r="S95" s="624"/>
      <c r="T95" s="516"/>
      <c r="U95" s="516"/>
      <c r="V95" s="508"/>
      <c r="W95" s="517"/>
      <c r="X95" s="517"/>
      <c r="Y95" s="517"/>
      <c r="Z95" s="517"/>
      <c r="AA95" s="517"/>
      <c r="AB95" s="517"/>
      <c r="AC95" s="517"/>
      <c r="AD95" s="517"/>
      <c r="AE95" s="517"/>
      <c r="AF95" s="517"/>
    </row>
    <row r="96" spans="1:34" s="518" customFormat="1" ht="12" customHeight="1">
      <c r="A96" s="515"/>
      <c r="B96" s="515"/>
      <c r="C96" s="634" t="s">
        <v>16</v>
      </c>
      <c r="D96" s="592"/>
      <c r="E96" s="592"/>
      <c r="F96" s="635"/>
      <c r="G96" s="636">
        <f>SUM(G90:G95)</f>
        <v>42</v>
      </c>
      <c r="H96" s="636">
        <f>SUM(H90:H95)</f>
        <v>0</v>
      </c>
      <c r="I96" s="637"/>
      <c r="J96" s="732" t="str">
        <f>IF(M96="","","toe- en afvoer niet in balans")</f>
        <v/>
      </c>
      <c r="K96" s="638"/>
      <c r="L96" s="639"/>
      <c r="M96" s="829" t="str">
        <f>IF(SUMIF(F66:F86,R96,H66:H86)-H96-H108=0,"",SUMIF(F66:F86,R96,H66:H86)-H96-H108)</f>
        <v/>
      </c>
      <c r="N96" s="830"/>
      <c r="O96" s="830"/>
      <c r="P96" s="830"/>
      <c r="Q96" s="525"/>
      <c r="R96" s="625" t="str">
        <f>IF(OR(RIGHT(LEFT(D57,9),1)="A",RIGHT(LEFT(D57,9),1)="C"),"NT","MT")</f>
        <v>NT</v>
      </c>
      <c r="S96" s="624"/>
      <c r="T96" s="516"/>
      <c r="U96" s="516"/>
      <c r="V96" s="508"/>
      <c r="W96" s="517"/>
      <c r="X96" s="517"/>
      <c r="Y96" s="517"/>
      <c r="Z96" s="517"/>
      <c r="AA96" s="517"/>
      <c r="AB96" s="517"/>
      <c r="AC96" s="517"/>
      <c r="AD96" s="517"/>
      <c r="AE96" s="517"/>
      <c r="AF96" s="517"/>
    </row>
    <row r="97" spans="1:32" s="518" customFormat="1" ht="12" customHeight="1">
      <c r="A97" s="515"/>
      <c r="B97" s="515"/>
      <c r="C97" s="640"/>
      <c r="D97" s="831"/>
      <c r="E97" s="831"/>
      <c r="F97" s="641"/>
      <c r="G97" s="642">
        <f>G96*3.6</f>
        <v>151.20000000000002</v>
      </c>
      <c r="H97" s="642">
        <f>H96*3.6</f>
        <v>0</v>
      </c>
      <c r="I97" s="643"/>
      <c r="J97" s="404"/>
      <c r="K97" s="422"/>
      <c r="L97" s="614"/>
      <c r="M97" s="826"/>
      <c r="N97" s="826"/>
      <c r="O97" s="565"/>
      <c r="P97" s="615"/>
      <c r="Q97" s="525"/>
      <c r="R97" s="625"/>
      <c r="S97" s="624"/>
      <c r="T97" s="516"/>
      <c r="U97" s="516"/>
      <c r="V97" s="508"/>
      <c r="W97" s="517"/>
      <c r="X97" s="517"/>
      <c r="Y97" s="517"/>
      <c r="Z97" s="517"/>
      <c r="AA97" s="517"/>
      <c r="AB97" s="517"/>
      <c r="AC97" s="517"/>
      <c r="AD97" s="517"/>
      <c r="AE97" s="517"/>
      <c r="AF97" s="517"/>
    </row>
    <row r="98" spans="1:32" s="518" customFormat="1" ht="12" customHeight="1">
      <c r="A98" s="515"/>
      <c r="B98" s="515"/>
      <c r="C98" s="640"/>
      <c r="D98" s="733"/>
      <c r="E98" s="733"/>
      <c r="F98" s="641"/>
      <c r="G98" s="642"/>
      <c r="H98" s="731"/>
      <c r="I98" s="731"/>
      <c r="J98" s="404"/>
      <c r="K98" s="422"/>
      <c r="L98" s="614"/>
      <c r="M98" s="731"/>
      <c r="N98" s="731"/>
      <c r="O98" s="565"/>
      <c r="P98" s="615"/>
      <c r="Q98" s="525"/>
      <c r="R98" s="625"/>
      <c r="S98" s="624"/>
      <c r="T98" s="516"/>
      <c r="U98" s="516"/>
      <c r="V98" s="508"/>
      <c r="W98" s="517"/>
      <c r="X98" s="517"/>
      <c r="Y98" s="517"/>
      <c r="Z98" s="517"/>
      <c r="AA98" s="517"/>
      <c r="AB98" s="517"/>
      <c r="AC98" s="517"/>
      <c r="AD98" s="517"/>
      <c r="AE98" s="517"/>
      <c r="AF98" s="517"/>
    </row>
    <row r="99" spans="1:32" s="518" customFormat="1" ht="12" customHeight="1">
      <c r="A99" s="515"/>
      <c r="B99" s="515"/>
      <c r="C99" s="457" t="s">
        <v>1087</v>
      </c>
      <c r="D99" s="457"/>
      <c r="E99" s="457"/>
      <c r="F99" s="457"/>
      <c r="G99" s="457"/>
      <c r="H99" s="457"/>
      <c r="I99" s="457"/>
      <c r="J99" s="457"/>
      <c r="K99" s="457"/>
      <c r="L99" s="457"/>
      <c r="M99" s="457"/>
      <c r="N99" s="457"/>
      <c r="O99" s="457"/>
      <c r="P99" s="457"/>
      <c r="Q99" s="525" t="str">
        <f>IF(D60="n.v.t.","verbergen","")</f>
        <v>verbergen</v>
      </c>
      <c r="R99" s="625"/>
      <c r="S99" s="624"/>
      <c r="T99" s="516"/>
      <c r="U99" s="516"/>
      <c r="V99" s="508"/>
      <c r="W99" s="517"/>
      <c r="X99" s="517"/>
      <c r="Y99" s="517"/>
      <c r="Z99" s="517"/>
      <c r="AA99" s="517"/>
      <c r="AB99" s="517"/>
      <c r="AC99" s="517"/>
      <c r="AD99" s="517"/>
      <c r="AE99" s="517"/>
      <c r="AF99" s="517"/>
    </row>
    <row r="100" spans="1:32" s="518" customFormat="1" ht="12" hidden="1" customHeight="1">
      <c r="A100" s="515"/>
      <c r="B100" s="515"/>
      <c r="C100" s="458"/>
      <c r="D100" s="458"/>
      <c r="E100" s="458"/>
      <c r="F100" s="458"/>
      <c r="G100" s="458"/>
      <c r="H100" s="459"/>
      <c r="I100" s="459"/>
      <c r="J100" s="459"/>
      <c r="K100" s="459"/>
      <c r="L100" s="459"/>
      <c r="M100" s="459"/>
      <c r="N100" s="459"/>
      <c r="O100" s="459"/>
      <c r="P100" s="459"/>
      <c r="Q100" s="525"/>
      <c r="R100" s="625"/>
      <c r="S100" s="624"/>
      <c r="T100" s="516"/>
      <c r="U100" s="516"/>
      <c r="V100" s="508"/>
      <c r="W100" s="517"/>
      <c r="X100" s="517"/>
      <c r="Y100" s="517"/>
      <c r="Z100" s="517"/>
      <c r="AA100" s="517"/>
      <c r="AB100" s="517"/>
      <c r="AC100" s="517"/>
      <c r="AD100" s="517"/>
      <c r="AE100" s="517"/>
      <c r="AF100" s="517"/>
    </row>
    <row r="101" spans="1:32" s="518" customFormat="1" ht="12" customHeight="1">
      <c r="A101" s="515"/>
      <c r="B101" s="515"/>
      <c r="C101" s="579" t="s">
        <v>133</v>
      </c>
      <c r="D101" s="580"/>
      <c r="E101" s="580"/>
      <c r="F101" s="460" t="s">
        <v>653</v>
      </c>
      <c r="G101" s="736" t="s">
        <v>34</v>
      </c>
      <c r="H101" s="736" t="str">
        <f>IF(S16=3,"","aanwezig")</f>
        <v>aanwezig</v>
      </c>
      <c r="I101" s="580"/>
      <c r="J101" s="580"/>
      <c r="K101" s="580"/>
      <c r="L101" s="580"/>
      <c r="M101" s="580"/>
      <c r="N101" s="580"/>
      <c r="O101" s="580"/>
      <c r="P101" s="580"/>
      <c r="Q101" s="525" t="str">
        <f>IF(D60="n.v.t.","verbergen","")</f>
        <v>verbergen</v>
      </c>
      <c r="R101" s="625"/>
      <c r="S101" s="624"/>
      <c r="T101" s="516"/>
      <c r="U101" s="516"/>
      <c r="V101" s="508"/>
      <c r="W101" s="517"/>
      <c r="X101" s="517"/>
      <c r="Y101" s="517"/>
      <c r="Z101" s="517"/>
      <c r="AA101" s="517"/>
      <c r="AB101" s="517"/>
      <c r="AC101" s="517"/>
      <c r="AD101" s="517"/>
      <c r="AE101" s="517"/>
      <c r="AF101" s="517"/>
    </row>
    <row r="102" spans="1:32" s="518" customFormat="1" ht="12" customHeight="1">
      <c r="A102" s="515"/>
      <c r="B102" s="515"/>
      <c r="C102" s="617" t="s">
        <v>739</v>
      </c>
      <c r="D102" s="404"/>
      <c r="E102" s="404"/>
      <c r="F102" s="618">
        <v>0</v>
      </c>
      <c r="G102" s="619">
        <f>F102*7</f>
        <v>0</v>
      </c>
      <c r="H102" s="620">
        <f>G102</f>
        <v>0</v>
      </c>
      <c r="I102" s="621"/>
      <c r="J102" s="622"/>
      <c r="K102" s="827"/>
      <c r="L102" s="827"/>
      <c r="M102" s="827"/>
      <c r="N102" s="827"/>
      <c r="O102" s="827"/>
      <c r="P102" s="827"/>
      <c r="Q102" s="525" t="str">
        <f>IF(H102&gt;0,"","verbergen")</f>
        <v>verbergen</v>
      </c>
      <c r="R102" s="625"/>
      <c r="S102" s="624"/>
      <c r="T102" s="516"/>
      <c r="U102" s="516"/>
      <c r="V102" s="508"/>
      <c r="W102" s="517"/>
      <c r="X102" s="517"/>
      <c r="Y102" s="517"/>
      <c r="Z102" s="517"/>
      <c r="AA102" s="517"/>
      <c r="AB102" s="517"/>
      <c r="AC102" s="517"/>
      <c r="AD102" s="517"/>
      <c r="AE102" s="517"/>
      <c r="AF102" s="517"/>
    </row>
    <row r="103" spans="1:32" s="518" customFormat="1" ht="12" customHeight="1">
      <c r="A103" s="515"/>
      <c r="B103" s="515"/>
      <c r="C103" s="617" t="s">
        <v>739</v>
      </c>
      <c r="D103" s="404"/>
      <c r="E103" s="404"/>
      <c r="F103" s="618">
        <v>0</v>
      </c>
      <c r="G103" s="619">
        <f>F103*14</f>
        <v>0</v>
      </c>
      <c r="H103" s="620">
        <f>G103</f>
        <v>0</v>
      </c>
      <c r="I103" s="621"/>
      <c r="J103" s="622"/>
      <c r="K103" s="827"/>
      <c r="L103" s="827"/>
      <c r="M103" s="827"/>
      <c r="N103" s="827"/>
      <c r="O103" s="827"/>
      <c r="P103" s="827"/>
      <c r="Q103" s="525" t="str">
        <f t="shared" ref="Q103:Q107" si="14">IF(H103&gt;0,"","verbergen")</f>
        <v>verbergen</v>
      </c>
      <c r="R103" s="625"/>
      <c r="S103" s="624"/>
      <c r="T103" s="516"/>
      <c r="U103" s="516"/>
      <c r="V103" s="508"/>
      <c r="W103" s="517"/>
      <c r="X103" s="517"/>
      <c r="Y103" s="517"/>
      <c r="Z103" s="517"/>
      <c r="AA103" s="517"/>
      <c r="AB103" s="517"/>
      <c r="AC103" s="517"/>
      <c r="AD103" s="517"/>
      <c r="AE103" s="517"/>
      <c r="AF103" s="517"/>
    </row>
    <row r="104" spans="1:32" s="518" customFormat="1" ht="12" customHeight="1">
      <c r="A104" s="515"/>
      <c r="B104" s="515"/>
      <c r="C104" s="617" t="s">
        <v>740</v>
      </c>
      <c r="D104" s="404"/>
      <c r="E104" s="404"/>
      <c r="F104" s="618">
        <v>0</v>
      </c>
      <c r="G104" s="619">
        <f>F104*7</f>
        <v>0</v>
      </c>
      <c r="H104" s="620">
        <f>G104</f>
        <v>0</v>
      </c>
      <c r="I104" s="621"/>
      <c r="J104" s="622"/>
      <c r="K104" s="827"/>
      <c r="L104" s="827"/>
      <c r="M104" s="827"/>
      <c r="N104" s="827"/>
      <c r="O104" s="827"/>
      <c r="P104" s="827"/>
      <c r="Q104" s="525" t="str">
        <f t="shared" si="14"/>
        <v>verbergen</v>
      </c>
      <c r="R104" s="625"/>
      <c r="S104" s="624"/>
      <c r="T104" s="516"/>
      <c r="U104" s="516"/>
      <c r="V104" s="508"/>
      <c r="W104" s="517"/>
      <c r="X104" s="517"/>
      <c r="Y104" s="517"/>
      <c r="Z104" s="517"/>
      <c r="AA104" s="517"/>
      <c r="AB104" s="517"/>
      <c r="AC104" s="517"/>
      <c r="AD104" s="517"/>
      <c r="AE104" s="517"/>
      <c r="AF104" s="517"/>
    </row>
    <row r="105" spans="1:32" s="518" customFormat="1" ht="12" customHeight="1">
      <c r="A105" s="515"/>
      <c r="B105" s="515"/>
      <c r="C105" s="617" t="s">
        <v>140</v>
      </c>
      <c r="D105" s="404"/>
      <c r="E105" s="404"/>
      <c r="F105" s="626"/>
      <c r="G105" s="619" t="s">
        <v>268</v>
      </c>
      <c r="H105" s="620"/>
      <c r="I105" s="621"/>
      <c r="J105" s="622"/>
      <c r="K105" s="827"/>
      <c r="L105" s="827"/>
      <c r="M105" s="827"/>
      <c r="N105" s="827"/>
      <c r="O105" s="827"/>
      <c r="P105" s="827"/>
      <c r="Q105" s="525" t="str">
        <f t="shared" si="14"/>
        <v>verbergen</v>
      </c>
      <c r="R105" s="625"/>
      <c r="S105" s="624"/>
      <c r="T105" s="516"/>
      <c r="U105" s="516"/>
      <c r="V105" s="508"/>
      <c r="W105" s="517"/>
      <c r="X105" s="517"/>
      <c r="Y105" s="517"/>
      <c r="Z105" s="517"/>
      <c r="AA105" s="517"/>
      <c r="AB105" s="517"/>
      <c r="AC105" s="517"/>
      <c r="AD105" s="517"/>
      <c r="AE105" s="517"/>
      <c r="AF105" s="517"/>
    </row>
    <row r="106" spans="1:32" s="518" customFormat="1" ht="12" customHeight="1">
      <c r="A106" s="515"/>
      <c r="B106" s="515"/>
      <c r="C106" s="617" t="s">
        <v>140</v>
      </c>
      <c r="D106" s="404"/>
      <c r="E106" s="404"/>
      <c r="F106" s="626"/>
      <c r="G106" s="619" t="s">
        <v>268</v>
      </c>
      <c r="H106" s="620"/>
      <c r="I106" s="621"/>
      <c r="J106" s="622"/>
      <c r="K106" s="827"/>
      <c r="L106" s="827"/>
      <c r="M106" s="827"/>
      <c r="N106" s="827"/>
      <c r="O106" s="827"/>
      <c r="P106" s="827"/>
      <c r="Q106" s="525" t="str">
        <f t="shared" si="14"/>
        <v>verbergen</v>
      </c>
      <c r="R106" s="625"/>
      <c r="S106" s="624"/>
      <c r="T106" s="516"/>
      <c r="U106" s="516"/>
      <c r="V106" s="508"/>
      <c r="W106" s="517"/>
      <c r="X106" s="517"/>
      <c r="Y106" s="517"/>
      <c r="Z106" s="517"/>
      <c r="AA106" s="517"/>
      <c r="AB106" s="517"/>
      <c r="AC106" s="517"/>
      <c r="AD106" s="517"/>
      <c r="AE106" s="517"/>
      <c r="AF106" s="517"/>
    </row>
    <row r="107" spans="1:32" s="518" customFormat="1" ht="12" customHeight="1">
      <c r="A107" s="515"/>
      <c r="B107" s="515"/>
      <c r="C107" s="627" t="s">
        <v>140</v>
      </c>
      <c r="D107" s="628"/>
      <c r="E107" s="628"/>
      <c r="F107" s="629"/>
      <c r="G107" s="630" t="s">
        <v>268</v>
      </c>
      <c r="H107" s="631"/>
      <c r="I107" s="632"/>
      <c r="J107" s="633"/>
      <c r="K107" s="828"/>
      <c r="L107" s="828"/>
      <c r="M107" s="828"/>
      <c r="N107" s="828"/>
      <c r="O107" s="828"/>
      <c r="P107" s="828"/>
      <c r="Q107" s="525" t="str">
        <f t="shared" si="14"/>
        <v>verbergen</v>
      </c>
      <c r="R107" s="625"/>
      <c r="S107" s="624"/>
      <c r="T107" s="516"/>
      <c r="U107" s="516"/>
      <c r="V107" s="508"/>
      <c r="W107" s="517"/>
      <c r="X107" s="517"/>
      <c r="Y107" s="517"/>
      <c r="Z107" s="517"/>
      <c r="AA107" s="517"/>
      <c r="AB107" s="517"/>
      <c r="AC107" s="517"/>
      <c r="AD107" s="517"/>
      <c r="AE107" s="517"/>
      <c r="AF107" s="517"/>
    </row>
    <row r="108" spans="1:32" s="518" customFormat="1" ht="12" customHeight="1">
      <c r="A108" s="515"/>
      <c r="B108" s="515"/>
      <c r="C108" s="634" t="s">
        <v>16</v>
      </c>
      <c r="D108" s="592"/>
      <c r="E108" s="592"/>
      <c r="F108" s="635"/>
      <c r="G108" s="636">
        <f>SUM(G102:G107)</f>
        <v>0</v>
      </c>
      <c r="H108" s="636">
        <f>SUM(H102:H107)</f>
        <v>0</v>
      </c>
      <c r="I108" s="637"/>
      <c r="J108" s="732"/>
      <c r="K108" s="638"/>
      <c r="L108" s="639"/>
      <c r="M108" s="830"/>
      <c r="N108" s="830"/>
      <c r="O108" s="830"/>
      <c r="P108" s="830"/>
      <c r="Q108" s="525" t="str">
        <f>IF(D60="n.v.t.","verbergen","")</f>
        <v>verbergen</v>
      </c>
      <c r="R108" s="625"/>
      <c r="S108" s="624"/>
      <c r="T108" s="516"/>
      <c r="U108" s="516"/>
      <c r="V108" s="508"/>
      <c r="W108" s="517"/>
      <c r="X108" s="517"/>
      <c r="Y108" s="517"/>
      <c r="Z108" s="517"/>
      <c r="AA108" s="517"/>
      <c r="AB108" s="517"/>
      <c r="AC108" s="517"/>
      <c r="AD108" s="517"/>
      <c r="AE108" s="517"/>
      <c r="AF108" s="517"/>
    </row>
    <row r="109" spans="1:32" s="518" customFormat="1" ht="12" customHeight="1">
      <c r="A109" s="515"/>
      <c r="B109" s="515"/>
      <c r="C109" s="640"/>
      <c r="D109" s="831"/>
      <c r="E109" s="831"/>
      <c r="F109" s="641"/>
      <c r="G109" s="642">
        <f>G108*3.6</f>
        <v>0</v>
      </c>
      <c r="H109" s="642">
        <f>H108*3.6</f>
        <v>0</v>
      </c>
      <c r="I109" s="643"/>
      <c r="J109" s="404"/>
      <c r="K109" s="422"/>
      <c r="L109" s="614"/>
      <c r="M109" s="826"/>
      <c r="N109" s="826"/>
      <c r="O109" s="565"/>
      <c r="P109" s="615"/>
      <c r="Q109" s="525" t="str">
        <f>IF(D60="n.v.t.","verbergen","")</f>
        <v>verbergen</v>
      </c>
      <c r="R109" s="625"/>
      <c r="S109" s="624"/>
      <c r="T109" s="516"/>
      <c r="U109" s="516"/>
      <c r="V109" s="508"/>
      <c r="W109" s="517"/>
      <c r="X109" s="517"/>
      <c r="Y109" s="517"/>
      <c r="Z109" s="517"/>
      <c r="AA109" s="517"/>
      <c r="AB109" s="517"/>
      <c r="AC109" s="517"/>
      <c r="AD109" s="517"/>
      <c r="AE109" s="517"/>
      <c r="AF109" s="517"/>
    </row>
    <row r="110" spans="1:32" s="518" customFormat="1" ht="15" customHeight="1">
      <c r="A110" s="515"/>
      <c r="B110" s="515"/>
      <c r="C110" s="644" t="s">
        <v>1088</v>
      </c>
      <c r="D110" s="645"/>
      <c r="E110" s="645"/>
      <c r="F110" s="645"/>
      <c r="G110" s="645"/>
      <c r="H110" s="645"/>
      <c r="I110" s="645"/>
      <c r="J110" s="645"/>
      <c r="K110" s="645"/>
      <c r="L110" s="645"/>
      <c r="M110" s="645"/>
      <c r="N110" s="645"/>
      <c r="O110" s="645"/>
      <c r="P110" s="645"/>
      <c r="Q110" s="516" t="str">
        <f>IF(D55="berekening op basis van minimale capaciteit","verbergen","")</f>
        <v/>
      </c>
      <c r="R110" s="616"/>
      <c r="S110" s="516"/>
      <c r="T110" s="521"/>
      <c r="U110" s="516"/>
      <c r="V110" s="517"/>
      <c r="W110" s="517"/>
      <c r="X110" s="517"/>
      <c r="Y110" s="517"/>
      <c r="Z110" s="517"/>
      <c r="AA110" s="517"/>
      <c r="AB110" s="517"/>
      <c r="AC110" s="524"/>
      <c r="AD110" s="517"/>
      <c r="AE110" s="517"/>
      <c r="AF110" s="517"/>
    </row>
    <row r="111" spans="1:32" s="518" customFormat="1" ht="12.75" hidden="1" customHeight="1">
      <c r="A111" s="515"/>
      <c r="B111" s="515"/>
      <c r="C111" s="576"/>
      <c r="D111" s="576"/>
      <c r="E111" s="576"/>
      <c r="F111" s="576"/>
      <c r="G111" s="576"/>
      <c r="H111" s="577"/>
      <c r="I111" s="577"/>
      <c r="J111" s="577"/>
      <c r="K111" s="577"/>
      <c r="L111" s="577"/>
      <c r="M111" s="577"/>
      <c r="N111" s="577"/>
      <c r="O111" s="577"/>
      <c r="P111" s="577"/>
      <c r="Q111" s="522"/>
      <c r="R111" s="516"/>
      <c r="S111" s="516"/>
      <c r="T111" s="521"/>
      <c r="U111" s="516"/>
      <c r="V111" s="548"/>
      <c r="W111" s="548"/>
      <c r="X111" s="548"/>
      <c r="Y111" s="548"/>
      <c r="Z111" s="517"/>
      <c r="AA111" s="517"/>
      <c r="AB111" s="517"/>
      <c r="AC111" s="524"/>
      <c r="AD111" s="517"/>
      <c r="AE111" s="517"/>
      <c r="AF111" s="517"/>
    </row>
    <row r="112" spans="1:32" ht="15" customHeight="1">
      <c r="A112" s="492"/>
      <c r="B112" s="492"/>
      <c r="C112" s="579" t="s">
        <v>730</v>
      </c>
      <c r="D112" s="580"/>
      <c r="E112" s="646" t="s">
        <v>731</v>
      </c>
      <c r="F112" s="580"/>
      <c r="G112" s="580"/>
      <c r="H112" s="460" t="s">
        <v>732</v>
      </c>
      <c r="I112" s="832" t="s">
        <v>605</v>
      </c>
      <c r="J112" s="832"/>
      <c r="K112" s="580"/>
      <c r="L112" s="580"/>
      <c r="M112" s="580"/>
      <c r="N112" s="580"/>
      <c r="O112" s="580"/>
      <c r="P112" s="580"/>
      <c r="Q112" s="507" t="str">
        <f>IF(D55="berekening op basis van minimale capaciteit","verbergen","")</f>
        <v/>
      </c>
      <c r="R112" s="507"/>
      <c r="S112" s="507"/>
      <c r="T112" s="532"/>
      <c r="U112" s="507"/>
      <c r="V112" s="508"/>
      <c r="W112" s="508"/>
      <c r="X112" s="508"/>
      <c r="Y112" s="508"/>
      <c r="Z112" s="508"/>
      <c r="AA112" s="508"/>
      <c r="AB112" s="508"/>
      <c r="AC112" s="534"/>
      <c r="AD112" s="508"/>
      <c r="AE112" s="508"/>
      <c r="AF112" s="508"/>
    </row>
    <row r="113" spans="1:32" s="518" customFormat="1" ht="12" customHeight="1">
      <c r="A113" s="516"/>
      <c r="B113" s="515"/>
      <c r="C113" s="464" t="s">
        <v>140</v>
      </c>
      <c r="D113" s="100" t="s">
        <v>141</v>
      </c>
      <c r="E113" s="464" t="s">
        <v>140</v>
      </c>
      <c r="F113" s="586"/>
      <c r="G113" s="586"/>
      <c r="H113" s="647">
        <v>0</v>
      </c>
      <c r="I113" s="833">
        <f>H113*12</f>
        <v>0</v>
      </c>
      <c r="J113" s="833"/>
      <c r="K113" s="834" t="str">
        <f>IF(I113&gt;180,"zie rapport voor nadere toelichting overstroomvoorzieningen","")</f>
        <v/>
      </c>
      <c r="L113" s="834"/>
      <c r="M113" s="834"/>
      <c r="N113" s="834"/>
      <c r="O113" s="834"/>
      <c r="P113" s="834"/>
      <c r="Q113" s="525" t="str">
        <f t="shared" ref="Q113:Q117" si="15">IF(H113=0,"verbergen","")</f>
        <v>verbergen</v>
      </c>
      <c r="R113" s="516"/>
      <c r="S113" s="516"/>
      <c r="T113" s="521"/>
      <c r="U113" s="516"/>
      <c r="V113" s="517"/>
      <c r="W113" s="517"/>
      <c r="X113" s="517"/>
      <c r="Y113" s="517"/>
      <c r="Z113" s="508">
        <v>1</v>
      </c>
      <c r="AA113" s="648"/>
      <c r="AB113" s="517"/>
      <c r="AC113" s="517"/>
      <c r="AD113" s="517"/>
      <c r="AE113" s="517"/>
      <c r="AF113" s="517"/>
    </row>
    <row r="114" spans="1:32" s="518" customFormat="1" ht="12" customHeight="1">
      <c r="A114" s="516"/>
      <c r="B114" s="515"/>
      <c r="C114" s="464" t="s">
        <v>140</v>
      </c>
      <c r="D114" s="100" t="s">
        <v>141</v>
      </c>
      <c r="E114" s="464" t="s">
        <v>140</v>
      </c>
      <c r="F114" s="586"/>
      <c r="G114" s="586"/>
      <c r="H114" s="647">
        <v>0</v>
      </c>
      <c r="I114" s="833">
        <f t="shared" ref="I114:I117" si="16">H114*12</f>
        <v>0</v>
      </c>
      <c r="J114" s="833"/>
      <c r="K114" s="834" t="str">
        <f>IF(I114&gt;180,"zie rapport voor nadere toelichting overstroomvoorzieningen","")</f>
        <v/>
      </c>
      <c r="L114" s="834"/>
      <c r="M114" s="834"/>
      <c r="N114" s="834"/>
      <c r="O114" s="834"/>
      <c r="P114" s="834"/>
      <c r="Q114" s="525" t="str">
        <f t="shared" si="15"/>
        <v>verbergen</v>
      </c>
      <c r="R114" s="516"/>
      <c r="S114" s="516"/>
      <c r="T114" s="521"/>
      <c r="U114" s="516"/>
      <c r="V114" s="517"/>
      <c r="W114" s="517"/>
      <c r="X114" s="517"/>
      <c r="Y114" s="517"/>
      <c r="Z114" s="508">
        <v>1</v>
      </c>
      <c r="AA114" s="648"/>
      <c r="AB114" s="517"/>
      <c r="AC114" s="517"/>
      <c r="AD114" s="517"/>
      <c r="AE114" s="517"/>
      <c r="AF114" s="517"/>
    </row>
    <row r="115" spans="1:32" s="518" customFormat="1" ht="12" customHeight="1">
      <c r="A115" s="516"/>
      <c r="B115" s="515"/>
      <c r="C115" s="464" t="s">
        <v>140</v>
      </c>
      <c r="D115" s="100" t="s">
        <v>141</v>
      </c>
      <c r="E115" s="464" t="s">
        <v>140</v>
      </c>
      <c r="F115" s="586"/>
      <c r="G115" s="586"/>
      <c r="H115" s="647">
        <v>0</v>
      </c>
      <c r="I115" s="833">
        <f t="shared" si="16"/>
        <v>0</v>
      </c>
      <c r="J115" s="833"/>
      <c r="K115" s="834" t="str">
        <f>IF(I115&gt;180,"zie rapport voor nadere toelichting overstroomvoorzieningen","")</f>
        <v/>
      </c>
      <c r="L115" s="834"/>
      <c r="M115" s="834"/>
      <c r="N115" s="834"/>
      <c r="O115" s="834"/>
      <c r="P115" s="834"/>
      <c r="Q115" s="525" t="str">
        <f t="shared" si="15"/>
        <v>verbergen</v>
      </c>
      <c r="R115" s="516"/>
      <c r="S115" s="516"/>
      <c r="T115" s="521"/>
      <c r="U115" s="516"/>
      <c r="V115" s="517"/>
      <c r="W115" s="517"/>
      <c r="X115" s="517"/>
      <c r="Y115" s="517"/>
      <c r="Z115" s="508">
        <v>1</v>
      </c>
      <c r="AA115" s="648"/>
      <c r="AB115" s="517"/>
      <c r="AC115" s="517"/>
      <c r="AD115" s="517"/>
      <c r="AE115" s="517"/>
      <c r="AF115" s="517"/>
    </row>
    <row r="116" spans="1:32" s="518" customFormat="1" ht="12" customHeight="1">
      <c r="A116" s="527"/>
      <c r="B116" s="515"/>
      <c r="C116" s="464" t="s">
        <v>140</v>
      </c>
      <c r="D116" s="100" t="s">
        <v>141</v>
      </c>
      <c r="E116" s="464" t="s">
        <v>140</v>
      </c>
      <c r="F116" s="586"/>
      <c r="G116" s="404"/>
      <c r="H116" s="647">
        <v>0</v>
      </c>
      <c r="I116" s="833">
        <f t="shared" si="16"/>
        <v>0</v>
      </c>
      <c r="J116" s="833"/>
      <c r="K116" s="834" t="str">
        <f>IF(I116&gt;180,"zie rapport voor nadere toelichting overstroomvoorzieningen","")</f>
        <v/>
      </c>
      <c r="L116" s="834"/>
      <c r="M116" s="834"/>
      <c r="N116" s="834"/>
      <c r="O116" s="834"/>
      <c r="P116" s="834"/>
      <c r="Q116" s="525" t="str">
        <f t="shared" si="15"/>
        <v>verbergen</v>
      </c>
      <c r="R116" s="516"/>
      <c r="S116" s="516"/>
      <c r="T116" s="521"/>
      <c r="U116" s="516"/>
      <c r="V116" s="517"/>
      <c r="W116" s="517"/>
      <c r="X116" s="517"/>
      <c r="Y116" s="517"/>
      <c r="Z116" s="508">
        <v>1</v>
      </c>
      <c r="AA116" s="648"/>
      <c r="AB116" s="517"/>
      <c r="AC116" s="517"/>
      <c r="AD116" s="517"/>
      <c r="AE116" s="517"/>
      <c r="AF116" s="517"/>
    </row>
    <row r="117" spans="1:32" s="518" customFormat="1" ht="12" customHeight="1">
      <c r="A117" s="527"/>
      <c r="B117" s="515"/>
      <c r="C117" s="464" t="s">
        <v>140</v>
      </c>
      <c r="D117" s="342" t="s">
        <v>141</v>
      </c>
      <c r="E117" s="464" t="s">
        <v>140</v>
      </c>
      <c r="F117" s="609"/>
      <c r="G117" s="628"/>
      <c r="H117" s="649">
        <v>0</v>
      </c>
      <c r="I117" s="835">
        <f t="shared" si="16"/>
        <v>0</v>
      </c>
      <c r="J117" s="835"/>
      <c r="K117" s="836" t="str">
        <f>IF(I117&gt;180,"zie rapport voor nadere toelichting overstroomvoorzieningen","")</f>
        <v/>
      </c>
      <c r="L117" s="836"/>
      <c r="M117" s="836"/>
      <c r="N117" s="836"/>
      <c r="O117" s="836"/>
      <c r="P117" s="836"/>
      <c r="Q117" s="525" t="str">
        <f t="shared" si="15"/>
        <v>verbergen</v>
      </c>
      <c r="R117" s="516"/>
      <c r="S117" s="516"/>
      <c r="T117" s="521"/>
      <c r="U117" s="516"/>
      <c r="V117" s="517"/>
      <c r="W117" s="517"/>
      <c r="X117" s="517"/>
      <c r="Y117" s="517"/>
      <c r="Z117" s="508">
        <v>1</v>
      </c>
      <c r="AA117" s="648"/>
      <c r="AB117" s="517"/>
      <c r="AC117" s="517"/>
      <c r="AD117" s="517"/>
      <c r="AE117" s="517"/>
      <c r="AF117" s="517"/>
    </row>
    <row r="118" spans="1:32" s="518" customFormat="1" ht="12" customHeight="1">
      <c r="A118" s="527"/>
      <c r="B118" s="590">
        <v>1</v>
      </c>
      <c r="C118" s="480">
        <f>B118</f>
        <v>1</v>
      </c>
      <c r="D118" s="592"/>
      <c r="E118" s="592"/>
      <c r="F118" s="650"/>
      <c r="G118" s="592"/>
      <c r="H118" s="651"/>
      <c r="I118" s="652"/>
      <c r="J118" s="653"/>
      <c r="K118" s="837" t="str">
        <f>IF(MAX(P113:P117)&gt;200,"zie rapport voor nadere toelichting overstroomvoorzieningen","")</f>
        <v/>
      </c>
      <c r="L118" s="837"/>
      <c r="M118" s="837"/>
      <c r="N118" s="837"/>
      <c r="O118" s="837"/>
      <c r="P118" s="837"/>
      <c r="Q118" s="516" t="str">
        <f>IF(SUM(H113:H119)=0,"verbergen","")</f>
        <v>verbergen</v>
      </c>
      <c r="R118" s="516"/>
      <c r="S118" s="516"/>
      <c r="T118" s="521"/>
      <c r="U118" s="516"/>
      <c r="V118" s="517"/>
      <c r="W118" s="517"/>
      <c r="X118" s="517"/>
      <c r="Y118" s="517"/>
      <c r="Z118" s="508">
        <v>1</v>
      </c>
      <c r="AA118" s="648"/>
      <c r="AB118" s="517"/>
      <c r="AC118" s="517"/>
      <c r="AD118" s="517"/>
      <c r="AE118" s="517"/>
      <c r="AF118" s="517"/>
    </row>
    <row r="119" spans="1:32" s="518" customFormat="1" ht="12" customHeight="1">
      <c r="A119" s="527"/>
      <c r="B119" s="515"/>
      <c r="C119" s="654"/>
      <c r="D119" s="404"/>
      <c r="E119" s="404"/>
      <c r="F119" s="586"/>
      <c r="G119" s="404"/>
      <c r="H119" s="655"/>
      <c r="I119" s="656"/>
      <c r="J119" s="657"/>
      <c r="K119" s="838"/>
      <c r="L119" s="838"/>
      <c r="M119" s="839"/>
      <c r="N119" s="839"/>
      <c r="O119" s="840"/>
      <c r="P119" s="840"/>
      <c r="Q119" s="516" t="str">
        <f>Q118</f>
        <v>verbergen</v>
      </c>
      <c r="R119" s="516"/>
      <c r="S119" s="516"/>
      <c r="T119" s="521"/>
      <c r="U119" s="516"/>
      <c r="V119" s="517"/>
      <c r="W119" s="517"/>
      <c r="X119" s="517"/>
      <c r="Y119" s="517"/>
      <c r="Z119" s="508">
        <v>1</v>
      </c>
      <c r="AA119" s="648"/>
      <c r="AB119" s="517"/>
      <c r="AC119" s="517"/>
      <c r="AD119" s="517"/>
      <c r="AE119" s="517"/>
      <c r="AF119" s="517"/>
    </row>
    <row r="120" spans="1:32" s="541" customFormat="1" ht="12" customHeight="1">
      <c r="A120" s="392"/>
      <c r="B120" s="543"/>
      <c r="C120" s="464" t="s">
        <v>140</v>
      </c>
      <c r="D120" s="100" t="s">
        <v>141</v>
      </c>
      <c r="E120" s="464" t="s">
        <v>140</v>
      </c>
      <c r="F120" s="586"/>
      <c r="G120" s="586"/>
      <c r="H120" s="647">
        <v>0</v>
      </c>
      <c r="I120" s="833">
        <f>H120*12</f>
        <v>0</v>
      </c>
      <c r="J120" s="833"/>
      <c r="K120" s="834" t="str">
        <f>IF(I120&gt;180,"zie rapport voor nadere toelichting overstroomvoorzieningen","")</f>
        <v/>
      </c>
      <c r="L120" s="834"/>
      <c r="M120" s="834"/>
      <c r="N120" s="834"/>
      <c r="O120" s="834"/>
      <c r="P120" s="834"/>
      <c r="Q120" s="729" t="str">
        <f>IF(H120=0,"verbergen","")</f>
        <v>verbergen</v>
      </c>
      <c r="R120" s="392"/>
      <c r="S120" s="392"/>
      <c r="T120" s="544"/>
      <c r="U120" s="392"/>
      <c r="V120" s="392"/>
      <c r="W120" s="392"/>
      <c r="X120" s="392"/>
      <c r="Y120" s="392"/>
      <c r="Z120" s="547">
        <f>Z119+1</f>
        <v>2</v>
      </c>
      <c r="AA120" s="404"/>
      <c r="AB120" s="516"/>
      <c r="AC120" s="516"/>
      <c r="AD120" s="516"/>
      <c r="AE120" s="516"/>
      <c r="AF120" s="515"/>
    </row>
    <row r="121" spans="1:32" s="541" customFormat="1" ht="12" customHeight="1">
      <c r="A121" s="392"/>
      <c r="B121" s="543"/>
      <c r="C121" s="464" t="s">
        <v>140</v>
      </c>
      <c r="D121" s="100" t="s">
        <v>141</v>
      </c>
      <c r="E121" s="464" t="s">
        <v>140</v>
      </c>
      <c r="F121" s="586"/>
      <c r="G121" s="586"/>
      <c r="H121" s="647">
        <v>0</v>
      </c>
      <c r="I121" s="833">
        <f t="shared" ref="I121:I124" si="17">H121*12</f>
        <v>0</v>
      </c>
      <c r="J121" s="833"/>
      <c r="K121" s="834" t="str">
        <f>IF(I121&gt;180,"zie rapport voor nadere toelichting overstroomvoorzieningen","")</f>
        <v/>
      </c>
      <c r="L121" s="834"/>
      <c r="M121" s="834"/>
      <c r="N121" s="834"/>
      <c r="O121" s="834"/>
      <c r="P121" s="834"/>
      <c r="Q121" s="729" t="str">
        <f>IF(H121=0,"verbergen","")</f>
        <v>verbergen</v>
      </c>
      <c r="R121" s="392"/>
      <c r="S121" s="392"/>
      <c r="T121" s="544"/>
      <c r="U121" s="392"/>
      <c r="V121" s="392"/>
      <c r="W121" s="392"/>
      <c r="X121" s="392"/>
      <c r="Y121" s="392"/>
      <c r="Z121" s="547">
        <f t="shared" ref="Z121:Z126" si="18">Z120</f>
        <v>2</v>
      </c>
      <c r="AA121" s="404"/>
      <c r="AB121" s="516"/>
      <c r="AC121" s="516"/>
      <c r="AD121" s="516"/>
      <c r="AE121" s="516"/>
      <c r="AF121" s="515"/>
    </row>
    <row r="122" spans="1:32" s="541" customFormat="1" ht="12" customHeight="1">
      <c r="A122" s="392"/>
      <c r="B122" s="543"/>
      <c r="C122" s="464" t="s">
        <v>140</v>
      </c>
      <c r="D122" s="100" t="s">
        <v>141</v>
      </c>
      <c r="E122" s="464" t="s">
        <v>140</v>
      </c>
      <c r="F122" s="586"/>
      <c r="G122" s="586"/>
      <c r="H122" s="647">
        <v>0</v>
      </c>
      <c r="I122" s="833">
        <f t="shared" si="17"/>
        <v>0</v>
      </c>
      <c r="J122" s="833"/>
      <c r="K122" s="834" t="str">
        <f>IF(I122&gt;180,"zie rapport voor nadere toelichting overstroomvoorzieningen","")</f>
        <v/>
      </c>
      <c r="L122" s="834"/>
      <c r="M122" s="834"/>
      <c r="N122" s="834"/>
      <c r="O122" s="834"/>
      <c r="P122" s="834"/>
      <c r="Q122" s="729" t="str">
        <f>IF(H122=0,"verbergen","")</f>
        <v>verbergen</v>
      </c>
      <c r="R122" s="392"/>
      <c r="S122" s="392"/>
      <c r="T122" s="544"/>
      <c r="U122" s="392"/>
      <c r="V122" s="392"/>
      <c r="W122" s="392"/>
      <c r="X122" s="392"/>
      <c r="Y122" s="392"/>
      <c r="Z122" s="547">
        <f t="shared" si="18"/>
        <v>2</v>
      </c>
      <c r="AA122" s="404"/>
      <c r="AB122" s="516"/>
      <c r="AC122" s="516"/>
      <c r="AD122" s="516"/>
      <c r="AE122" s="516"/>
      <c r="AF122" s="515"/>
    </row>
    <row r="123" spans="1:32" s="541" customFormat="1" ht="12" customHeight="1">
      <c r="A123" s="542"/>
      <c r="B123" s="543"/>
      <c r="C123" s="464" t="s">
        <v>140</v>
      </c>
      <c r="D123" s="100" t="s">
        <v>141</v>
      </c>
      <c r="E123" s="464" t="s">
        <v>140</v>
      </c>
      <c r="F123" s="586"/>
      <c r="G123" s="404"/>
      <c r="H123" s="647">
        <v>0</v>
      </c>
      <c r="I123" s="833">
        <f t="shared" si="17"/>
        <v>0</v>
      </c>
      <c r="J123" s="833"/>
      <c r="K123" s="834" t="str">
        <f>IF(I123&gt;180,"zie rapport voor nadere toelichting overstroomvoorzieningen","")</f>
        <v/>
      </c>
      <c r="L123" s="834"/>
      <c r="M123" s="834"/>
      <c r="N123" s="834"/>
      <c r="O123" s="834"/>
      <c r="P123" s="834"/>
      <c r="Q123" s="729" t="str">
        <f>IF(H123=0,"verbergen","")</f>
        <v>verbergen</v>
      </c>
      <c r="R123" s="392"/>
      <c r="S123" s="392"/>
      <c r="T123" s="544"/>
      <c r="U123" s="392"/>
      <c r="V123" s="392"/>
      <c r="W123" s="392"/>
      <c r="X123" s="392"/>
      <c r="Y123" s="392"/>
      <c r="Z123" s="547">
        <f t="shared" si="18"/>
        <v>2</v>
      </c>
      <c r="AA123" s="404"/>
      <c r="AB123" s="516"/>
      <c r="AC123" s="516"/>
      <c r="AD123" s="516"/>
      <c r="AE123" s="516"/>
      <c r="AF123" s="515"/>
    </row>
    <row r="124" spans="1:32" s="541" customFormat="1" ht="12" customHeight="1">
      <c r="A124" s="542"/>
      <c r="B124" s="543"/>
      <c r="C124" s="464" t="s">
        <v>140</v>
      </c>
      <c r="D124" s="342" t="s">
        <v>141</v>
      </c>
      <c r="E124" s="464" t="s">
        <v>140</v>
      </c>
      <c r="F124" s="609"/>
      <c r="G124" s="628"/>
      <c r="H124" s="649">
        <v>0</v>
      </c>
      <c r="I124" s="835">
        <f t="shared" si="17"/>
        <v>0</v>
      </c>
      <c r="J124" s="835"/>
      <c r="K124" s="836" t="str">
        <f>IF(I124&gt;180,"zie rapport voor nadere toelichting overstroomvoorzieningen","")</f>
        <v/>
      </c>
      <c r="L124" s="836"/>
      <c r="M124" s="836"/>
      <c r="N124" s="836"/>
      <c r="O124" s="836"/>
      <c r="P124" s="836"/>
      <c r="Q124" s="729" t="str">
        <f>IF(H124=0,"verbergen","")</f>
        <v>verbergen</v>
      </c>
      <c r="R124" s="392"/>
      <c r="S124" s="392"/>
      <c r="T124" s="544"/>
      <c r="U124" s="392"/>
      <c r="V124" s="392"/>
      <c r="W124" s="392"/>
      <c r="X124" s="392"/>
      <c r="Y124" s="392"/>
      <c r="Z124" s="547">
        <f t="shared" si="18"/>
        <v>2</v>
      </c>
      <c r="AA124" s="404"/>
      <c r="AB124" s="516"/>
      <c r="AC124" s="516"/>
      <c r="AD124" s="516"/>
      <c r="AE124" s="516"/>
      <c r="AF124" s="515"/>
    </row>
    <row r="125" spans="1:32" s="541" customFormat="1" ht="12" customHeight="1">
      <c r="A125" s="542"/>
      <c r="B125" s="556">
        <f>B118+1</f>
        <v>2</v>
      </c>
      <c r="C125" s="480">
        <f>B125</f>
        <v>2</v>
      </c>
      <c r="D125" s="592"/>
      <c r="E125" s="592"/>
      <c r="F125" s="650"/>
      <c r="G125" s="592"/>
      <c r="H125" s="651"/>
      <c r="I125" s="652"/>
      <c r="J125" s="653"/>
      <c r="K125" s="837" t="str">
        <f>IF(MAX(P120:P124)&gt;200,"zie rapport voor nadere toelichting overstroomvoorzieningen","")</f>
        <v/>
      </c>
      <c r="L125" s="837"/>
      <c r="M125" s="837"/>
      <c r="N125" s="837"/>
      <c r="O125" s="837"/>
      <c r="P125" s="837"/>
      <c r="Q125" s="392" t="str">
        <f>IF(SUM(H120:H126)=0,"verbergen","")</f>
        <v>verbergen</v>
      </c>
      <c r="R125" s="392"/>
      <c r="S125" s="392"/>
      <c r="T125" s="544"/>
      <c r="U125" s="392"/>
      <c r="V125" s="392"/>
      <c r="W125" s="392"/>
      <c r="X125" s="392"/>
      <c r="Y125" s="392"/>
      <c r="Z125" s="547">
        <f t="shared" si="18"/>
        <v>2</v>
      </c>
      <c r="AA125" s="404"/>
      <c r="AB125" s="516"/>
      <c r="AC125" s="516"/>
      <c r="AD125" s="516"/>
      <c r="AE125" s="516"/>
      <c r="AF125" s="515"/>
    </row>
    <row r="126" spans="1:32" s="541" customFormat="1" ht="12" customHeight="1">
      <c r="A126" s="542"/>
      <c r="B126" s="543"/>
      <c r="C126" s="654"/>
      <c r="D126" s="404"/>
      <c r="E126" s="404"/>
      <c r="F126" s="586"/>
      <c r="G126" s="404"/>
      <c r="H126" s="655"/>
      <c r="I126" s="656"/>
      <c r="J126" s="657"/>
      <c r="K126" s="838"/>
      <c r="L126" s="838"/>
      <c r="M126" s="839"/>
      <c r="N126" s="839"/>
      <c r="O126" s="840"/>
      <c r="P126" s="840"/>
      <c r="Q126" s="392" t="str">
        <f>Q125</f>
        <v>verbergen</v>
      </c>
      <c r="R126" s="392"/>
      <c r="S126" s="392"/>
      <c r="T126" s="544"/>
      <c r="U126" s="392"/>
      <c r="V126" s="392"/>
      <c r="W126" s="392"/>
      <c r="X126" s="392"/>
      <c r="Y126" s="392"/>
      <c r="Z126" s="547">
        <f t="shared" si="18"/>
        <v>2</v>
      </c>
      <c r="AA126" s="404"/>
      <c r="AB126" s="516"/>
      <c r="AC126" s="516"/>
      <c r="AD126" s="516"/>
      <c r="AE126" s="516"/>
      <c r="AF126" s="515"/>
    </row>
    <row r="127" spans="1:32" s="518" customFormat="1" ht="12" customHeight="1">
      <c r="A127" s="516"/>
      <c r="B127" s="515"/>
      <c r="C127" s="464" t="s">
        <v>735</v>
      </c>
      <c r="D127" s="100" t="s">
        <v>141</v>
      </c>
      <c r="E127" s="464" t="str">
        <f>C90</f>
        <v>toilet</v>
      </c>
      <c r="F127" s="586"/>
      <c r="G127" s="586"/>
      <c r="H127" s="647">
        <f>H90</f>
        <v>0</v>
      </c>
      <c r="I127" s="833">
        <f>H127*12</f>
        <v>0</v>
      </c>
      <c r="J127" s="833"/>
      <c r="K127" s="834" t="str">
        <f>IF(I127&gt;180,"zie rapport voor nadere toelichting overstroomvoorzieningen","")</f>
        <v/>
      </c>
      <c r="L127" s="834"/>
      <c r="M127" s="834"/>
      <c r="N127" s="834"/>
      <c r="O127" s="834"/>
      <c r="P127" s="834"/>
      <c r="Q127" s="525" t="str">
        <f>IF(H127=0,"verbergen","")</f>
        <v>verbergen</v>
      </c>
      <c r="R127" s="516"/>
      <c r="S127" s="516"/>
      <c r="T127" s="521"/>
      <c r="U127" s="516"/>
      <c r="V127" s="517"/>
      <c r="W127" s="517"/>
      <c r="X127" s="517"/>
      <c r="Y127" s="517"/>
      <c r="Z127" s="508"/>
      <c r="AA127" s="648"/>
      <c r="AB127" s="517"/>
      <c r="AC127" s="517"/>
      <c r="AD127" s="517"/>
      <c r="AE127" s="517"/>
      <c r="AF127" s="517"/>
    </row>
    <row r="128" spans="1:32" s="518" customFormat="1" ht="12" customHeight="1">
      <c r="A128" s="516"/>
      <c r="B128" s="515"/>
      <c r="C128" s="464" t="s">
        <v>735</v>
      </c>
      <c r="D128" s="100" t="s">
        <v>141</v>
      </c>
      <c r="E128" s="464" t="str">
        <f>C91</f>
        <v>badkamer</v>
      </c>
      <c r="F128" s="586"/>
      <c r="G128" s="586"/>
      <c r="H128" s="647">
        <f>H91</f>
        <v>0</v>
      </c>
      <c r="I128" s="833">
        <f t="shared" ref="I128:I131" si="19">H128*12</f>
        <v>0</v>
      </c>
      <c r="J128" s="833"/>
      <c r="K128" s="834" t="str">
        <f>IF(I128&gt;180,"zie rapport voor nadere toelichting overstroomvoorzieningen","")</f>
        <v/>
      </c>
      <c r="L128" s="834"/>
      <c r="M128" s="834"/>
      <c r="N128" s="834"/>
      <c r="O128" s="834"/>
      <c r="P128" s="834"/>
      <c r="Q128" s="525" t="str">
        <f>IF(H128=0,"verbergen","")</f>
        <v>verbergen</v>
      </c>
      <c r="R128" s="516"/>
      <c r="S128" s="516"/>
      <c r="T128" s="521"/>
      <c r="U128" s="516"/>
      <c r="V128" s="517"/>
      <c r="W128" s="517"/>
      <c r="X128" s="517"/>
      <c r="Y128" s="517"/>
      <c r="Z128" s="508"/>
      <c r="AA128" s="648"/>
      <c r="AB128" s="517"/>
      <c r="AC128" s="517"/>
      <c r="AD128" s="517"/>
      <c r="AE128" s="517"/>
      <c r="AF128" s="517"/>
    </row>
    <row r="129" spans="1:33" s="518" customFormat="1" ht="12" customHeight="1">
      <c r="A129" s="516"/>
      <c r="B129" s="515"/>
      <c r="C129" s="464" t="s">
        <v>140</v>
      </c>
      <c r="D129" s="100" t="s">
        <v>141</v>
      </c>
      <c r="E129" s="464" t="s">
        <v>140</v>
      </c>
      <c r="F129" s="586"/>
      <c r="G129" s="586"/>
      <c r="H129" s="647">
        <v>0</v>
      </c>
      <c r="I129" s="833">
        <f t="shared" si="19"/>
        <v>0</v>
      </c>
      <c r="J129" s="833"/>
      <c r="K129" s="834" t="str">
        <f>IF(I129&gt;180,"zie rapport voor nadere toelichting overstroomvoorzieningen","")</f>
        <v/>
      </c>
      <c r="L129" s="834"/>
      <c r="M129" s="834"/>
      <c r="N129" s="834"/>
      <c r="O129" s="834"/>
      <c r="P129" s="834"/>
      <c r="Q129" s="525" t="str">
        <f>IF(H129=0,"verbergen","")</f>
        <v>verbergen</v>
      </c>
      <c r="R129" s="516"/>
      <c r="S129" s="516"/>
      <c r="T129" s="521"/>
      <c r="U129" s="516"/>
      <c r="V129" s="517"/>
      <c r="W129" s="517"/>
      <c r="X129" s="517"/>
      <c r="Y129" s="517"/>
      <c r="Z129" s="508"/>
      <c r="AA129" s="648"/>
      <c r="AB129" s="517"/>
      <c r="AC129" s="517"/>
      <c r="AD129" s="517"/>
      <c r="AE129" s="517"/>
      <c r="AF129" s="517"/>
    </row>
    <row r="130" spans="1:33" s="518" customFormat="1" ht="12" customHeight="1">
      <c r="A130" s="527"/>
      <c r="B130" s="515"/>
      <c r="C130" s="464" t="s">
        <v>140</v>
      </c>
      <c r="D130" s="100" t="s">
        <v>141</v>
      </c>
      <c r="E130" s="464" t="s">
        <v>140</v>
      </c>
      <c r="F130" s="586"/>
      <c r="G130" s="404"/>
      <c r="H130" s="647">
        <v>0</v>
      </c>
      <c r="I130" s="833">
        <f t="shared" si="19"/>
        <v>0</v>
      </c>
      <c r="J130" s="833"/>
      <c r="K130" s="834" t="str">
        <f>IF(I130&gt;180,"zie rapport voor nadere toelichting overstroomvoorzieningen","")</f>
        <v/>
      </c>
      <c r="L130" s="834"/>
      <c r="M130" s="834"/>
      <c r="N130" s="834"/>
      <c r="O130" s="834"/>
      <c r="P130" s="834"/>
      <c r="Q130" s="525" t="str">
        <f>IF(H130=0,"verbergen","")</f>
        <v>verbergen</v>
      </c>
      <c r="R130" s="516"/>
      <c r="S130" s="516"/>
      <c r="T130" s="521"/>
      <c r="U130" s="516"/>
      <c r="V130" s="517"/>
      <c r="W130" s="517"/>
      <c r="X130" s="517"/>
      <c r="Y130" s="517"/>
      <c r="Z130" s="508"/>
      <c r="AA130" s="648"/>
      <c r="AB130" s="517"/>
      <c r="AC130" s="517"/>
      <c r="AD130" s="517"/>
      <c r="AE130" s="517"/>
      <c r="AF130" s="517"/>
    </row>
    <row r="131" spans="1:33" s="518" customFormat="1" ht="12" customHeight="1">
      <c r="A131" s="527"/>
      <c r="B131" s="515"/>
      <c r="C131" s="472" t="s">
        <v>140</v>
      </c>
      <c r="D131" s="342" t="s">
        <v>141</v>
      </c>
      <c r="E131" s="472" t="s">
        <v>140</v>
      </c>
      <c r="F131" s="609"/>
      <c r="G131" s="628"/>
      <c r="H131" s="649">
        <v>0</v>
      </c>
      <c r="I131" s="835">
        <f t="shared" si="19"/>
        <v>0</v>
      </c>
      <c r="J131" s="835"/>
      <c r="K131" s="836" t="str">
        <f>IF(I131&gt;180,"zie rapport voor nadere toelichting overstroomvoorzieningen","")</f>
        <v/>
      </c>
      <c r="L131" s="836"/>
      <c r="M131" s="836"/>
      <c r="N131" s="836"/>
      <c r="O131" s="836"/>
      <c r="P131" s="836"/>
      <c r="Q131" s="525" t="str">
        <f>IF(H131=0,"verbergen","")</f>
        <v>verbergen</v>
      </c>
      <c r="R131" s="516"/>
      <c r="S131" s="516"/>
      <c r="T131" s="521"/>
      <c r="U131" s="516"/>
      <c r="V131" s="517"/>
      <c r="W131" s="517"/>
      <c r="X131" s="517"/>
      <c r="Y131" s="517"/>
      <c r="Z131" s="508"/>
      <c r="AA131" s="648"/>
      <c r="AB131" s="517"/>
      <c r="AC131" s="517"/>
      <c r="AD131" s="517"/>
      <c r="AE131" s="517"/>
      <c r="AF131" s="517"/>
    </row>
    <row r="132" spans="1:33" s="518" customFormat="1" ht="12" customHeight="1">
      <c r="A132" s="527"/>
      <c r="B132" s="590"/>
      <c r="C132" s="480" t="s">
        <v>734</v>
      </c>
      <c r="D132" s="592"/>
      <c r="E132" s="592"/>
      <c r="F132" s="650"/>
      <c r="G132" s="592"/>
      <c r="H132" s="651"/>
      <c r="I132" s="652"/>
      <c r="J132" s="653"/>
      <c r="K132" s="837" t="str">
        <f>IF(MAX(P127:P131)&gt;200,"zie rapport voor nadere toelichting overstroomvoorzieningen","")</f>
        <v/>
      </c>
      <c r="L132" s="837"/>
      <c r="M132" s="837"/>
      <c r="N132" s="837"/>
      <c r="O132" s="837"/>
      <c r="P132" s="837"/>
      <c r="Q132" s="516" t="str">
        <f>IF(SUM(H127:H133)=0,"verbergen","")</f>
        <v>verbergen</v>
      </c>
      <c r="R132" s="516"/>
      <c r="S132" s="516"/>
      <c r="T132" s="521"/>
      <c r="U132" s="516"/>
      <c r="V132" s="517"/>
      <c r="W132" s="517"/>
      <c r="X132" s="517"/>
      <c r="Y132" s="517"/>
      <c r="Z132" s="508"/>
      <c r="AA132" s="648"/>
      <c r="AB132" s="517"/>
      <c r="AC132" s="517"/>
      <c r="AD132" s="517"/>
      <c r="AE132" s="517"/>
      <c r="AF132" s="517"/>
    </row>
    <row r="133" spans="1:33" s="518" customFormat="1" ht="12" customHeight="1">
      <c r="A133" s="527"/>
      <c r="B133" s="515"/>
      <c r="C133" s="654"/>
      <c r="D133" s="404"/>
      <c r="E133" s="404"/>
      <c r="F133" s="586"/>
      <c r="G133" s="404"/>
      <c r="H133" s="655"/>
      <c r="I133" s="656"/>
      <c r="J133" s="657"/>
      <c r="K133" s="396"/>
      <c r="L133" s="396"/>
      <c r="M133" s="585"/>
      <c r="N133" s="585"/>
      <c r="O133" s="734"/>
      <c r="P133" s="734"/>
      <c r="Q133" s="516" t="str">
        <f>Q132</f>
        <v>verbergen</v>
      </c>
      <c r="R133" s="516"/>
      <c r="S133" s="516"/>
      <c r="T133" s="521"/>
      <c r="U133" s="516"/>
      <c r="V133" s="517"/>
      <c r="W133" s="517"/>
      <c r="X133" s="517"/>
      <c r="Y133" s="517"/>
      <c r="Z133" s="508"/>
      <c r="AA133" s="648"/>
      <c r="AB133" s="517"/>
      <c r="AC133" s="517"/>
      <c r="AD133" s="517"/>
      <c r="AE133" s="517"/>
      <c r="AF133" s="517"/>
    </row>
    <row r="134" spans="1:33" s="518" customFormat="1" ht="12" customHeight="1">
      <c r="A134" s="527"/>
      <c r="B134" s="515"/>
      <c r="C134" s="654"/>
      <c r="D134" s="404"/>
      <c r="E134" s="404"/>
      <c r="F134" s="586"/>
      <c r="G134" s="404"/>
      <c r="H134" s="655"/>
      <c r="I134" s="656"/>
      <c r="J134" s="657"/>
      <c r="K134" s="396"/>
      <c r="L134" s="396"/>
      <c r="M134" s="585"/>
      <c r="N134" s="585"/>
      <c r="O134" s="734"/>
      <c r="P134" s="734"/>
      <c r="Q134" s="516"/>
      <c r="R134" s="516"/>
      <c r="S134" s="516"/>
      <c r="T134" s="521"/>
      <c r="U134" s="516"/>
      <c r="V134" s="517"/>
      <c r="W134" s="517"/>
      <c r="X134" s="517"/>
      <c r="Y134" s="517"/>
      <c r="Z134" s="517"/>
      <c r="AA134" s="648"/>
      <c r="AB134" s="517"/>
      <c r="AC134" s="517"/>
      <c r="AD134" s="517"/>
      <c r="AE134" s="517"/>
      <c r="AF134" s="517"/>
    </row>
    <row r="135" spans="1:33" s="518" customFormat="1" ht="15" customHeight="1">
      <c r="A135" s="515"/>
      <c r="B135" s="658" t="s">
        <v>673</v>
      </c>
      <c r="C135" s="457" t="s">
        <v>1089</v>
      </c>
      <c r="D135" s="575"/>
      <c r="E135" s="575"/>
      <c r="F135" s="575"/>
      <c r="G135" s="575"/>
      <c r="H135" s="575"/>
      <c r="I135" s="575"/>
      <c r="J135" s="575"/>
      <c r="K135" s="575"/>
      <c r="L135" s="575"/>
      <c r="M135" s="575"/>
      <c r="N135" s="575"/>
      <c r="O135" s="575"/>
      <c r="P135" s="575"/>
      <c r="Q135" s="525"/>
      <c r="R135" s="659"/>
      <c r="S135" s="660"/>
      <c r="T135" s="521"/>
      <c r="U135" s="516"/>
      <c r="V135" s="517"/>
      <c r="W135" s="517"/>
      <c r="X135" s="517"/>
      <c r="Y135" s="517"/>
      <c r="Z135" s="517"/>
      <c r="AA135" s="517"/>
      <c r="AB135" s="517"/>
      <c r="AC135" s="524"/>
      <c r="AD135" s="517"/>
      <c r="AE135" s="517"/>
      <c r="AF135" s="517"/>
      <c r="AG135" s="517"/>
    </row>
    <row r="136" spans="1:33" s="518" customFormat="1" ht="12.75" hidden="1" customHeight="1">
      <c r="A136" s="515"/>
      <c r="B136" s="515"/>
      <c r="C136" s="661"/>
      <c r="D136" s="577"/>
      <c r="E136" s="577"/>
      <c r="F136" s="577"/>
      <c r="G136" s="577"/>
      <c r="H136" s="662"/>
      <c r="I136" s="662"/>
      <c r="J136" s="577"/>
      <c r="K136" s="577"/>
      <c r="L136" s="577"/>
      <c r="M136" s="577"/>
      <c r="N136" s="577"/>
      <c r="O136" s="577"/>
      <c r="P136" s="663"/>
      <c r="Q136" s="525"/>
      <c r="R136" s="659"/>
      <c r="S136" s="664"/>
      <c r="T136" s="521"/>
      <c r="U136" s="516"/>
      <c r="V136" s="517"/>
      <c r="W136" s="517"/>
      <c r="X136" s="517"/>
      <c r="Y136" s="517"/>
      <c r="Z136" s="517"/>
      <c r="AA136" s="517"/>
      <c r="AB136" s="517"/>
      <c r="AC136" s="524"/>
      <c r="AD136" s="517"/>
      <c r="AE136" s="517"/>
      <c r="AF136" s="517"/>
      <c r="AG136" s="517"/>
    </row>
    <row r="137" spans="1:33" ht="15" customHeight="1">
      <c r="A137" s="492"/>
      <c r="B137" s="492"/>
      <c r="C137" s="579" t="s">
        <v>133</v>
      </c>
      <c r="D137" s="809" t="s">
        <v>1100</v>
      </c>
      <c r="E137" s="809"/>
      <c r="F137" s="809" t="s">
        <v>678</v>
      </c>
      <c r="G137" s="809"/>
      <c r="H137" s="809" t="s">
        <v>677</v>
      </c>
      <c r="I137" s="809"/>
      <c r="J137" s="818" t="s">
        <v>134</v>
      </c>
      <c r="K137" s="818"/>
      <c r="L137" s="646"/>
      <c r="M137" s="844" t="s">
        <v>1107</v>
      </c>
      <c r="N137" s="844"/>
      <c r="O137" s="809" t="s">
        <v>1108</v>
      </c>
      <c r="P137" s="809"/>
      <c r="Q137" s="665"/>
      <c r="R137" s="507"/>
      <c r="S137" s="507"/>
      <c r="T137" s="532"/>
      <c r="U137" s="507"/>
      <c r="V137" s="508"/>
      <c r="W137" s="508"/>
      <c r="X137" s="508"/>
      <c r="Y137" s="508"/>
      <c r="Z137" s="508"/>
      <c r="AA137" s="508"/>
      <c r="AB137" s="508"/>
      <c r="AC137" s="534"/>
      <c r="AD137" s="508"/>
      <c r="AE137" s="508"/>
      <c r="AF137" s="508"/>
      <c r="AG137" s="508"/>
    </row>
    <row r="138" spans="1:33">
      <c r="A138" s="492"/>
      <c r="B138" s="492"/>
      <c r="C138" s="463"/>
      <c r="D138" s="463"/>
      <c r="E138" s="463"/>
      <c r="F138" s="463"/>
      <c r="G138" s="463"/>
      <c r="H138" s="456"/>
      <c r="I138" s="456"/>
      <c r="J138" s="456"/>
      <c r="K138" s="456"/>
      <c r="L138" s="456"/>
      <c r="M138" s="456"/>
      <c r="N138" s="456"/>
      <c r="O138" s="456"/>
      <c r="P138" s="456"/>
      <c r="Q138" s="507"/>
      <c r="R138" s="507"/>
      <c r="S138" s="507"/>
      <c r="T138" s="532"/>
      <c r="U138" s="507"/>
      <c r="V138" s="508"/>
      <c r="W138" s="508"/>
      <c r="X138" s="508"/>
      <c r="Y138" s="508"/>
      <c r="Z138" s="508"/>
      <c r="AA138" s="508"/>
      <c r="AB138" s="508"/>
      <c r="AC138" s="524"/>
      <c r="AD138" s="508"/>
      <c r="AE138" s="517"/>
      <c r="AF138" s="508"/>
      <c r="AG138" s="508"/>
    </row>
    <row r="139" spans="1:33" s="518" customFormat="1" ht="12" customHeight="1">
      <c r="A139" s="515"/>
      <c r="B139" s="515"/>
      <c r="C139" s="464" t="s">
        <v>140</v>
      </c>
      <c r="D139" s="831" cm="1">
        <f t="array" ref="D139">SUMPRODUCT(($AE$1:$AE$28016)*($L$1:$L$28016=C139))</f>
        <v>0</v>
      </c>
      <c r="E139" s="831"/>
      <c r="F139" s="811">
        <v>2</v>
      </c>
      <c r="G139" s="811"/>
      <c r="H139" s="841">
        <f t="shared" ref="H139:H144" si="20">IF(F139=0,"",IF(F139=1,0.1,0.4))</f>
        <v>0.4</v>
      </c>
      <c r="I139" s="841"/>
      <c r="J139" s="842" t="s">
        <v>245</v>
      </c>
      <c r="K139" s="842"/>
      <c r="L139" s="404"/>
      <c r="M139" s="666">
        <f>verzamelblad!$S$7*D139/H139/1000</f>
        <v>0</v>
      </c>
      <c r="N139" s="735"/>
      <c r="O139" s="843"/>
      <c r="P139" s="843"/>
      <c r="Q139" s="525" t="str">
        <f t="shared" ref="Q139:Q144" si="21">IF(D139=0,"verbergen","")</f>
        <v>verbergen</v>
      </c>
      <c r="R139" s="516"/>
      <c r="S139" s="516"/>
      <c r="T139" s="516"/>
      <c r="U139" s="516"/>
      <c r="V139" s="517"/>
      <c r="W139" s="508">
        <v>1</v>
      </c>
      <c r="X139" s="517"/>
      <c r="Y139" s="517"/>
      <c r="Z139" s="517"/>
      <c r="AA139" s="517"/>
      <c r="AB139" s="517"/>
      <c r="AC139" s="517"/>
      <c r="AD139" s="517"/>
      <c r="AE139" s="517"/>
      <c r="AF139" s="517"/>
      <c r="AG139" s="517"/>
    </row>
    <row r="140" spans="1:33" s="518" customFormat="1" ht="12" customHeight="1">
      <c r="A140" s="515"/>
      <c r="B140" s="515"/>
      <c r="C140" s="464" t="s">
        <v>140</v>
      </c>
      <c r="D140" s="831">
        <f>SUMPRODUCT(($AE$1:$AE$28016)*($L$1:$L$28016=C140))</f>
        <v>0</v>
      </c>
      <c r="E140" s="831"/>
      <c r="F140" s="811">
        <v>2</v>
      </c>
      <c r="G140" s="811"/>
      <c r="H140" s="841">
        <f t="shared" si="20"/>
        <v>0.4</v>
      </c>
      <c r="I140" s="841"/>
      <c r="J140" s="842" t="s">
        <v>245</v>
      </c>
      <c r="K140" s="842"/>
      <c r="L140" s="404"/>
      <c r="M140" s="666">
        <f>verzamelblad!$S$7*D140/H140/1000</f>
        <v>0</v>
      </c>
      <c r="N140" s="735"/>
      <c r="O140" s="843"/>
      <c r="P140" s="843"/>
      <c r="Q140" s="525" t="str">
        <f t="shared" si="21"/>
        <v>verbergen</v>
      </c>
      <c r="R140" s="516"/>
      <c r="S140" s="516"/>
      <c r="T140" s="516"/>
      <c r="U140" s="516"/>
      <c r="V140" s="517"/>
      <c r="W140" s="508">
        <v>1</v>
      </c>
      <c r="X140" s="517"/>
      <c r="Y140" s="517"/>
      <c r="Z140" s="517"/>
      <c r="AA140" s="517"/>
      <c r="AB140" s="517"/>
      <c r="AC140" s="517"/>
      <c r="AD140" s="517"/>
      <c r="AE140" s="517"/>
      <c r="AF140" s="517"/>
      <c r="AG140" s="517"/>
    </row>
    <row r="141" spans="1:33" s="518" customFormat="1" ht="12" customHeight="1">
      <c r="A141" s="515"/>
      <c r="B141" s="515"/>
      <c r="C141" s="464" t="s">
        <v>140</v>
      </c>
      <c r="D141" s="831">
        <f>SUMPRODUCT(($AE$1:$AE$28016)*($L$1:$L$28016=C141))</f>
        <v>0</v>
      </c>
      <c r="E141" s="831"/>
      <c r="F141" s="811">
        <v>2</v>
      </c>
      <c r="G141" s="811"/>
      <c r="H141" s="841">
        <f t="shared" si="20"/>
        <v>0.4</v>
      </c>
      <c r="I141" s="841"/>
      <c r="J141" s="842" t="s">
        <v>245</v>
      </c>
      <c r="K141" s="842"/>
      <c r="L141" s="404"/>
      <c r="M141" s="666">
        <f>verzamelblad!$S$7*D141/H141/1000</f>
        <v>0</v>
      </c>
      <c r="N141" s="735"/>
      <c r="O141" s="845" t="s">
        <v>1139</v>
      </c>
      <c r="P141" s="846"/>
      <c r="Q141" s="525" t="str">
        <f t="shared" si="21"/>
        <v>verbergen</v>
      </c>
      <c r="R141" s="516"/>
      <c r="S141" s="516"/>
      <c r="T141" s="516"/>
      <c r="U141" s="516"/>
      <c r="V141" s="517"/>
      <c r="W141" s="508">
        <v>1</v>
      </c>
      <c r="X141" s="517"/>
      <c r="Y141" s="517"/>
      <c r="Z141" s="517"/>
      <c r="AA141" s="517"/>
      <c r="AB141" s="517"/>
      <c r="AC141" s="517"/>
      <c r="AD141" s="517"/>
      <c r="AE141" s="517"/>
      <c r="AF141" s="517"/>
      <c r="AG141" s="517"/>
    </row>
    <row r="142" spans="1:33" s="518" customFormat="1" ht="12" customHeight="1">
      <c r="A142" s="515"/>
      <c r="B142" s="515"/>
      <c r="C142" s="464" t="s">
        <v>140</v>
      </c>
      <c r="D142" s="831">
        <f>SUMPRODUCT(($AE$1:$AE$28016)*($L$1:$L$28016=C142))</f>
        <v>0</v>
      </c>
      <c r="E142" s="831"/>
      <c r="F142" s="811">
        <v>2</v>
      </c>
      <c r="G142" s="811"/>
      <c r="H142" s="841">
        <f t="shared" si="20"/>
        <v>0.4</v>
      </c>
      <c r="I142" s="841"/>
      <c r="J142" s="842" t="s">
        <v>245</v>
      </c>
      <c r="K142" s="842"/>
      <c r="L142" s="404"/>
      <c r="M142" s="666">
        <f>verzamelblad!$S$7*D142/H142/1000</f>
        <v>0</v>
      </c>
      <c r="N142" s="735"/>
      <c r="O142" s="843"/>
      <c r="P142" s="843"/>
      <c r="Q142" s="525" t="str">
        <f t="shared" si="21"/>
        <v>verbergen</v>
      </c>
      <c r="R142" s="516"/>
      <c r="S142" s="516"/>
      <c r="T142" s="516"/>
      <c r="U142" s="516"/>
      <c r="V142" s="517"/>
      <c r="W142" s="508">
        <v>1</v>
      </c>
      <c r="X142" s="517"/>
      <c r="Y142" s="517"/>
      <c r="Z142" s="517"/>
      <c r="AA142" s="517"/>
      <c r="AB142" s="517"/>
      <c r="AC142" s="517"/>
      <c r="AD142" s="517"/>
      <c r="AE142" s="517"/>
      <c r="AF142" s="517"/>
      <c r="AG142" s="517"/>
    </row>
    <row r="143" spans="1:33" s="518" customFormat="1" ht="12" customHeight="1">
      <c r="A143" s="515"/>
      <c r="B143" s="515"/>
      <c r="C143" s="667" t="s">
        <v>140</v>
      </c>
      <c r="D143" s="847">
        <f>SUMPRODUCT(($AE$1:$AE$28016)*($L$1:$L$28016=C143))</f>
        <v>0</v>
      </c>
      <c r="E143" s="847"/>
      <c r="F143" s="812">
        <v>2</v>
      </c>
      <c r="G143" s="812"/>
      <c r="H143" s="848">
        <f t="shared" si="20"/>
        <v>0.4</v>
      </c>
      <c r="I143" s="848"/>
      <c r="J143" s="849" t="s">
        <v>245</v>
      </c>
      <c r="K143" s="849"/>
      <c r="L143" s="628"/>
      <c r="M143" s="668">
        <f>verzamelblad!$S$7*D143/H143/1000</f>
        <v>0</v>
      </c>
      <c r="N143" s="738"/>
      <c r="O143" s="850"/>
      <c r="P143" s="850"/>
      <c r="Q143" s="525" t="str">
        <f t="shared" si="21"/>
        <v>verbergen</v>
      </c>
      <c r="R143" s="516"/>
      <c r="S143" s="516"/>
      <c r="T143" s="516"/>
      <c r="U143" s="516"/>
      <c r="V143" s="517"/>
      <c r="W143" s="508">
        <v>1</v>
      </c>
      <c r="X143" s="517"/>
      <c r="Y143" s="517"/>
      <c r="Z143" s="517"/>
      <c r="AA143" s="517"/>
      <c r="AB143" s="517"/>
      <c r="AC143" s="517"/>
      <c r="AD143" s="517"/>
      <c r="AE143" s="517"/>
      <c r="AF143" s="517"/>
      <c r="AG143" s="517"/>
    </row>
    <row r="144" spans="1:33" s="518" customFormat="1" ht="12" customHeight="1">
      <c r="A144" s="515"/>
      <c r="B144" s="590">
        <v>1</v>
      </c>
      <c r="C144" s="480">
        <f>B144</f>
        <v>1</v>
      </c>
      <c r="D144" s="851">
        <f>SUMPRODUCT(($AD$1:$AD$49973)*($AC$1:$AC$49973=B144))</f>
        <v>0</v>
      </c>
      <c r="E144" s="851"/>
      <c r="F144" s="852">
        <v>2</v>
      </c>
      <c r="G144" s="852"/>
      <c r="H144" s="853">
        <f t="shared" si="20"/>
        <v>0.4</v>
      </c>
      <c r="I144" s="853"/>
      <c r="J144" s="854" t="s">
        <v>245</v>
      </c>
      <c r="K144" s="854"/>
      <c r="L144" s="592"/>
      <c r="M144" s="669">
        <f>verzamelblad!$R$7*D144/H144/1000</f>
        <v>0</v>
      </c>
      <c r="N144" s="739"/>
      <c r="O144" s="855"/>
      <c r="P144" s="855"/>
      <c r="Q144" s="525" t="str">
        <f t="shared" si="21"/>
        <v>verbergen</v>
      </c>
      <c r="R144" s="516"/>
      <c r="S144" s="516"/>
      <c r="T144" s="516"/>
      <c r="U144" s="516"/>
      <c r="V144" s="517"/>
      <c r="W144" s="508">
        <v>1</v>
      </c>
      <c r="X144" s="517"/>
      <c r="Y144" s="517"/>
      <c r="Z144" s="517"/>
      <c r="AA144" s="517"/>
      <c r="AB144" s="517"/>
      <c r="AC144" s="524"/>
      <c r="AD144" s="517"/>
      <c r="AE144" s="517"/>
      <c r="AF144" s="517"/>
      <c r="AG144" s="517"/>
    </row>
    <row r="145" spans="1:34" ht="12" customHeight="1">
      <c r="A145" s="492"/>
      <c r="B145" s="492"/>
      <c r="C145" s="463"/>
      <c r="D145" s="463"/>
      <c r="E145" s="463"/>
      <c r="F145" s="463"/>
      <c r="G145" s="463"/>
      <c r="H145" s="456"/>
      <c r="I145" s="456"/>
      <c r="J145" s="456"/>
      <c r="K145" s="456"/>
      <c r="L145" s="456"/>
      <c r="M145" s="456"/>
      <c r="N145" s="456"/>
      <c r="O145" s="456"/>
      <c r="P145" s="456"/>
      <c r="Q145" s="525"/>
      <c r="R145" s="507"/>
      <c r="S145" s="507"/>
      <c r="T145" s="532"/>
      <c r="U145" s="507"/>
      <c r="V145" s="508"/>
      <c r="W145" s="508">
        <v>1</v>
      </c>
      <c r="X145" s="508"/>
      <c r="Y145" s="508"/>
      <c r="Z145" s="508"/>
      <c r="AA145" s="508"/>
      <c r="AB145" s="508"/>
      <c r="AC145" s="508"/>
      <c r="AD145" s="508"/>
      <c r="AE145" s="508"/>
      <c r="AF145" s="508"/>
      <c r="AG145" s="508"/>
    </row>
    <row r="146" spans="1:34" s="541" customFormat="1" ht="12" customHeight="1">
      <c r="A146" s="543"/>
      <c r="B146" s="543"/>
      <c r="C146" s="464" t="s">
        <v>140</v>
      </c>
      <c r="D146" s="831">
        <f>SUMPRODUCT(($AE$1:$AE$27959)*($L$1:$L$27959=C146))</f>
        <v>0</v>
      </c>
      <c r="E146" s="831"/>
      <c r="F146" s="811">
        <v>2</v>
      </c>
      <c r="G146" s="811"/>
      <c r="H146" s="841">
        <f t="shared" ref="H146:H151" si="22">IF(F146=0,"",IF(F146=1,0.1,0.4))</f>
        <v>0.4</v>
      </c>
      <c r="I146" s="841"/>
      <c r="J146" s="842" t="s">
        <v>245</v>
      </c>
      <c r="K146" s="842"/>
      <c r="L146" s="404"/>
      <c r="M146" s="666">
        <f>verzamelblad!$S$7*D146/H146/1000</f>
        <v>0</v>
      </c>
      <c r="N146" s="735"/>
      <c r="O146" s="843"/>
      <c r="P146" s="843"/>
      <c r="Q146" s="403" t="str">
        <f>IF(D146=0,"verbergen","")</f>
        <v>verbergen</v>
      </c>
      <c r="R146" s="404"/>
      <c r="S146" s="404"/>
      <c r="T146" s="392"/>
      <c r="U146" s="392"/>
      <c r="V146" s="392"/>
      <c r="W146" s="547">
        <f>W145+1</f>
        <v>2</v>
      </c>
      <c r="X146" s="392"/>
      <c r="Y146" s="392"/>
      <c r="Z146" s="392"/>
      <c r="AA146" s="404"/>
      <c r="AB146" s="516"/>
      <c r="AC146" s="516"/>
      <c r="AD146" s="516"/>
      <c r="AE146" s="516"/>
      <c r="AF146" s="516"/>
      <c r="AG146" s="516"/>
      <c r="AH146" s="516"/>
    </row>
    <row r="147" spans="1:34" s="541" customFormat="1" ht="12" customHeight="1">
      <c r="A147" s="543"/>
      <c r="B147" s="543"/>
      <c r="C147" s="464" t="s">
        <v>140</v>
      </c>
      <c r="D147" s="831">
        <f>SUMPRODUCT(($AE$1:$AE$27959)*($L$1:$L$27959=C147))</f>
        <v>0</v>
      </c>
      <c r="E147" s="831"/>
      <c r="F147" s="811">
        <v>2</v>
      </c>
      <c r="G147" s="811"/>
      <c r="H147" s="841">
        <f t="shared" si="22"/>
        <v>0.4</v>
      </c>
      <c r="I147" s="841"/>
      <c r="J147" s="842" t="s">
        <v>245</v>
      </c>
      <c r="K147" s="842"/>
      <c r="L147" s="404"/>
      <c r="M147" s="666">
        <f>verzamelblad!$S$7*D147/H147/1000</f>
        <v>0</v>
      </c>
      <c r="N147" s="735"/>
      <c r="O147" s="843"/>
      <c r="P147" s="843"/>
      <c r="Q147" s="403" t="str">
        <f t="shared" ref="Q147:Q151" si="23">IF(D147=0,"verbergen","")</f>
        <v>verbergen</v>
      </c>
      <c r="R147" s="404"/>
      <c r="S147" s="404"/>
      <c r="T147" s="392"/>
      <c r="U147" s="392"/>
      <c r="V147" s="392"/>
      <c r="W147" s="547">
        <f t="shared" ref="W147:W152" si="24">W146</f>
        <v>2</v>
      </c>
      <c r="X147" s="392"/>
      <c r="Y147" s="392"/>
      <c r="Z147" s="392"/>
      <c r="AA147" s="404"/>
      <c r="AB147" s="516"/>
      <c r="AC147" s="516"/>
      <c r="AD147" s="516"/>
      <c r="AE147" s="516"/>
      <c r="AF147" s="516"/>
      <c r="AG147" s="516"/>
      <c r="AH147" s="516"/>
    </row>
    <row r="148" spans="1:34" s="541" customFormat="1" ht="12" customHeight="1">
      <c r="A148" s="543"/>
      <c r="B148" s="543"/>
      <c r="C148" s="464" t="s">
        <v>140</v>
      </c>
      <c r="D148" s="831">
        <f>SUMPRODUCT(($AE$1:$AE$27959)*($L$1:$L$27959=C148))</f>
        <v>0</v>
      </c>
      <c r="E148" s="831"/>
      <c r="F148" s="811">
        <v>2</v>
      </c>
      <c r="G148" s="811"/>
      <c r="H148" s="841">
        <f t="shared" si="22"/>
        <v>0.4</v>
      </c>
      <c r="I148" s="841"/>
      <c r="J148" s="842" t="s">
        <v>245</v>
      </c>
      <c r="K148" s="842"/>
      <c r="L148" s="404"/>
      <c r="M148" s="666">
        <f>verzamelblad!$S$7*D148/H148/1000</f>
        <v>0</v>
      </c>
      <c r="N148" s="735"/>
      <c r="O148" s="843"/>
      <c r="P148" s="843"/>
      <c r="Q148" s="403" t="str">
        <f t="shared" si="23"/>
        <v>verbergen</v>
      </c>
      <c r="R148" s="404"/>
      <c r="S148" s="404"/>
      <c r="T148" s="392"/>
      <c r="U148" s="392"/>
      <c r="V148" s="392"/>
      <c r="W148" s="547">
        <f t="shared" si="24"/>
        <v>2</v>
      </c>
      <c r="X148" s="392"/>
      <c r="Y148" s="392"/>
      <c r="Z148" s="392"/>
      <c r="AA148" s="404"/>
      <c r="AB148" s="516"/>
      <c r="AC148" s="516"/>
      <c r="AD148" s="516"/>
      <c r="AE148" s="516"/>
      <c r="AF148" s="516"/>
      <c r="AG148" s="516"/>
      <c r="AH148" s="516"/>
    </row>
    <row r="149" spans="1:34" s="541" customFormat="1" ht="12" customHeight="1">
      <c r="A149" s="543"/>
      <c r="B149" s="543"/>
      <c r="C149" s="464" t="s">
        <v>140</v>
      </c>
      <c r="D149" s="831">
        <f>SUMPRODUCT(($AE$1:$AE$27959)*($L$1:$L$27959=C149))</f>
        <v>0</v>
      </c>
      <c r="E149" s="831"/>
      <c r="F149" s="811">
        <v>2</v>
      </c>
      <c r="G149" s="811"/>
      <c r="H149" s="841">
        <f t="shared" si="22"/>
        <v>0.4</v>
      </c>
      <c r="I149" s="841"/>
      <c r="J149" s="842" t="s">
        <v>245</v>
      </c>
      <c r="K149" s="842"/>
      <c r="L149" s="404"/>
      <c r="M149" s="666">
        <f>verzamelblad!$S$7*D149/H149/1000</f>
        <v>0</v>
      </c>
      <c r="N149" s="735"/>
      <c r="O149" s="843"/>
      <c r="P149" s="843"/>
      <c r="Q149" s="403" t="str">
        <f t="shared" si="23"/>
        <v>verbergen</v>
      </c>
      <c r="R149" s="404"/>
      <c r="S149" s="404"/>
      <c r="T149" s="392"/>
      <c r="U149" s="392"/>
      <c r="V149" s="392"/>
      <c r="W149" s="547">
        <f t="shared" si="24"/>
        <v>2</v>
      </c>
      <c r="X149" s="392"/>
      <c r="Y149" s="392"/>
      <c r="Z149" s="392"/>
      <c r="AA149" s="404"/>
      <c r="AB149" s="516"/>
      <c r="AC149" s="516"/>
      <c r="AD149" s="516"/>
      <c r="AE149" s="516"/>
      <c r="AF149" s="516"/>
      <c r="AG149" s="516"/>
      <c r="AH149" s="516"/>
    </row>
    <row r="150" spans="1:34" s="541" customFormat="1" ht="12" customHeight="1">
      <c r="A150" s="543"/>
      <c r="B150" s="543"/>
      <c r="C150" s="464" t="s">
        <v>140</v>
      </c>
      <c r="D150" s="847">
        <f>SUMPRODUCT(($AE$1:$AE$27959)*($L$1:$L$27959=C150))</f>
        <v>0</v>
      </c>
      <c r="E150" s="847"/>
      <c r="F150" s="812">
        <v>2</v>
      </c>
      <c r="G150" s="812"/>
      <c r="H150" s="848">
        <f t="shared" si="22"/>
        <v>0.4</v>
      </c>
      <c r="I150" s="848"/>
      <c r="J150" s="849" t="s">
        <v>245</v>
      </c>
      <c r="K150" s="849"/>
      <c r="L150" s="628"/>
      <c r="M150" s="668">
        <f>verzamelblad!$S$7*D150/H150/1000</f>
        <v>0</v>
      </c>
      <c r="N150" s="738"/>
      <c r="O150" s="850"/>
      <c r="P150" s="850"/>
      <c r="Q150" s="403" t="str">
        <f>IF(D150=0,"verbergen","")</f>
        <v>verbergen</v>
      </c>
      <c r="R150" s="404"/>
      <c r="S150" s="404"/>
      <c r="T150" s="392"/>
      <c r="U150" s="392"/>
      <c r="V150" s="392"/>
      <c r="W150" s="547">
        <f t="shared" si="24"/>
        <v>2</v>
      </c>
      <c r="X150" s="392"/>
      <c r="Y150" s="392"/>
      <c r="Z150" s="392"/>
      <c r="AA150" s="404"/>
      <c r="AB150" s="516"/>
      <c r="AC150" s="516"/>
      <c r="AD150" s="516"/>
      <c r="AE150" s="516"/>
      <c r="AF150" s="516"/>
      <c r="AG150" s="516"/>
      <c r="AH150" s="516"/>
    </row>
    <row r="151" spans="1:34" s="541" customFormat="1" ht="12" customHeight="1">
      <c r="A151" s="543"/>
      <c r="B151" s="556">
        <f>B144+1</f>
        <v>2</v>
      </c>
      <c r="C151" s="480">
        <f>B151</f>
        <v>2</v>
      </c>
      <c r="D151" s="851">
        <f>SUMPRODUCT(($AD$1:$AD$49985)*($AC$1:$AC$49985=B151))</f>
        <v>0</v>
      </c>
      <c r="E151" s="851"/>
      <c r="F151" s="852">
        <v>2</v>
      </c>
      <c r="G151" s="852"/>
      <c r="H151" s="853">
        <f t="shared" si="22"/>
        <v>0.4</v>
      </c>
      <c r="I151" s="853"/>
      <c r="J151" s="854" t="s">
        <v>245</v>
      </c>
      <c r="K151" s="854"/>
      <c r="L151" s="592"/>
      <c r="M151" s="669">
        <f>verzamelblad!$R$7*D151/H151/1000</f>
        <v>0</v>
      </c>
      <c r="N151" s="739"/>
      <c r="O151" s="855"/>
      <c r="P151" s="855"/>
      <c r="Q151" s="403" t="str">
        <f t="shared" si="23"/>
        <v>verbergen</v>
      </c>
      <c r="R151" s="404"/>
      <c r="S151" s="404"/>
      <c r="T151" s="392"/>
      <c r="U151" s="392"/>
      <c r="V151" s="392"/>
      <c r="W151" s="547">
        <f t="shared" si="24"/>
        <v>2</v>
      </c>
      <c r="X151" s="392"/>
      <c r="Y151" s="392"/>
      <c r="Z151" s="392"/>
      <c r="AA151" s="404"/>
      <c r="AB151" s="516"/>
      <c r="AC151" s="516"/>
      <c r="AD151" s="516"/>
      <c r="AE151" s="516"/>
      <c r="AF151" s="516"/>
      <c r="AG151" s="516"/>
      <c r="AH151" s="516"/>
    </row>
    <row r="152" spans="1:34" s="493" customFormat="1" ht="12" customHeight="1">
      <c r="A152" s="560"/>
      <c r="B152" s="560"/>
      <c r="C152" s="463"/>
      <c r="D152" s="463"/>
      <c r="E152" s="463"/>
      <c r="F152" s="463"/>
      <c r="G152" s="463"/>
      <c r="H152" s="456"/>
      <c r="I152" s="456"/>
      <c r="J152" s="456"/>
      <c r="K152" s="456"/>
      <c r="L152" s="456"/>
      <c r="M152" s="456"/>
      <c r="N152" s="456"/>
      <c r="O152" s="456"/>
      <c r="P152" s="456"/>
      <c r="Q152" s="451"/>
      <c r="R152" s="451"/>
      <c r="S152" s="451"/>
      <c r="T152" s="561"/>
      <c r="U152" s="547"/>
      <c r="V152" s="547"/>
      <c r="W152" s="547">
        <f t="shared" si="24"/>
        <v>2</v>
      </c>
      <c r="X152" s="547"/>
      <c r="Y152" s="547"/>
      <c r="Z152" s="547"/>
      <c r="AA152" s="451"/>
      <c r="AB152" s="507"/>
      <c r="AC152" s="507"/>
      <c r="AD152" s="507"/>
      <c r="AE152" s="507"/>
      <c r="AF152" s="507"/>
      <c r="AG152" s="507"/>
      <c r="AH152" s="507"/>
    </row>
    <row r="153" spans="1:34" ht="12" customHeight="1"/>
  </sheetData>
  <dataConsolidate/>
  <mergeCells count="217">
    <mergeCell ref="D151:E151"/>
    <mergeCell ref="F151:G151"/>
    <mergeCell ref="H151:I151"/>
    <mergeCell ref="J151:K151"/>
    <mergeCell ref="O151:P151"/>
    <mergeCell ref="D149:E149"/>
    <mergeCell ref="F149:G149"/>
    <mergeCell ref="H149:I149"/>
    <mergeCell ref="J149:K149"/>
    <mergeCell ref="O149:P149"/>
    <mergeCell ref="D150:E150"/>
    <mergeCell ref="F150:G150"/>
    <mergeCell ref="H150:I150"/>
    <mergeCell ref="J150:K150"/>
    <mergeCell ref="O150:P150"/>
    <mergeCell ref="D147:E147"/>
    <mergeCell ref="F147:G147"/>
    <mergeCell ref="H147:I147"/>
    <mergeCell ref="J147:K147"/>
    <mergeCell ref="O147:P147"/>
    <mergeCell ref="D148:E148"/>
    <mergeCell ref="F148:G148"/>
    <mergeCell ref="H148:I148"/>
    <mergeCell ref="J148:K148"/>
    <mergeCell ref="O148:P148"/>
    <mergeCell ref="D144:E144"/>
    <mergeCell ref="F144:G144"/>
    <mergeCell ref="H144:I144"/>
    <mergeCell ref="J144:K144"/>
    <mergeCell ref="O144:P144"/>
    <mergeCell ref="D146:E146"/>
    <mergeCell ref="F146:G146"/>
    <mergeCell ref="H146:I146"/>
    <mergeCell ref="J146:K146"/>
    <mergeCell ref="O146:P146"/>
    <mergeCell ref="D142:E142"/>
    <mergeCell ref="F142:G142"/>
    <mergeCell ref="H142:I142"/>
    <mergeCell ref="J142:K142"/>
    <mergeCell ref="O142:P142"/>
    <mergeCell ref="D143:E143"/>
    <mergeCell ref="F143:G143"/>
    <mergeCell ref="H143:I143"/>
    <mergeCell ref="J143:K143"/>
    <mergeCell ref="O143:P143"/>
    <mergeCell ref="D140:E140"/>
    <mergeCell ref="F140:G140"/>
    <mergeCell ref="H140:I140"/>
    <mergeCell ref="J140:K140"/>
    <mergeCell ref="O140:P140"/>
    <mergeCell ref="D141:E141"/>
    <mergeCell ref="F141:G141"/>
    <mergeCell ref="H141:I141"/>
    <mergeCell ref="J141:K141"/>
    <mergeCell ref="O141:P141"/>
    <mergeCell ref="O137:P137"/>
    <mergeCell ref="D139:E139"/>
    <mergeCell ref="F139:G139"/>
    <mergeCell ref="H139:I139"/>
    <mergeCell ref="J139:K139"/>
    <mergeCell ref="O139:P139"/>
    <mergeCell ref="I130:J130"/>
    <mergeCell ref="K130:P130"/>
    <mergeCell ref="I131:J131"/>
    <mergeCell ref="K131:P131"/>
    <mergeCell ref="K132:P132"/>
    <mergeCell ref="D137:E137"/>
    <mergeCell ref="F137:G137"/>
    <mergeCell ref="H137:I137"/>
    <mergeCell ref="J137:K137"/>
    <mergeCell ref="M137:N137"/>
    <mergeCell ref="I127:J127"/>
    <mergeCell ref="K127:P127"/>
    <mergeCell ref="I128:J128"/>
    <mergeCell ref="K128:P128"/>
    <mergeCell ref="I129:J129"/>
    <mergeCell ref="K129:P129"/>
    <mergeCell ref="I123:J123"/>
    <mergeCell ref="K123:P123"/>
    <mergeCell ref="I124:J124"/>
    <mergeCell ref="K124:P124"/>
    <mergeCell ref="K125:P125"/>
    <mergeCell ref="K126:L126"/>
    <mergeCell ref="M126:N126"/>
    <mergeCell ref="O126:P126"/>
    <mergeCell ref="I120:J120"/>
    <mergeCell ref="K120:P120"/>
    <mergeCell ref="I121:J121"/>
    <mergeCell ref="K121:P121"/>
    <mergeCell ref="I122:J122"/>
    <mergeCell ref="K122:P122"/>
    <mergeCell ref="I116:J116"/>
    <mergeCell ref="K116:P116"/>
    <mergeCell ref="I117:J117"/>
    <mergeCell ref="K117:P117"/>
    <mergeCell ref="K118:P118"/>
    <mergeCell ref="K119:L119"/>
    <mergeCell ref="M119:N119"/>
    <mergeCell ref="O119:P119"/>
    <mergeCell ref="I113:J113"/>
    <mergeCell ref="K113:P113"/>
    <mergeCell ref="I114:J114"/>
    <mergeCell ref="K114:P114"/>
    <mergeCell ref="I115:J115"/>
    <mergeCell ref="K115:P115"/>
    <mergeCell ref="K106:P106"/>
    <mergeCell ref="K107:P107"/>
    <mergeCell ref="M108:P108"/>
    <mergeCell ref="D109:E109"/>
    <mergeCell ref="M109:N109"/>
    <mergeCell ref="I112:J112"/>
    <mergeCell ref="D97:E97"/>
    <mergeCell ref="M97:N97"/>
    <mergeCell ref="K102:P102"/>
    <mergeCell ref="K103:P103"/>
    <mergeCell ref="K104:P104"/>
    <mergeCell ref="K105:P105"/>
    <mergeCell ref="K91:P91"/>
    <mergeCell ref="K92:P92"/>
    <mergeCell ref="K93:P93"/>
    <mergeCell ref="K94:P94"/>
    <mergeCell ref="K95:P95"/>
    <mergeCell ref="M96:P96"/>
    <mergeCell ref="I85:J85"/>
    <mergeCell ref="L85:M85"/>
    <mergeCell ref="N85:O85"/>
    <mergeCell ref="F86:H86"/>
    <mergeCell ref="M86:N86"/>
    <mergeCell ref="K90:P90"/>
    <mergeCell ref="I83:J83"/>
    <mergeCell ref="L83:M83"/>
    <mergeCell ref="N83:O83"/>
    <mergeCell ref="I84:J84"/>
    <mergeCell ref="L84:M84"/>
    <mergeCell ref="N84:O84"/>
    <mergeCell ref="I78:J78"/>
    <mergeCell ref="L78:M78"/>
    <mergeCell ref="N78:O78"/>
    <mergeCell ref="F79:H79"/>
    <mergeCell ref="M79:N79"/>
    <mergeCell ref="I82:J82"/>
    <mergeCell ref="L82:M82"/>
    <mergeCell ref="N82:O82"/>
    <mergeCell ref="I76:J76"/>
    <mergeCell ref="L76:M76"/>
    <mergeCell ref="N76:O76"/>
    <mergeCell ref="I77:J77"/>
    <mergeCell ref="L77:M77"/>
    <mergeCell ref="N77:O77"/>
    <mergeCell ref="F72:H72"/>
    <mergeCell ref="M72:N72"/>
    <mergeCell ref="I74:J74"/>
    <mergeCell ref="L74:M74"/>
    <mergeCell ref="N74:O74"/>
    <mergeCell ref="I75:J75"/>
    <mergeCell ref="L75:M75"/>
    <mergeCell ref="N75:O75"/>
    <mergeCell ref="N67:O67"/>
    <mergeCell ref="I68:J68"/>
    <mergeCell ref="N68:O68"/>
    <mergeCell ref="AJ68:AL71"/>
    <mergeCell ref="I69:J69"/>
    <mergeCell ref="N69:O69"/>
    <mergeCell ref="I70:J70"/>
    <mergeCell ref="N70:O70"/>
    <mergeCell ref="I71:J71"/>
    <mergeCell ref="N71:O71"/>
    <mergeCell ref="F64:H64"/>
    <mergeCell ref="F66:H66"/>
    <mergeCell ref="I66:J66"/>
    <mergeCell ref="L66:M66"/>
    <mergeCell ref="I67:J67"/>
    <mergeCell ref="L67:M67"/>
    <mergeCell ref="D49:E49"/>
    <mergeCell ref="D50:E50"/>
    <mergeCell ref="E51:G51"/>
    <mergeCell ref="D55:G55"/>
    <mergeCell ref="D57:G57"/>
    <mergeCell ref="D58:G58"/>
    <mergeCell ref="D42:E42"/>
    <mergeCell ref="D43:E43"/>
    <mergeCell ref="E44:G44"/>
    <mergeCell ref="D46:E46"/>
    <mergeCell ref="D47:E47"/>
    <mergeCell ref="D48:E48"/>
    <mergeCell ref="F33:G33"/>
    <mergeCell ref="D37:E37"/>
    <mergeCell ref="D38:F38"/>
    <mergeCell ref="D39:E39"/>
    <mergeCell ref="D40:E40"/>
    <mergeCell ref="D41:E41"/>
    <mergeCell ref="F30:G30"/>
    <mergeCell ref="J30:K30"/>
    <mergeCell ref="N30:O30"/>
    <mergeCell ref="F31:G31"/>
    <mergeCell ref="J31:K31"/>
    <mergeCell ref="N31:O31"/>
    <mergeCell ref="F29:G29"/>
    <mergeCell ref="J29:K29"/>
    <mergeCell ref="N29:O29"/>
    <mergeCell ref="H22:I22"/>
    <mergeCell ref="H23:I23"/>
    <mergeCell ref="C25:P25"/>
    <mergeCell ref="F27:G27"/>
    <mergeCell ref="H27:I27"/>
    <mergeCell ref="J27:K27"/>
    <mergeCell ref="L27:M27"/>
    <mergeCell ref="N27:O27"/>
    <mergeCell ref="C4:P4"/>
    <mergeCell ref="C5:L5"/>
    <mergeCell ref="C6:P6"/>
    <mergeCell ref="D8:F8"/>
    <mergeCell ref="D11:G11"/>
    <mergeCell ref="C13:P13"/>
    <mergeCell ref="F28:G28"/>
    <mergeCell ref="J28:K28"/>
    <mergeCell ref="N28:O28"/>
  </mergeCells>
  <conditionalFormatting sqref="F20">
    <cfRule type="expression" dxfId="684" priority="115" stopIfTrue="1">
      <formula>F19&lt;18</formula>
    </cfRule>
    <cfRule type="expression" dxfId="683" priority="116" stopIfTrue="1">
      <formula>F19&lt;F18</formula>
    </cfRule>
  </conditionalFormatting>
  <conditionalFormatting sqref="H22:I23">
    <cfRule type="expression" dxfId="682" priority="114" stopIfTrue="1">
      <formula>H22&lt;F22</formula>
    </cfRule>
  </conditionalFormatting>
  <conditionalFormatting sqref="I15 K15:P15 H8:P11">
    <cfRule type="cellIs" dxfId="681" priority="117" stopIfTrue="1" operator="equal">
      <formula>"&lt;PROJECTNUMMER&gt;"</formula>
    </cfRule>
  </conditionalFormatting>
  <conditionalFormatting sqref="L16:L20">
    <cfRule type="expression" dxfId="680" priority="113">
      <formula>L16=0</formula>
    </cfRule>
  </conditionalFormatting>
  <conditionalFormatting sqref="F28:F29">
    <cfRule type="expression" dxfId="679" priority="112" stopIfTrue="1">
      <formula>D28-E28&lt;5</formula>
    </cfRule>
  </conditionalFormatting>
  <conditionalFormatting sqref="D28:D29">
    <cfRule type="expression" dxfId="678" priority="118" stopIfTrue="1">
      <formula>C28=""</formula>
    </cfRule>
  </conditionalFormatting>
  <conditionalFormatting sqref="I69:P71 I68:K68 AJ68 M68:P68 I67:P67">
    <cfRule type="expression" dxfId="677" priority="111">
      <formula>$S$16&lt;&gt;1</formula>
    </cfRule>
  </conditionalFormatting>
  <conditionalFormatting sqref="N67:P71">
    <cfRule type="expression" dxfId="676" priority="110">
      <formula>$S$12="nader te bepalen"</formula>
    </cfRule>
  </conditionalFormatting>
  <conditionalFormatting sqref="H16">
    <cfRule type="expression" dxfId="675" priority="107">
      <formula>AND(SUM(L16:L20)&gt;=10,SUM(L16:L20)&lt;100)</formula>
    </cfRule>
    <cfRule type="expression" dxfId="674" priority="108">
      <formula>SUM(L16:L20)&gt;=100</formula>
    </cfRule>
    <cfRule type="expression" dxfId="673" priority="109">
      <formula>SUM(L16:L20)&lt;10</formula>
    </cfRule>
  </conditionalFormatting>
  <conditionalFormatting sqref="F17">
    <cfRule type="expression" dxfId="672" priority="104">
      <formula>F17&lt;10</formula>
    </cfRule>
    <cfRule type="expression" dxfId="671" priority="105">
      <formula>AND(F17&gt;=10,F17&lt;100)</formula>
    </cfRule>
    <cfRule type="expression" dxfId="670" priority="106">
      <formula>F17&gt;=100</formula>
    </cfRule>
  </conditionalFormatting>
  <conditionalFormatting sqref="F18">
    <cfRule type="expression" dxfId="669" priority="101">
      <formula>F18&lt;10</formula>
    </cfRule>
    <cfRule type="expression" dxfId="668" priority="102">
      <formula>AND(F18&gt;=10,F18&lt;100)</formula>
    </cfRule>
    <cfRule type="expression" dxfId="667" priority="103">
      <formula>F18&gt;=100</formula>
    </cfRule>
  </conditionalFormatting>
  <conditionalFormatting sqref="F19">
    <cfRule type="expression" dxfId="666" priority="98">
      <formula>F19&lt;10</formula>
    </cfRule>
    <cfRule type="expression" dxfId="665" priority="99">
      <formula>AND(F19&gt;=10,F19&lt;100)</formula>
    </cfRule>
    <cfRule type="expression" dxfId="664" priority="100">
      <formula>F19&gt;=100</formula>
    </cfRule>
  </conditionalFormatting>
  <conditionalFormatting sqref="K44">
    <cfRule type="expression" dxfId="663" priority="97" stopIfTrue="1">
      <formula>A44="nee"</formula>
    </cfRule>
  </conditionalFormatting>
  <conditionalFormatting sqref="K44">
    <cfRule type="expression" dxfId="662" priority="96" stopIfTrue="1">
      <formula>A44="nee"</formula>
    </cfRule>
  </conditionalFormatting>
  <conditionalFormatting sqref="E44">
    <cfRule type="cellIs" dxfId="661" priority="95" stopIfTrue="1" operator="equal">
      <formula>"voldoet niet"</formula>
    </cfRule>
  </conditionalFormatting>
  <conditionalFormatting sqref="K44">
    <cfRule type="expression" dxfId="660" priority="94" stopIfTrue="1">
      <formula>A44="nee"</formula>
    </cfRule>
  </conditionalFormatting>
  <conditionalFormatting sqref="K44">
    <cfRule type="expression" dxfId="659" priority="93" stopIfTrue="1">
      <formula>A44="nee"</formula>
    </cfRule>
  </conditionalFormatting>
  <conditionalFormatting sqref="F67:H72">
    <cfRule type="expression" dxfId="658" priority="92">
      <formula>$S$16=3</formula>
    </cfRule>
  </conditionalFormatting>
  <conditionalFormatting sqref="H90:P97">
    <cfRule type="expression" dxfId="657" priority="91">
      <formula>$S$16=3</formula>
    </cfRule>
  </conditionalFormatting>
  <conditionalFormatting sqref="H102:P109">
    <cfRule type="expression" dxfId="656" priority="90">
      <formula>$S$16=3</formula>
    </cfRule>
  </conditionalFormatting>
  <conditionalFormatting sqref="F85:H86">
    <cfRule type="expression" dxfId="655" priority="60">
      <formula>$S$16=3</formula>
    </cfRule>
  </conditionalFormatting>
  <conditionalFormatting sqref="I82:P84">
    <cfRule type="expression" dxfId="654" priority="87">
      <formula>$S$16&lt;&gt;1</formula>
    </cfRule>
  </conditionalFormatting>
  <conditionalFormatting sqref="N82:P84">
    <cfRule type="expression" dxfId="653" priority="86">
      <formula>$S$12="nader te bepalen"</formula>
    </cfRule>
  </conditionalFormatting>
  <conditionalFormatting sqref="I82:P84">
    <cfRule type="expression" dxfId="652" priority="81">
      <formula>$S$16&lt;&gt;1</formula>
    </cfRule>
  </conditionalFormatting>
  <conditionalFormatting sqref="N82:P84">
    <cfRule type="expression" dxfId="651" priority="80">
      <formula>$S$12="nader te bepalen"</formula>
    </cfRule>
  </conditionalFormatting>
  <conditionalFormatting sqref="I82:P84">
    <cfRule type="expression" dxfId="650" priority="89">
      <formula>$S$16&lt;&gt;1</formula>
    </cfRule>
  </conditionalFormatting>
  <conditionalFormatting sqref="I82:P84">
    <cfRule type="expression" dxfId="649" priority="88">
      <formula>$S$16&lt;&gt;1</formula>
    </cfRule>
  </conditionalFormatting>
  <conditionalFormatting sqref="I82:P84">
    <cfRule type="expression" dxfId="648" priority="85">
      <formula>$S$16&lt;&gt;1</formula>
    </cfRule>
  </conditionalFormatting>
  <conditionalFormatting sqref="N82:P84">
    <cfRule type="expression" dxfId="647" priority="84">
      <formula>$S$12="nader te bepalen"</formula>
    </cfRule>
  </conditionalFormatting>
  <conditionalFormatting sqref="I82:P84">
    <cfRule type="expression" dxfId="646" priority="83">
      <formula>$S$16&lt;&gt;1</formula>
    </cfRule>
  </conditionalFormatting>
  <conditionalFormatting sqref="I82:P84">
    <cfRule type="expression" dxfId="645" priority="82">
      <formula>$S$16&lt;&gt;1</formula>
    </cfRule>
  </conditionalFormatting>
  <conditionalFormatting sqref="I82:P84">
    <cfRule type="expression" dxfId="644" priority="79">
      <formula>$S$16&lt;&gt;1</formula>
    </cfRule>
  </conditionalFormatting>
  <conditionalFormatting sqref="N82:P84">
    <cfRule type="expression" dxfId="643" priority="78">
      <formula>$S$12="nader te bepalen"</formula>
    </cfRule>
  </conditionalFormatting>
  <conditionalFormatting sqref="I82:P84">
    <cfRule type="expression" dxfId="642" priority="77">
      <formula>$S$16&lt;&gt;1</formula>
    </cfRule>
  </conditionalFormatting>
  <conditionalFormatting sqref="N82:P84">
    <cfRule type="expression" dxfId="641" priority="76">
      <formula>$S$12="nader te bepalen"</formula>
    </cfRule>
  </conditionalFormatting>
  <conditionalFormatting sqref="F82:H84">
    <cfRule type="expression" dxfId="640" priority="75">
      <formula>$S$16=3</formula>
    </cfRule>
  </conditionalFormatting>
  <conditionalFormatting sqref="I85:P85">
    <cfRule type="expression" dxfId="639" priority="72">
      <formula>$S$16&lt;&gt;1</formula>
    </cfRule>
  </conditionalFormatting>
  <conditionalFormatting sqref="N85:P85">
    <cfRule type="expression" dxfId="638" priority="71">
      <formula>$S$12="nader te bepalen"</formula>
    </cfRule>
  </conditionalFormatting>
  <conditionalFormatting sqref="I85:P85">
    <cfRule type="expression" dxfId="637" priority="66">
      <formula>$S$16&lt;&gt;1</formula>
    </cfRule>
  </conditionalFormatting>
  <conditionalFormatting sqref="N85:P85">
    <cfRule type="expression" dxfId="636" priority="65">
      <formula>$S$12="nader te bepalen"</formula>
    </cfRule>
  </conditionalFormatting>
  <conditionalFormatting sqref="I85:P85">
    <cfRule type="expression" dxfId="635" priority="74">
      <formula>$S$16&lt;&gt;1</formula>
    </cfRule>
  </conditionalFormatting>
  <conditionalFormatting sqref="I85:P85">
    <cfRule type="expression" dxfId="634" priority="73">
      <formula>$S$16&lt;&gt;1</formula>
    </cfRule>
  </conditionalFormatting>
  <conditionalFormatting sqref="I85:P85">
    <cfRule type="expression" dxfId="633" priority="70">
      <formula>$S$16&lt;&gt;1</formula>
    </cfRule>
  </conditionalFormatting>
  <conditionalFormatting sqref="N85:P85">
    <cfRule type="expression" dxfId="632" priority="69">
      <formula>$S$12="nader te bepalen"</formula>
    </cfRule>
  </conditionalFormatting>
  <conditionalFormatting sqref="I85:P85">
    <cfRule type="expression" dxfId="631" priority="68">
      <formula>$S$16&lt;&gt;1</formula>
    </cfRule>
  </conditionalFormatting>
  <conditionalFormatting sqref="I85:P85">
    <cfRule type="expression" dxfId="630" priority="67">
      <formula>$S$16&lt;&gt;1</formula>
    </cfRule>
  </conditionalFormatting>
  <conditionalFormatting sqref="I85:P85">
    <cfRule type="expression" dxfId="629" priority="64">
      <formula>$S$16&lt;&gt;1</formula>
    </cfRule>
  </conditionalFormatting>
  <conditionalFormatting sqref="N85:P85">
    <cfRule type="expression" dxfId="628" priority="63">
      <formula>$S$12="nader te bepalen"</formula>
    </cfRule>
  </conditionalFormatting>
  <conditionalFormatting sqref="I85:P85">
    <cfRule type="expression" dxfId="627" priority="62">
      <formula>$S$16&lt;&gt;1</formula>
    </cfRule>
  </conditionalFormatting>
  <conditionalFormatting sqref="N85:P85">
    <cfRule type="expression" dxfId="626" priority="61">
      <formula>$S$12="nader te bepalen"</formula>
    </cfRule>
  </conditionalFormatting>
  <conditionalFormatting sqref="P68">
    <cfRule type="expression" dxfId="625" priority="51" stopIfTrue="1">
      <formula>P68="-"</formula>
    </cfRule>
    <cfRule type="expression" dxfId="624" priority="56" stopIfTrue="1">
      <formula>P68&lt;H68</formula>
    </cfRule>
  </conditionalFormatting>
  <conditionalFormatting sqref="P69">
    <cfRule type="expression" dxfId="623" priority="52" stopIfTrue="1">
      <formula>P69="-"</formula>
    </cfRule>
    <cfRule type="expression" dxfId="622" priority="57" stopIfTrue="1">
      <formula>P69&lt;H69</formula>
    </cfRule>
  </conditionalFormatting>
  <conditionalFormatting sqref="P70">
    <cfRule type="expression" dxfId="621" priority="53" stopIfTrue="1">
      <formula>P70="-"</formula>
    </cfRule>
    <cfRule type="expression" dxfId="620" priority="58" stopIfTrue="1">
      <formula>P70&lt;H70</formula>
    </cfRule>
  </conditionalFormatting>
  <conditionalFormatting sqref="P71">
    <cfRule type="expression" dxfId="619" priority="54" stopIfTrue="1">
      <formula>P71="-"</formula>
    </cfRule>
    <cfRule type="expression" dxfId="618" priority="59" stopIfTrue="1">
      <formula>P71&lt;H71</formula>
    </cfRule>
  </conditionalFormatting>
  <conditionalFormatting sqref="P67">
    <cfRule type="expression" dxfId="617" priority="50" stopIfTrue="1">
      <formula>P67="-"</formula>
    </cfRule>
    <cfRule type="expression" dxfId="616" priority="55" stopIfTrue="1">
      <formula>P67&lt;H67</formula>
    </cfRule>
  </conditionalFormatting>
  <conditionalFormatting sqref="P82">
    <cfRule type="expression" dxfId="615" priority="42" stopIfTrue="1">
      <formula>P82="-"</formula>
    </cfRule>
    <cfRule type="expression" dxfId="614" priority="46" stopIfTrue="1">
      <formula>P82&lt;H82</formula>
    </cfRule>
  </conditionalFormatting>
  <conditionalFormatting sqref="P83">
    <cfRule type="expression" dxfId="613" priority="43" stopIfTrue="1">
      <formula>P83="-"</formula>
    </cfRule>
    <cfRule type="expression" dxfId="612" priority="47" stopIfTrue="1">
      <formula>P83&lt;H83</formula>
    </cfRule>
  </conditionalFormatting>
  <conditionalFormatting sqref="P84">
    <cfRule type="expression" dxfId="611" priority="44" stopIfTrue="1">
      <formula>P84="-"</formula>
    </cfRule>
    <cfRule type="expression" dxfId="610" priority="48" stopIfTrue="1">
      <formula>P84&lt;H84</formula>
    </cfRule>
  </conditionalFormatting>
  <conditionalFormatting sqref="P85">
    <cfRule type="expression" dxfId="609" priority="45" stopIfTrue="1">
      <formula>P85="-"</formula>
    </cfRule>
    <cfRule type="expression" dxfId="608" priority="49" stopIfTrue="1">
      <formula>P85&lt;H85</formula>
    </cfRule>
  </conditionalFormatting>
  <conditionalFormatting sqref="F72:H72">
    <cfRule type="containsText" dxfId="607" priority="41" operator="containsText" text="voldoet niet op VG-niveau">
      <formula>NOT(ISERROR(SEARCH("voldoet niet op VG-niveau",F72)))</formula>
    </cfRule>
  </conditionalFormatting>
  <conditionalFormatting sqref="K51">
    <cfRule type="expression" dxfId="606" priority="40" stopIfTrue="1">
      <formula>A51="nee"</formula>
    </cfRule>
  </conditionalFormatting>
  <conditionalFormatting sqref="K51">
    <cfRule type="expression" dxfId="605" priority="39" stopIfTrue="1">
      <formula>A51="nee"</formula>
    </cfRule>
  </conditionalFormatting>
  <conditionalFormatting sqref="E51">
    <cfRule type="cellIs" dxfId="604" priority="38" stopIfTrue="1" operator="equal">
      <formula>"voldoet niet"</formula>
    </cfRule>
  </conditionalFormatting>
  <conditionalFormatting sqref="K51">
    <cfRule type="expression" dxfId="603" priority="37" stopIfTrue="1">
      <formula>A51="nee"</formula>
    </cfRule>
  </conditionalFormatting>
  <conditionalFormatting sqref="K51">
    <cfRule type="expression" dxfId="602" priority="36" stopIfTrue="1">
      <formula>A51="nee"</formula>
    </cfRule>
  </conditionalFormatting>
  <conditionalFormatting sqref="I74:P78">
    <cfRule type="expression" dxfId="601" priority="35">
      <formula>$S$16&lt;&gt;1</formula>
    </cfRule>
  </conditionalFormatting>
  <conditionalFormatting sqref="N74:P78">
    <cfRule type="expression" dxfId="600" priority="34">
      <formula>$S$12="nader te bepalen"</formula>
    </cfRule>
  </conditionalFormatting>
  <conditionalFormatting sqref="F74:H79">
    <cfRule type="expression" dxfId="599" priority="33">
      <formula>$S$16=3</formula>
    </cfRule>
  </conditionalFormatting>
  <conditionalFormatting sqref="Q74:Q78">
    <cfRule type="expression" dxfId="598" priority="32">
      <formula>SUM(Q70:Q74)&lt;E75</formula>
    </cfRule>
  </conditionalFormatting>
  <conditionalFormatting sqref="P74">
    <cfRule type="expression" dxfId="597" priority="22" stopIfTrue="1">
      <formula>P74="-"</formula>
    </cfRule>
    <cfRule type="expression" dxfId="596" priority="27" stopIfTrue="1">
      <formula>P74&lt;H74</formula>
    </cfRule>
  </conditionalFormatting>
  <conditionalFormatting sqref="P75">
    <cfRule type="expression" dxfId="595" priority="23" stopIfTrue="1">
      <formula>P75="-"</formula>
    </cfRule>
    <cfRule type="expression" dxfId="594" priority="28" stopIfTrue="1">
      <formula>P75&lt;H75</formula>
    </cfRule>
  </conditionalFormatting>
  <conditionalFormatting sqref="P76">
    <cfRule type="expression" dxfId="593" priority="24" stopIfTrue="1">
      <formula>P76="-"</formula>
    </cfRule>
    <cfRule type="expression" dxfId="592" priority="29" stopIfTrue="1">
      <formula>P76&lt;H76</formula>
    </cfRule>
  </conditionalFormatting>
  <conditionalFormatting sqref="P77">
    <cfRule type="expression" dxfId="591" priority="25" stopIfTrue="1">
      <formula>P77="-"</formula>
    </cfRule>
    <cfRule type="expression" dxfId="590" priority="30" stopIfTrue="1">
      <formula>P77&lt;H77</formula>
    </cfRule>
  </conditionalFormatting>
  <conditionalFormatting sqref="P78">
    <cfRule type="expression" dxfId="589" priority="26" stopIfTrue="1">
      <formula>P78="-"</formula>
    </cfRule>
    <cfRule type="expression" dxfId="588" priority="31" stopIfTrue="1">
      <formula>P78&lt;H78</formula>
    </cfRule>
  </conditionalFormatting>
  <conditionalFormatting sqref="F79:H79">
    <cfRule type="containsText" dxfId="587" priority="21" operator="containsText" text="voldoet niet op VG-niveau">
      <formula>NOT(ISERROR(SEARCH("voldoet niet op VG-niveau",F79)))</formula>
    </cfRule>
  </conditionalFormatting>
  <conditionalFormatting sqref="G8:G10">
    <cfRule type="cellIs" dxfId="586" priority="20" stopIfTrue="1" operator="equal">
      <formula>"&lt;PROJECTNUMMER&gt;"</formula>
    </cfRule>
  </conditionalFormatting>
  <conditionalFormatting sqref="D8">
    <cfRule type="cellIs" dxfId="585" priority="19" stopIfTrue="1" operator="equal">
      <formula>"&lt;PROJECTNUMMER&gt;"</formula>
    </cfRule>
  </conditionalFormatting>
  <conditionalFormatting sqref="D9">
    <cfRule type="cellIs" dxfId="584" priority="18" stopIfTrue="1" operator="equal">
      <formula>"&lt;PROJECTNUMMER&gt;"</formula>
    </cfRule>
  </conditionalFormatting>
  <conditionalFormatting sqref="D10">
    <cfRule type="cellIs" dxfId="583" priority="17" stopIfTrue="1" operator="equal">
      <formula>"&lt;PROJECTNUMMER&gt;"</formula>
    </cfRule>
  </conditionalFormatting>
  <conditionalFormatting sqref="F30">
    <cfRule type="expression" dxfId="582" priority="14" stopIfTrue="1">
      <formula>D30-E30&lt;5</formula>
    </cfRule>
  </conditionalFormatting>
  <conditionalFormatting sqref="F30">
    <cfRule type="expression" dxfId="581" priority="13" stopIfTrue="1">
      <formula>D30-E30&lt;5</formula>
    </cfRule>
  </conditionalFormatting>
  <conditionalFormatting sqref="F30">
    <cfRule type="expression" dxfId="580" priority="10" stopIfTrue="1">
      <formula>D30-E30&lt;5</formula>
    </cfRule>
  </conditionalFormatting>
  <conditionalFormatting sqref="D30">
    <cfRule type="expression" dxfId="579" priority="9" stopIfTrue="1">
      <formula>C30=""</formula>
    </cfRule>
  </conditionalFormatting>
  <conditionalFormatting sqref="F30">
    <cfRule type="expression" dxfId="578" priority="16" stopIfTrue="1">
      <formula>D30=""</formula>
    </cfRule>
  </conditionalFormatting>
  <conditionalFormatting sqref="F30">
    <cfRule type="expression" dxfId="577" priority="15" stopIfTrue="1">
      <formula>D30=""</formula>
    </cfRule>
  </conditionalFormatting>
  <conditionalFormatting sqref="D30">
    <cfRule type="expression" dxfId="576" priority="12" stopIfTrue="1">
      <formula>C30=""</formula>
    </cfRule>
  </conditionalFormatting>
  <conditionalFormatting sqref="F30">
    <cfRule type="expression" dxfId="575" priority="11" stopIfTrue="1">
      <formula>D30-E30&lt;5</formula>
    </cfRule>
  </conditionalFormatting>
  <conditionalFormatting sqref="F31">
    <cfRule type="expression" dxfId="574" priority="6" stopIfTrue="1">
      <formula>D31-E31&lt;5</formula>
    </cfRule>
  </conditionalFormatting>
  <conditionalFormatting sqref="F31">
    <cfRule type="expression" dxfId="573" priority="5" stopIfTrue="1">
      <formula>D31-E31&lt;5</formula>
    </cfRule>
  </conditionalFormatting>
  <conditionalFormatting sqref="F31">
    <cfRule type="expression" dxfId="572" priority="2" stopIfTrue="1">
      <formula>D31-E31&lt;5</formula>
    </cfRule>
  </conditionalFormatting>
  <conditionalFormatting sqref="D31">
    <cfRule type="expression" dxfId="571" priority="1" stopIfTrue="1">
      <formula>C31=""</formula>
    </cfRule>
  </conditionalFormatting>
  <conditionalFormatting sqref="F31">
    <cfRule type="expression" dxfId="570" priority="8" stopIfTrue="1">
      <formula>D31=""</formula>
    </cfRule>
  </conditionalFormatting>
  <conditionalFormatting sqref="F31">
    <cfRule type="expression" dxfId="569" priority="7" stopIfTrue="1">
      <formula>D31=""</formula>
    </cfRule>
  </conditionalFormatting>
  <conditionalFormatting sqref="D31">
    <cfRule type="expression" dxfId="568" priority="4" stopIfTrue="1">
      <formula>C31=""</formula>
    </cfRule>
  </conditionalFormatting>
  <conditionalFormatting sqref="F31">
    <cfRule type="expression" dxfId="567" priority="3" stopIfTrue="1">
      <formula>D31-E31&lt;5</formula>
    </cfRule>
  </conditionalFormatting>
  <dataValidations count="7">
    <dataValidation type="list" allowBlank="1" showInputMessage="1" showErrorMessage="1" sqref="N82:O85 N67:O71 N74:O78" xr:uid="{C5D42F06-0A00-43CC-91FB-8C556FB3269C}">
      <formula1>INDIRECT($S$12)</formula1>
    </dataValidation>
    <dataValidation type="list" allowBlank="1" showInputMessage="1" showErrorMessage="1" sqref="F82:F85 F67:F71 F74:F78" xr:uid="{27C6A0B9-787D-4FDF-B636-C47CAAB076FD}">
      <formula1>$T$16:$T$18</formula1>
    </dataValidation>
    <dataValidation type="list" allowBlank="1" showInputMessage="1" showErrorMessage="1" sqref="D57:G57" xr:uid="{3766A086-2E12-4CB9-A2AF-254FB2516A30}">
      <formula1>PD_TypeVentilatie</formula1>
    </dataValidation>
    <dataValidation type="list" allowBlank="1" showInputMessage="1" showErrorMessage="1" sqref="D58:G58" xr:uid="{5E4590B3-6126-4CC5-878C-B01A3E92892A}">
      <formula1>PD_RoosterFabrikant</formula1>
    </dataValidation>
    <dataValidation type="list" allowBlank="1" showInputMessage="1" showErrorMessage="1" sqref="D55:G55" xr:uid="{2572330B-6F05-4298-B466-1386A51F8866}">
      <formula1>PD_Uitgangspunten</formula1>
    </dataValidation>
    <dataValidation type="list" allowBlank="1" showInputMessage="1" showErrorMessage="1" sqref="H55:M55" xr:uid="{7E9B3AB0-AC6C-4ED3-92BF-3FD40C00DF89}">
      <formula1>PD_70procent</formula1>
    </dataValidation>
    <dataValidation type="whole" operator="greaterThan" allowBlank="1" showInputMessage="1" showErrorMessage="1" errorTitle="Getal invoeren" error="Voer een getal in om het verblijfsgebied aan te geven." sqref="C29:C31" xr:uid="{965F0FE3-BC4E-4117-9D9E-5893A45A9E5D}">
      <formula1>0</formula1>
    </dataValidation>
  </dataValidations>
  <printOptions horizontalCentered="1"/>
  <pageMargins left="0.70866141732283472" right="0.70866141732283472" top="1.2598425196850394" bottom="0.47244094488188981" header="0.31496062992125984" footer="0.19685039370078741"/>
  <pageSetup paperSize="9" scale="50" fitToHeight="0" orientation="portrait" r:id="rId1"/>
  <headerFooter alignWithMargins="0">
    <oddHeader>&amp;C&amp;G</oddHeader>
    <oddFooter>&amp;L&amp;"HELVETICA,Standaard"&amp;8
&amp;K1B5EAAwww.NIEMAN.nl&amp;K000000
&amp;F&amp;R
&amp;G
&amp;"HELVETICA,Standaard"&amp;8&amp;D</oddFooter>
  </headerFooter>
  <rowBreaks count="1" manualBreakCount="1">
    <brk id="53" min="2" max="16"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8961" r:id="rId5" name="Button 1">
              <controlPr defaultSize="0" print="0" autoFill="0" autoPict="0" macro="[0]!indeling">
                <anchor moveWithCells="1" sizeWithCells="1">
                  <from>
                    <xdr:col>11</xdr:col>
                    <xdr:colOff>22860</xdr:colOff>
                    <xdr:row>24</xdr:row>
                    <xdr:rowOff>7620</xdr:rowOff>
                  </from>
                  <to>
                    <xdr:col>16</xdr:col>
                    <xdr:colOff>0</xdr:colOff>
                    <xdr:row>25</xdr:row>
                    <xdr:rowOff>0</xdr:rowOff>
                  </to>
                </anchor>
              </controlPr>
            </control>
          </mc:Choice>
        </mc:AlternateContent>
        <mc:AlternateContent xmlns:mc="http://schemas.openxmlformats.org/markup-compatibility/2006">
          <mc:Choice Requires="x14">
            <control shapeId="168962" r:id="rId6" name="Button 2">
              <controlPr defaultSize="0" print="0" autoFill="0" autoPict="0" macro="[0]!gegevens">
                <anchor moveWithCells="1" sizeWithCells="1">
                  <from>
                    <xdr:col>12</xdr:col>
                    <xdr:colOff>121920</xdr:colOff>
                    <xdr:row>5</xdr:row>
                    <xdr:rowOff>7620</xdr:rowOff>
                  </from>
                  <to>
                    <xdr:col>16</xdr:col>
                    <xdr:colOff>0</xdr:colOff>
                    <xdr:row>6</xdr:row>
                    <xdr:rowOff>0</xdr:rowOff>
                  </to>
                </anchor>
              </controlPr>
            </control>
          </mc:Choice>
        </mc:AlternateContent>
        <mc:AlternateContent xmlns:mc="http://schemas.openxmlformats.org/markup-compatibility/2006">
          <mc:Choice Requires="x14">
            <control shapeId="168963" r:id="rId7" name="Button 9">
              <controlPr defaultSize="0" print="0" autoFill="0" autoPict="0" macro="[0]!daglichtad1">
                <anchor moveWithCells="1" sizeWithCells="1">
                  <from>
                    <xdr:col>14</xdr:col>
                    <xdr:colOff>182880</xdr:colOff>
                    <xdr:row>34</xdr:row>
                    <xdr:rowOff>7620</xdr:rowOff>
                  </from>
                  <to>
                    <xdr:col>15</xdr:col>
                    <xdr:colOff>792480</xdr:colOff>
                    <xdr:row>35</xdr:row>
                    <xdr:rowOff>0</xdr:rowOff>
                  </to>
                </anchor>
              </controlPr>
            </control>
          </mc:Choice>
        </mc:AlternateContent>
        <mc:AlternateContent xmlns:mc="http://schemas.openxmlformats.org/markup-compatibility/2006">
          <mc:Choice Requires="x14">
            <control shapeId="168964" r:id="rId8" name="Button 11">
              <controlPr defaultSize="0" print="0" autoFill="0" autoPict="0" macro="[0]!spuiad1">
                <anchor moveWithCells="1" sizeWithCells="1">
                  <from>
                    <xdr:col>14</xdr:col>
                    <xdr:colOff>137160</xdr:colOff>
                    <xdr:row>134</xdr:row>
                    <xdr:rowOff>7620</xdr:rowOff>
                  </from>
                  <to>
                    <xdr:col>15</xdr:col>
                    <xdr:colOff>746760</xdr:colOff>
                    <xdr:row>135</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5"/>
  <dimension ref="A1:G23"/>
  <sheetViews>
    <sheetView workbookViewId="0">
      <selection activeCell="E29" sqref="E29"/>
    </sheetView>
  </sheetViews>
  <sheetFormatPr defaultColWidth="9.109375" defaultRowHeight="14.4"/>
  <cols>
    <col min="1" max="1" width="15" style="172" bestFit="1" customWidth="1"/>
    <col min="2" max="2" width="9.109375" style="172"/>
    <col min="3" max="4" width="11" style="172" customWidth="1"/>
    <col min="5" max="5" width="9.5546875" style="172" customWidth="1"/>
    <col min="6" max="16384" width="9.109375" style="172"/>
  </cols>
  <sheetData>
    <row r="1" spans="1:7">
      <c r="A1" s="859" t="s">
        <v>1010</v>
      </c>
      <c r="B1" s="860"/>
      <c r="C1" s="860"/>
      <c r="D1" s="860"/>
      <c r="E1" s="861"/>
    </row>
    <row r="2" spans="1:7">
      <c r="A2" s="343"/>
      <c r="B2" s="344" t="s">
        <v>1011</v>
      </c>
      <c r="C2" s="345" t="s">
        <v>1012</v>
      </c>
      <c r="D2" s="345" t="s">
        <v>1013</v>
      </c>
      <c r="E2" s="346" t="s">
        <v>1014</v>
      </c>
    </row>
    <row r="3" spans="1:7">
      <c r="A3" s="347" t="s">
        <v>1090</v>
      </c>
      <c r="B3" s="348">
        <v>1</v>
      </c>
      <c r="C3" s="360">
        <f>1500-600</f>
        <v>900</v>
      </c>
      <c r="D3" s="360">
        <v>5473</v>
      </c>
      <c r="E3" s="349">
        <f>MAX(DEGREES(ATAN(C3/D3)),20)</f>
        <v>20</v>
      </c>
    </row>
    <row r="4" spans="1:7">
      <c r="A4" s="350"/>
      <c r="B4" s="348">
        <v>2</v>
      </c>
      <c r="C4" s="360">
        <f t="shared" ref="C4:C10" si="0">1500-600</f>
        <v>900</v>
      </c>
      <c r="D4" s="360">
        <v>5473</v>
      </c>
      <c r="E4" s="349">
        <f t="shared" ref="E4:E12" si="1">MAX(DEGREES(ATAN(C4/D4)),20)</f>
        <v>20</v>
      </c>
    </row>
    <row r="5" spans="1:7">
      <c r="A5" s="350"/>
      <c r="B5" s="348">
        <v>3</v>
      </c>
      <c r="C5" s="360">
        <f t="shared" si="0"/>
        <v>900</v>
      </c>
      <c r="D5" s="360">
        <v>5473</v>
      </c>
      <c r="E5" s="349">
        <f t="shared" si="1"/>
        <v>20</v>
      </c>
    </row>
    <row r="6" spans="1:7">
      <c r="A6" s="350"/>
      <c r="B6" s="348">
        <v>4</v>
      </c>
      <c r="C6" s="360">
        <f t="shared" si="0"/>
        <v>900</v>
      </c>
      <c r="D6" s="360">
        <v>5473</v>
      </c>
      <c r="E6" s="349">
        <f t="shared" si="1"/>
        <v>20</v>
      </c>
      <c r="G6" s="173"/>
    </row>
    <row r="7" spans="1:7">
      <c r="A7" s="350"/>
      <c r="B7" s="348">
        <v>5</v>
      </c>
      <c r="C7" s="360">
        <f t="shared" si="0"/>
        <v>900</v>
      </c>
      <c r="D7" s="360">
        <v>5473</v>
      </c>
      <c r="E7" s="349">
        <f t="shared" si="1"/>
        <v>20</v>
      </c>
    </row>
    <row r="8" spans="1:7">
      <c r="A8" s="350"/>
      <c r="B8" s="348">
        <v>6</v>
      </c>
      <c r="C8" s="360">
        <f t="shared" si="0"/>
        <v>900</v>
      </c>
      <c r="D8" s="360">
        <v>5473</v>
      </c>
      <c r="E8" s="349">
        <f t="shared" si="1"/>
        <v>20</v>
      </c>
    </row>
    <row r="9" spans="1:7">
      <c r="A9" s="350"/>
      <c r="B9" s="348">
        <v>7</v>
      </c>
      <c r="C9" s="360">
        <f t="shared" si="0"/>
        <v>900</v>
      </c>
      <c r="D9" s="360">
        <v>5473</v>
      </c>
      <c r="E9" s="349">
        <f t="shared" si="1"/>
        <v>20</v>
      </c>
    </row>
    <row r="10" spans="1:7">
      <c r="A10" s="350"/>
      <c r="B10" s="348">
        <v>8</v>
      </c>
      <c r="C10" s="360">
        <f t="shared" si="0"/>
        <v>900</v>
      </c>
      <c r="D10" s="360">
        <v>5473</v>
      </c>
      <c r="E10" s="349">
        <f t="shared" si="1"/>
        <v>20</v>
      </c>
    </row>
    <row r="11" spans="1:7">
      <c r="A11" s="350"/>
      <c r="B11" s="348">
        <v>9</v>
      </c>
      <c r="C11" s="360">
        <v>900</v>
      </c>
      <c r="D11" s="360">
        <v>5473</v>
      </c>
      <c r="E11" s="349">
        <f t="shared" si="1"/>
        <v>20</v>
      </c>
    </row>
    <row r="12" spans="1:7">
      <c r="A12" s="350"/>
      <c r="B12" s="348">
        <v>10</v>
      </c>
      <c r="C12" s="360">
        <v>900</v>
      </c>
      <c r="D12" s="360">
        <v>5473</v>
      </c>
      <c r="E12" s="349">
        <f t="shared" si="1"/>
        <v>20</v>
      </c>
    </row>
    <row r="13" spans="1:7">
      <c r="A13" s="351" t="s">
        <v>1015</v>
      </c>
      <c r="B13" s="352"/>
      <c r="C13" s="353"/>
      <c r="D13" s="353"/>
      <c r="E13" s="358">
        <f>AVERAGE(E3:E12)</f>
        <v>20</v>
      </c>
    </row>
    <row r="14" spans="1:7">
      <c r="A14" s="347"/>
      <c r="B14" s="354" t="s">
        <v>1011</v>
      </c>
      <c r="C14" s="355" t="s">
        <v>1012</v>
      </c>
      <c r="D14" s="355" t="s">
        <v>1013</v>
      </c>
      <c r="E14" s="356" t="s">
        <v>1014</v>
      </c>
    </row>
    <row r="15" spans="1:7">
      <c r="A15" s="347" t="s">
        <v>1091</v>
      </c>
      <c r="B15" s="348">
        <v>1</v>
      </c>
      <c r="C15" s="360">
        <v>1000</v>
      </c>
      <c r="D15" s="360">
        <v>1000</v>
      </c>
      <c r="E15" s="349">
        <f>MAX(DEGREES(ATAN(D15/C15)),0)</f>
        <v>45</v>
      </c>
    </row>
    <row r="16" spans="1:7">
      <c r="A16" s="350"/>
      <c r="B16" s="348">
        <v>2</v>
      </c>
      <c r="C16" s="360">
        <v>1000</v>
      </c>
      <c r="D16" s="360">
        <v>1000</v>
      </c>
      <c r="E16" s="349">
        <f t="shared" ref="E16:E22" si="2">MAX(DEGREES(ATAN(D16/C16)),0)</f>
        <v>45</v>
      </c>
    </row>
    <row r="17" spans="1:5">
      <c r="A17" s="350"/>
      <c r="B17" s="348">
        <v>3</v>
      </c>
      <c r="C17" s="360">
        <v>1000</v>
      </c>
      <c r="D17" s="360">
        <v>1000</v>
      </c>
      <c r="E17" s="349">
        <f t="shared" si="2"/>
        <v>45</v>
      </c>
    </row>
    <row r="18" spans="1:5">
      <c r="A18" s="350"/>
      <c r="B18" s="348">
        <v>4</v>
      </c>
      <c r="C18" s="360">
        <v>1000</v>
      </c>
      <c r="D18" s="360">
        <v>1000</v>
      </c>
      <c r="E18" s="349">
        <f t="shared" si="2"/>
        <v>45</v>
      </c>
    </row>
    <row r="19" spans="1:5">
      <c r="A19" s="350"/>
      <c r="B19" s="348">
        <v>5</v>
      </c>
      <c r="C19" s="360">
        <v>1000</v>
      </c>
      <c r="D19" s="360">
        <v>1000</v>
      </c>
      <c r="E19" s="349">
        <f t="shared" si="2"/>
        <v>45</v>
      </c>
    </row>
    <row r="20" spans="1:5">
      <c r="A20" s="350"/>
      <c r="B20" s="348">
        <v>6</v>
      </c>
      <c r="C20" s="360">
        <v>1000</v>
      </c>
      <c r="D20" s="360">
        <v>1000</v>
      </c>
      <c r="E20" s="349">
        <f t="shared" si="2"/>
        <v>45</v>
      </c>
    </row>
    <row r="21" spans="1:5">
      <c r="A21" s="350"/>
      <c r="B21" s="348">
        <v>7</v>
      </c>
      <c r="C21" s="360">
        <v>1000</v>
      </c>
      <c r="D21" s="360">
        <v>1000</v>
      </c>
      <c r="E21" s="349">
        <f t="shared" si="2"/>
        <v>45</v>
      </c>
    </row>
    <row r="22" spans="1:5">
      <c r="A22" s="350"/>
      <c r="B22" s="348">
        <v>8</v>
      </c>
      <c r="C22" s="360">
        <v>1000</v>
      </c>
      <c r="D22" s="360">
        <v>1000</v>
      </c>
      <c r="E22" s="349">
        <f t="shared" si="2"/>
        <v>45</v>
      </c>
    </row>
    <row r="23" spans="1:5">
      <c r="A23" s="351" t="s">
        <v>1015</v>
      </c>
      <c r="B23" s="357"/>
      <c r="C23" s="357"/>
      <c r="D23" s="357"/>
      <c r="E23" s="359">
        <f>AVERAGE(E15:E22)</f>
        <v>45</v>
      </c>
    </row>
  </sheetData>
  <mergeCells count="1">
    <mergeCell ref="A1:E1"/>
  </mergeCell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6"/>
  <dimension ref="B2:AK77"/>
  <sheetViews>
    <sheetView workbookViewId="0">
      <selection activeCell="F49" sqref="F49"/>
    </sheetView>
  </sheetViews>
  <sheetFormatPr defaultColWidth="9.109375" defaultRowHeight="11.4"/>
  <cols>
    <col min="1" max="1" width="2.109375" style="174" customWidth="1"/>
    <col min="2" max="2" width="13.44140625" style="174" bestFit="1" customWidth="1"/>
    <col min="3" max="3" width="8" style="174" customWidth="1"/>
    <col min="4" max="4" width="2.109375" style="174" customWidth="1"/>
    <col min="5" max="5" width="14.5546875" style="174" bestFit="1" customWidth="1"/>
    <col min="6" max="6" width="9.109375" style="174"/>
    <col min="7" max="7" width="4.88671875" style="174" customWidth="1"/>
    <col min="8" max="8" width="5.6640625" style="174" customWidth="1"/>
    <col min="9" max="9" width="7.5546875" style="174" customWidth="1"/>
    <col min="10" max="10" width="1.44140625" style="174" customWidth="1"/>
    <col min="11" max="11" width="2.109375" style="174" customWidth="1"/>
    <col min="12" max="12" width="0" style="174" hidden="1" customWidth="1"/>
    <col min="13" max="13" width="13.44140625" style="174" bestFit="1" customWidth="1"/>
    <col min="14" max="14" width="8" style="174" customWidth="1"/>
    <col min="15" max="15" width="2.109375" style="174" customWidth="1"/>
    <col min="16" max="16" width="14.5546875" style="174" bestFit="1" customWidth="1"/>
    <col min="17" max="17" width="9.109375" style="174"/>
    <col min="18" max="18" width="4.88671875" style="174" customWidth="1"/>
    <col min="19" max="19" width="5.6640625" style="174" customWidth="1"/>
    <col min="20" max="20" width="7.5546875" style="174" customWidth="1"/>
    <col min="21" max="21" width="1.44140625" style="174" customWidth="1"/>
    <col min="22" max="22" width="2.109375" style="174" customWidth="1"/>
    <col min="23" max="23" width="10.33203125" style="174" hidden="1" customWidth="1"/>
    <col min="24" max="37" width="9.109375" style="175"/>
    <col min="38" max="16384" width="9.109375" style="174"/>
  </cols>
  <sheetData>
    <row r="2" spans="2:32">
      <c r="H2" s="875" t="s">
        <v>1040</v>
      </c>
      <c r="I2" s="876"/>
      <c r="J2" s="892"/>
      <c r="K2" s="892"/>
      <c r="L2" s="892"/>
      <c r="M2" s="892"/>
      <c r="N2" s="892"/>
      <c r="O2" s="892"/>
      <c r="P2" s="892"/>
      <c r="S2" s="194"/>
    </row>
    <row r="3" spans="2:32" ht="11.25" customHeight="1">
      <c r="H3" s="875" t="s">
        <v>1039</v>
      </c>
      <c r="I3" s="876"/>
      <c r="J3" s="892"/>
      <c r="K3" s="892"/>
      <c r="L3" s="892"/>
      <c r="M3" s="892"/>
      <c r="N3" s="892"/>
      <c r="O3" s="892"/>
      <c r="P3" s="892"/>
      <c r="R3" s="363"/>
      <c r="S3" s="866" t="s">
        <v>1038</v>
      </c>
      <c r="T3" s="866"/>
      <c r="W3" s="174" t="s">
        <v>1037</v>
      </c>
    </row>
    <row r="4" spans="2:32">
      <c r="H4" s="875" t="s">
        <v>2</v>
      </c>
      <c r="I4" s="876"/>
      <c r="J4" s="892"/>
      <c r="K4" s="892"/>
      <c r="L4" s="892"/>
      <c r="M4" s="892"/>
      <c r="N4" s="892"/>
      <c r="O4" s="892"/>
      <c r="P4" s="892"/>
      <c r="R4" s="361"/>
      <c r="S4" s="362"/>
      <c r="T4" s="361"/>
      <c r="W4" s="174">
        <f>DEGREES(ATAN((I16*2+I18)/(I20+I22)))</f>
        <v>64.203973505500059</v>
      </c>
    </row>
    <row r="5" spans="2:32" ht="11.25" customHeight="1">
      <c r="H5" s="875" t="s">
        <v>259</v>
      </c>
      <c r="I5" s="876"/>
      <c r="J5" s="892"/>
      <c r="K5" s="892"/>
      <c r="L5" s="892"/>
      <c r="M5" s="892"/>
      <c r="N5" s="892"/>
      <c r="O5" s="892"/>
      <c r="P5" s="892"/>
      <c r="R5" s="364"/>
      <c r="S5" s="866" t="s">
        <v>1036</v>
      </c>
      <c r="T5" s="866"/>
    </row>
    <row r="6" spans="2:32" ht="11.25" customHeight="1">
      <c r="L6" s="190"/>
      <c r="W6" s="174" t="s">
        <v>1035</v>
      </c>
    </row>
    <row r="7" spans="2:32" ht="32.25" customHeight="1">
      <c r="P7" s="893" t="s">
        <v>1034</v>
      </c>
      <c r="Q7" s="885" t="s">
        <v>1033</v>
      </c>
      <c r="R7" s="885"/>
      <c r="S7" s="885"/>
      <c r="T7" s="885"/>
      <c r="U7" s="200"/>
      <c r="V7" s="200"/>
      <c r="W7" s="174">
        <f>DEGREES(ATAN((T16*2+T18)/(T20+T22)))</f>
        <v>64.203973505500059</v>
      </c>
    </row>
    <row r="8" spans="2:32" ht="11.25" customHeight="1">
      <c r="B8" s="365" t="s">
        <v>1032</v>
      </c>
      <c r="C8" s="366"/>
      <c r="D8" s="366"/>
      <c r="E8" s="366"/>
      <c r="F8" s="366"/>
      <c r="G8" s="366"/>
      <c r="H8" s="366"/>
      <c r="I8" s="366"/>
      <c r="J8" s="366"/>
      <c r="K8" s="366"/>
      <c r="L8" s="366"/>
      <c r="M8" s="366"/>
      <c r="N8" s="366"/>
      <c r="O8" s="366"/>
      <c r="P8" s="893"/>
      <c r="Q8" s="885"/>
      <c r="R8" s="885"/>
      <c r="S8" s="885"/>
      <c r="T8" s="885"/>
      <c r="U8" s="200"/>
      <c r="V8" s="200"/>
      <c r="W8" s="200"/>
    </row>
    <row r="9" spans="2:32">
      <c r="B9" s="367" t="s">
        <v>1031</v>
      </c>
      <c r="C9" s="367" t="s">
        <v>268</v>
      </c>
      <c r="D9" s="367" t="s">
        <v>1030</v>
      </c>
      <c r="E9" s="366"/>
      <c r="F9" s="366"/>
      <c r="G9" s="366"/>
      <c r="H9" s="366"/>
      <c r="I9" s="366"/>
      <c r="J9" s="366"/>
      <c r="K9" s="366"/>
      <c r="L9" s="366"/>
      <c r="M9" s="366"/>
      <c r="N9" s="365"/>
      <c r="O9" s="366"/>
    </row>
    <row r="10" spans="2:32">
      <c r="B10" s="367"/>
      <c r="C10" s="367" t="s">
        <v>268</v>
      </c>
      <c r="D10" s="367" t="s">
        <v>1029</v>
      </c>
      <c r="E10" s="366"/>
      <c r="F10" s="367"/>
      <c r="G10" s="367"/>
      <c r="H10" s="367"/>
      <c r="I10" s="366"/>
      <c r="J10" s="366"/>
      <c r="K10" s="366"/>
      <c r="L10" s="366"/>
      <c r="M10" s="366"/>
      <c r="N10" s="367"/>
      <c r="O10" s="367"/>
      <c r="P10" s="194"/>
      <c r="Q10" s="194"/>
      <c r="R10" s="194"/>
      <c r="S10" s="194"/>
    </row>
    <row r="11" spans="2:32" ht="11.25" customHeight="1">
      <c r="B11" s="192"/>
      <c r="C11" s="192"/>
      <c r="D11" s="192"/>
      <c r="E11" s="192"/>
      <c r="F11" s="199"/>
      <c r="G11" s="199"/>
      <c r="H11" s="199"/>
      <c r="I11" s="192"/>
      <c r="J11" s="192"/>
      <c r="K11" s="192"/>
      <c r="L11" s="192"/>
      <c r="M11" s="192"/>
      <c r="N11" s="199"/>
      <c r="O11" s="199"/>
      <c r="P11" s="199"/>
      <c r="Q11" s="199"/>
      <c r="R11" s="199"/>
      <c r="S11" s="199"/>
      <c r="T11" s="192"/>
      <c r="U11" s="192"/>
      <c r="Y11" s="197"/>
      <c r="Z11" s="197"/>
      <c r="AA11" s="197"/>
      <c r="AB11" s="196"/>
      <c r="AC11" s="196"/>
      <c r="AD11" s="196"/>
      <c r="AE11" s="196"/>
      <c r="AF11" s="196"/>
    </row>
    <row r="12" spans="2:32" ht="11.25" customHeight="1">
      <c r="B12" s="877" t="s">
        <v>1028</v>
      </c>
      <c r="C12" s="878"/>
      <c r="D12" s="194"/>
      <c r="E12" s="194"/>
      <c r="F12" s="194"/>
      <c r="G12" s="198" t="s">
        <v>655</v>
      </c>
      <c r="H12" s="372">
        <v>90</v>
      </c>
      <c r="I12" s="195"/>
      <c r="M12" s="877" t="s">
        <v>1027</v>
      </c>
      <c r="N12" s="878"/>
      <c r="O12" s="194"/>
      <c r="P12" s="194"/>
      <c r="Q12" s="194"/>
      <c r="R12" s="198" t="s">
        <v>655</v>
      </c>
      <c r="S12" s="372">
        <v>90</v>
      </c>
      <c r="Y12" s="197"/>
      <c r="Z12" s="197"/>
      <c r="AA12" s="197"/>
      <c r="AB12" s="196"/>
      <c r="AC12" s="196"/>
      <c r="AD12" s="196"/>
      <c r="AE12" s="196"/>
      <c r="AF12" s="196"/>
    </row>
    <row r="13" spans="2:32" ht="12" customHeight="1">
      <c r="B13" s="879"/>
      <c r="C13" s="880"/>
      <c r="D13" s="194"/>
      <c r="E13" s="194"/>
      <c r="F13" s="194"/>
      <c r="G13" s="194"/>
      <c r="H13" s="195"/>
      <c r="I13" s="195"/>
      <c r="M13" s="879"/>
      <c r="N13" s="880"/>
      <c r="O13" s="194"/>
      <c r="P13" s="194"/>
      <c r="Q13" s="194"/>
      <c r="R13" s="194"/>
      <c r="S13" s="194"/>
    </row>
    <row r="14" spans="2:32">
      <c r="B14" s="193"/>
      <c r="C14" s="192"/>
      <c r="D14" s="192"/>
      <c r="E14" s="192"/>
      <c r="F14" s="192"/>
      <c r="G14" s="192"/>
      <c r="H14" s="192"/>
      <c r="I14" s="192"/>
      <c r="J14" s="191"/>
      <c r="M14" s="193"/>
      <c r="N14" s="192"/>
      <c r="O14" s="192"/>
      <c r="P14" s="192"/>
      <c r="Q14" s="192"/>
      <c r="R14" s="192"/>
      <c r="S14" s="192"/>
      <c r="T14" s="192"/>
      <c r="U14" s="191"/>
    </row>
    <row r="15" spans="2:32" ht="12" thickBot="1">
      <c r="B15" s="184"/>
      <c r="J15" s="183"/>
      <c r="M15" s="184"/>
      <c r="U15" s="183"/>
    </row>
    <row r="16" spans="2:32" ht="11.25" customHeight="1">
      <c r="B16" s="184"/>
      <c r="D16" s="190"/>
      <c r="H16" s="897" t="s">
        <v>54</v>
      </c>
      <c r="I16" s="890">
        <v>1000</v>
      </c>
      <c r="J16" s="890"/>
      <c r="K16" s="190"/>
      <c r="L16" s="190"/>
      <c r="M16" s="184"/>
      <c r="O16" s="190"/>
      <c r="S16" s="886" t="s">
        <v>54</v>
      </c>
      <c r="T16" s="862">
        <v>1000</v>
      </c>
      <c r="U16" s="863"/>
      <c r="V16" s="190"/>
    </row>
    <row r="17" spans="2:22" ht="6" customHeight="1" thickBot="1">
      <c r="B17" s="184"/>
      <c r="C17" s="190"/>
      <c r="D17" s="190"/>
      <c r="H17" s="898"/>
      <c r="I17" s="891"/>
      <c r="J17" s="891"/>
      <c r="K17" s="190"/>
      <c r="L17" s="190"/>
      <c r="M17" s="184"/>
      <c r="N17" s="190"/>
      <c r="O17" s="190"/>
      <c r="S17" s="887"/>
      <c r="T17" s="888"/>
      <c r="U17" s="889"/>
      <c r="V17" s="190"/>
    </row>
    <row r="18" spans="2:22" ht="6" customHeight="1">
      <c r="B18" s="189"/>
      <c r="C18" s="188"/>
      <c r="D18" s="190"/>
      <c r="H18" s="898" t="s">
        <v>1026</v>
      </c>
      <c r="I18" s="890">
        <v>1000</v>
      </c>
      <c r="J18" s="890"/>
      <c r="K18" s="190"/>
      <c r="L18" s="190"/>
      <c r="M18" s="189"/>
      <c r="N18" s="188"/>
      <c r="O18" s="190"/>
      <c r="S18" s="887" t="s">
        <v>1026</v>
      </c>
      <c r="T18" s="862">
        <v>1000</v>
      </c>
      <c r="U18" s="863"/>
      <c r="V18" s="190"/>
    </row>
    <row r="19" spans="2:22" ht="11.25" customHeight="1" thickBot="1">
      <c r="B19" s="368" t="s">
        <v>1025</v>
      </c>
      <c r="C19" s="369">
        <f>I18</f>
        <v>1000</v>
      </c>
      <c r="D19" s="190"/>
      <c r="H19" s="898"/>
      <c r="I19" s="891"/>
      <c r="J19" s="891"/>
      <c r="K19" s="190"/>
      <c r="L19" s="190"/>
      <c r="M19" s="368" t="s">
        <v>1025</v>
      </c>
      <c r="N19" s="369">
        <f>T18</f>
        <v>1000</v>
      </c>
      <c r="O19" s="190"/>
      <c r="S19" s="887"/>
      <c r="T19" s="888"/>
      <c r="U19" s="889"/>
      <c r="V19" s="190"/>
    </row>
    <row r="20" spans="2:22" ht="6" customHeight="1">
      <c r="B20" s="370"/>
      <c r="C20" s="371"/>
      <c r="H20" s="898" t="s">
        <v>1024</v>
      </c>
      <c r="I20" s="890">
        <v>450</v>
      </c>
      <c r="J20" s="890"/>
      <c r="M20" s="370"/>
      <c r="N20" s="371"/>
      <c r="S20" s="887" t="s">
        <v>1024</v>
      </c>
      <c r="T20" s="862">
        <v>450</v>
      </c>
      <c r="U20" s="863"/>
    </row>
    <row r="21" spans="2:22" ht="11.25" customHeight="1" thickBot="1">
      <c r="B21" s="368" t="s">
        <v>1023</v>
      </c>
      <c r="C21" s="369">
        <f>I16*2</f>
        <v>2000</v>
      </c>
      <c r="H21" s="898"/>
      <c r="I21" s="891"/>
      <c r="J21" s="891"/>
      <c r="M21" s="368" t="s">
        <v>1023</v>
      </c>
      <c r="N21" s="369">
        <f>T16*2</f>
        <v>2000</v>
      </c>
      <c r="S21" s="887"/>
      <c r="T21" s="888"/>
      <c r="U21" s="889"/>
    </row>
    <row r="22" spans="2:22" ht="11.25" customHeight="1">
      <c r="B22" s="189"/>
      <c r="C22" s="188"/>
      <c r="H22" s="898" t="s">
        <v>1022</v>
      </c>
      <c r="I22" s="890">
        <v>1000</v>
      </c>
      <c r="J22" s="890"/>
      <c r="M22" s="189"/>
      <c r="N22" s="188"/>
      <c r="S22" s="887" t="s">
        <v>1022</v>
      </c>
      <c r="T22" s="862">
        <v>1000</v>
      </c>
      <c r="U22" s="863"/>
    </row>
    <row r="23" spans="2:22" ht="6" customHeight="1" thickBot="1">
      <c r="B23" s="184"/>
      <c r="H23" s="899"/>
      <c r="I23" s="891"/>
      <c r="J23" s="891"/>
      <c r="M23" s="184"/>
      <c r="S23" s="896"/>
      <c r="T23" s="864"/>
      <c r="U23" s="865"/>
    </row>
    <row r="24" spans="2:22" ht="18" thickBot="1">
      <c r="B24" s="184"/>
      <c r="H24" s="187"/>
      <c r="I24" s="187"/>
      <c r="J24" s="186"/>
      <c r="M24" s="184"/>
      <c r="S24" s="187"/>
      <c r="T24" s="187"/>
      <c r="U24" s="186"/>
    </row>
    <row r="25" spans="2:22" ht="11.25" customHeight="1">
      <c r="B25" s="184"/>
      <c r="H25" s="881" t="s">
        <v>656</v>
      </c>
      <c r="I25" s="871">
        <f>ROUND(IF(W4&lt;20,20,IF(W4&gt;90,"error",W4)),0)</f>
        <v>64</v>
      </c>
      <c r="J25" s="872"/>
      <c r="M25" s="184"/>
      <c r="S25" s="881" t="s">
        <v>656</v>
      </c>
      <c r="T25" s="883">
        <f>ROUND(IF(W7&lt;20,20,IF(W7&gt;90,"error",W7)),0)</f>
        <v>64</v>
      </c>
      <c r="U25" s="883"/>
    </row>
    <row r="26" spans="2:22" ht="12" customHeight="1" thickBot="1">
      <c r="B26" s="184"/>
      <c r="H26" s="882"/>
      <c r="I26" s="873"/>
      <c r="J26" s="874"/>
      <c r="M26" s="184"/>
      <c r="S26" s="882"/>
      <c r="T26" s="884"/>
      <c r="U26" s="884"/>
    </row>
    <row r="27" spans="2:22" ht="18" thickBot="1">
      <c r="B27" s="184"/>
      <c r="H27" s="187"/>
      <c r="I27" s="187"/>
      <c r="J27" s="186"/>
      <c r="M27" s="184"/>
      <c r="S27" s="187"/>
      <c r="T27" s="373"/>
      <c r="U27" s="374"/>
    </row>
    <row r="28" spans="2:22" ht="25.2" thickBot="1">
      <c r="B28" s="184"/>
      <c r="H28" s="185" t="s">
        <v>657</v>
      </c>
      <c r="I28" s="869">
        <f>ROUND(DEGREES(ATAN((I20+I22)/(I16+I18))),0)</f>
        <v>36</v>
      </c>
      <c r="J28" s="870"/>
      <c r="M28" s="184"/>
      <c r="S28" s="185" t="s">
        <v>657</v>
      </c>
      <c r="T28" s="867">
        <f>ROUND(DEGREES(ATAN((T20+T22)/(T16+T18))),0)</f>
        <v>36</v>
      </c>
      <c r="U28" s="868"/>
    </row>
    <row r="29" spans="2:22">
      <c r="B29" s="184"/>
      <c r="J29" s="183"/>
      <c r="M29" s="184"/>
      <c r="U29" s="183"/>
    </row>
    <row r="30" spans="2:22">
      <c r="B30" s="182"/>
      <c r="C30" s="181"/>
      <c r="D30" s="181"/>
      <c r="E30" s="181"/>
      <c r="F30" s="181"/>
      <c r="G30" s="181"/>
      <c r="H30" s="181"/>
      <c r="I30" s="181"/>
      <c r="J30" s="180"/>
      <c r="M30" s="182"/>
      <c r="N30" s="181"/>
      <c r="O30" s="181"/>
      <c r="P30" s="181"/>
      <c r="Q30" s="181"/>
      <c r="R30" s="181"/>
      <c r="S30" s="181"/>
      <c r="T30" s="181"/>
      <c r="U30" s="180"/>
    </row>
    <row r="32" spans="2:22" ht="15">
      <c r="B32" s="179" t="s">
        <v>656</v>
      </c>
      <c r="C32" s="895" t="s">
        <v>1021</v>
      </c>
      <c r="D32" s="895"/>
      <c r="E32" s="895"/>
      <c r="F32" s="376">
        <v>0</v>
      </c>
      <c r="G32" s="895" t="s">
        <v>1020</v>
      </c>
      <c r="H32" s="895"/>
      <c r="I32" s="381">
        <f>((F32*I25)+((10-F32)*20))/10</f>
        <v>20</v>
      </c>
      <c r="M32" s="179" t="s">
        <v>656</v>
      </c>
      <c r="N32" s="894" t="s">
        <v>1021</v>
      </c>
      <c r="O32" s="894"/>
      <c r="P32" s="894"/>
      <c r="Q32" s="375">
        <v>0</v>
      </c>
      <c r="R32" s="894" t="s">
        <v>1020</v>
      </c>
      <c r="S32" s="894"/>
      <c r="T32" s="378">
        <f>((Q32*T25)+((10-Q32)*20))/10</f>
        <v>20</v>
      </c>
    </row>
    <row r="33" spans="2:20" ht="12" customHeight="1">
      <c r="C33" s="382"/>
      <c r="D33" s="382"/>
      <c r="E33" s="382"/>
      <c r="F33" s="383"/>
      <c r="G33" s="384"/>
      <c r="H33" s="383"/>
      <c r="I33" s="383"/>
      <c r="N33" s="379"/>
      <c r="O33" s="379"/>
      <c r="P33" s="379"/>
      <c r="Q33" s="379"/>
      <c r="R33" s="380"/>
      <c r="S33" s="379"/>
      <c r="T33" s="379"/>
    </row>
    <row r="34" spans="2:20" ht="15">
      <c r="B34" s="179" t="s">
        <v>657</v>
      </c>
      <c r="C34" s="895" t="s">
        <v>1021</v>
      </c>
      <c r="D34" s="895"/>
      <c r="E34" s="895"/>
      <c r="F34" s="376">
        <v>0</v>
      </c>
      <c r="G34" s="895" t="s">
        <v>1020</v>
      </c>
      <c r="H34" s="895"/>
      <c r="I34" s="381">
        <f>((F34*I28)+((8-F34)*20))/8</f>
        <v>20</v>
      </c>
      <c r="M34" s="179" t="s">
        <v>657</v>
      </c>
      <c r="N34" s="894" t="s">
        <v>1021</v>
      </c>
      <c r="O34" s="894"/>
      <c r="P34" s="894"/>
      <c r="Q34" s="375">
        <v>0</v>
      </c>
      <c r="R34" s="894" t="s">
        <v>1020</v>
      </c>
      <c r="S34" s="894"/>
      <c r="T34" s="378">
        <f>((Q34*T28)+((8-Q34)*20))/8</f>
        <v>20</v>
      </c>
    </row>
    <row r="35" spans="2:20">
      <c r="F35" s="194"/>
      <c r="G35" s="194"/>
      <c r="H35" s="194"/>
      <c r="I35" s="194"/>
    </row>
    <row r="36" spans="2:20">
      <c r="E36" s="178" t="s">
        <v>1092</v>
      </c>
      <c r="F36" s="385">
        <f>IF(H12&gt;80,(IF(I34&gt;75,0,IF(I32&gt;80,0,INDEX('datablad tbv Cb factor'!$A$81:$BK$158, MATCH((CEILING(IF(I34&gt;=75,75,I34),1)),'datablad tbv Cb factor'!$A$81:$A$158,), MATCH((CEILING(IF(I32&lt;=20,20,IF(I32&gt;=80,80,I32)),1)),'datablad tbv Cb factor'!$A$81:$BK$81,))))),IF(I32&gt;75,0,INDEX('datablad tbv Cb factor'!$A$164:$BM$245, MATCH((CEILING(IF(H12&gt;=80,80,H12),1)),'datablad tbv Cb factor'!$A$164:$A$245,), MATCH((CEILING(IF(I32&lt;=1,1,IF(I32&gt;=75,75,I32)),1)),'datablad tbv Cb factor'!$A$164:$BM$164,))))</f>
        <v>0.78</v>
      </c>
      <c r="G36" s="194"/>
      <c r="H36" s="194"/>
      <c r="I36" s="194"/>
      <c r="P36" s="178" t="s">
        <v>1093</v>
      </c>
      <c r="Q36" s="377">
        <f>IF(S12&gt;80,(IF(T34&gt;75,0,IF(T32&gt;80,0,INDEX('datablad tbv Cb factor'!$A$81:$BK$158, MATCH((CEILING(IF(T34&gt;=75,75,T34),1)),'datablad tbv Cb factor'!$A$81:$A$158,), MATCH((CEILING(IF(T32&lt;=20,20,IF(T32&gt;=80,80,T32)),1)),'datablad tbv Cb factor'!$A$81:$BK$81,))))),IF(T32&gt;75,0,INDEX('datablad tbv Cb factor'!$A$164:$BM$245, MATCH((CEILING(IF(S12&gt;=80,80,S12),1)),'datablad tbv Cb factor'!$A$164:$A$245,), MATCH((CEILING(IF(T32&lt;=1,1,IF(T32&gt;=75,75,T32)),1)),'datablad tbv Cb factor'!$A$164:$BM$164,))))</f>
        <v>0.78</v>
      </c>
    </row>
    <row r="38" spans="2:20" ht="11.25" customHeight="1"/>
    <row r="39" spans="2:20" s="175" customFormat="1" ht="12" customHeight="1"/>
    <row r="40" spans="2:20" s="175" customFormat="1"/>
    <row r="41" spans="2:20" s="175" customFormat="1" ht="11.25" customHeight="1"/>
    <row r="42" spans="2:20" s="175" customFormat="1" ht="12" customHeight="1"/>
    <row r="43" spans="2:20" s="175" customFormat="1"/>
    <row r="44" spans="2:20" s="175" customFormat="1"/>
    <row r="45" spans="2:20" s="175" customFormat="1"/>
    <row r="46" spans="2:20" s="175" customFormat="1"/>
    <row r="47" spans="2:20" s="175" customFormat="1"/>
    <row r="48" spans="2:20" s="175" customFormat="1"/>
    <row r="49" spans="5:19" s="175" customFormat="1"/>
    <row r="50" spans="5:19" s="175" customFormat="1"/>
    <row r="51" spans="5:19" s="175" customFormat="1"/>
    <row r="52" spans="5:19" s="175" customFormat="1"/>
    <row r="53" spans="5:19" s="175" customFormat="1"/>
    <row r="54" spans="5:19" s="175" customFormat="1" ht="24.6">
      <c r="E54" s="177"/>
      <c r="F54" s="177"/>
      <c r="G54" s="176"/>
      <c r="H54" s="176"/>
      <c r="P54" s="177"/>
      <c r="Q54" s="177"/>
      <c r="R54" s="176"/>
      <c r="S54" s="176"/>
    </row>
    <row r="55" spans="5:19" s="175" customFormat="1"/>
    <row r="56" spans="5:19" s="175" customFormat="1"/>
    <row r="57" spans="5:19" s="175" customFormat="1"/>
    <row r="58" spans="5:19" s="175" customFormat="1"/>
    <row r="59" spans="5:19" s="175" customFormat="1"/>
    <row r="60" spans="5:19" s="175" customFormat="1"/>
    <row r="61" spans="5:19" s="175" customFormat="1"/>
    <row r="62" spans="5:19" s="175" customFormat="1"/>
    <row r="63" spans="5:19" s="175" customFormat="1"/>
    <row r="64" spans="5:19" s="175" customFormat="1"/>
    <row r="65" s="175" customFormat="1"/>
    <row r="66" s="175" customFormat="1"/>
    <row r="67" s="175" customFormat="1"/>
    <row r="68" s="175" customFormat="1"/>
    <row r="69" s="175" customFormat="1"/>
    <row r="70" s="175" customFormat="1"/>
    <row r="71" s="175" customFormat="1"/>
    <row r="72" s="175" customFormat="1"/>
    <row r="73" s="175" customFormat="1"/>
    <row r="74" s="175" customFormat="1"/>
    <row r="75" s="175" customFormat="1"/>
    <row r="76" s="175" customFormat="1"/>
    <row r="77" s="175" customFormat="1"/>
  </sheetData>
  <mergeCells count="44">
    <mergeCell ref="B12:C13"/>
    <mergeCell ref="S22:S23"/>
    <mergeCell ref="H25:H26"/>
    <mergeCell ref="H16:H17"/>
    <mergeCell ref="H18:H19"/>
    <mergeCell ref="H20:H21"/>
    <mergeCell ref="H22:H23"/>
    <mergeCell ref="R32:S32"/>
    <mergeCell ref="R34:S34"/>
    <mergeCell ref="C32:E32"/>
    <mergeCell ref="C34:E34"/>
    <mergeCell ref="N32:P32"/>
    <mergeCell ref="N34:P34"/>
    <mergeCell ref="G32:H32"/>
    <mergeCell ref="G34:H34"/>
    <mergeCell ref="J2:P2"/>
    <mergeCell ref="J3:P3"/>
    <mergeCell ref="J4:P4"/>
    <mergeCell ref="J5:P5"/>
    <mergeCell ref="P7:P8"/>
    <mergeCell ref="H2:I2"/>
    <mergeCell ref="H3:I3"/>
    <mergeCell ref="H4:I4"/>
    <mergeCell ref="S25:S26"/>
    <mergeCell ref="T25:U26"/>
    <mergeCell ref="Q7:T8"/>
    <mergeCell ref="S16:S17"/>
    <mergeCell ref="T16:U17"/>
    <mergeCell ref="S18:S19"/>
    <mergeCell ref="T18:U19"/>
    <mergeCell ref="I22:J23"/>
    <mergeCell ref="I20:J21"/>
    <mergeCell ref="I18:J19"/>
    <mergeCell ref="I16:J17"/>
    <mergeCell ref="S20:S21"/>
    <mergeCell ref="T20:U21"/>
    <mergeCell ref="T22:U23"/>
    <mergeCell ref="S3:T3"/>
    <mergeCell ref="S5:T5"/>
    <mergeCell ref="T28:U28"/>
    <mergeCell ref="I28:J28"/>
    <mergeCell ref="I25:J26"/>
    <mergeCell ref="H5:I5"/>
    <mergeCell ref="M12:N13"/>
  </mergeCells>
  <pageMargins left="0.7" right="0.7" top="0.75" bottom="0.75" header="0.3" footer="0.3"/>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3"/>
  <dimension ref="A1:H533"/>
  <sheetViews>
    <sheetView topLeftCell="A43" workbookViewId="0">
      <selection activeCell="D79" sqref="D79"/>
    </sheetView>
  </sheetViews>
  <sheetFormatPr defaultRowHeight="13.2"/>
  <cols>
    <col min="1" max="1" width="9.6640625" customWidth="1"/>
    <col min="2" max="2" width="8.6640625" bestFit="1" customWidth="1"/>
    <col min="3" max="3" width="28.33203125" customWidth="1"/>
    <col min="4" max="4" width="20.6640625" bestFit="1" customWidth="1"/>
    <col min="5" max="5" width="11.5546875" style="1" bestFit="1" customWidth="1"/>
    <col min="6" max="6" width="20.109375" bestFit="1" customWidth="1"/>
    <col min="7" max="7" width="11.5546875" customWidth="1"/>
    <col min="8" max="8" width="128.44140625" customWidth="1"/>
    <col min="18" max="33" width="9.109375" customWidth="1"/>
  </cols>
  <sheetData>
    <row r="1" spans="1:8" s="9" customFormat="1" ht="13.8">
      <c r="A1" s="674" t="s">
        <v>275</v>
      </c>
      <c r="B1" s="674" t="s">
        <v>1006</v>
      </c>
      <c r="C1" s="674" t="s">
        <v>267</v>
      </c>
      <c r="D1" s="674" t="s">
        <v>265</v>
      </c>
      <c r="E1" s="675" t="s">
        <v>259</v>
      </c>
      <c r="F1" s="674" t="s">
        <v>260</v>
      </c>
      <c r="G1" s="674" t="s">
        <v>264</v>
      </c>
      <c r="H1" s="674" t="s">
        <v>261</v>
      </c>
    </row>
    <row r="2" spans="1:8" s="8" customFormat="1" ht="27.6">
      <c r="A2" s="676" t="s">
        <v>276</v>
      </c>
      <c r="B2" s="676" t="s">
        <v>268</v>
      </c>
      <c r="C2" s="676" t="s">
        <v>266</v>
      </c>
      <c r="D2" s="676" t="s">
        <v>271</v>
      </c>
      <c r="E2" s="677">
        <v>40296</v>
      </c>
      <c r="F2" s="678" t="str">
        <f t="shared" ref="F2:F33" ca="1" si="0">IF(A2="","",IF(A2="gesloten","gesloten",DATEDIF(E2,NOW(),"d")))</f>
        <v>gesloten</v>
      </c>
      <c r="G2" s="678" t="s">
        <v>263</v>
      </c>
      <c r="H2" s="679" t="s">
        <v>277</v>
      </c>
    </row>
    <row r="3" spans="1:8" s="8" customFormat="1" ht="13.8">
      <c r="A3" s="676" t="s">
        <v>276</v>
      </c>
      <c r="B3" s="676" t="s">
        <v>268</v>
      </c>
      <c r="C3" s="676" t="s">
        <v>268</v>
      </c>
      <c r="D3" s="676" t="s">
        <v>271</v>
      </c>
      <c r="E3" s="677">
        <v>40296</v>
      </c>
      <c r="F3" s="678" t="str">
        <f t="shared" ca="1" si="0"/>
        <v>gesloten</v>
      </c>
      <c r="G3" s="678" t="s">
        <v>268</v>
      </c>
      <c r="H3" s="679" t="s">
        <v>274</v>
      </c>
    </row>
    <row r="4" spans="1:8" s="8" customFormat="1" ht="13.8">
      <c r="A4" s="676" t="s">
        <v>276</v>
      </c>
      <c r="B4" s="676" t="s">
        <v>268</v>
      </c>
      <c r="C4" s="676" t="s">
        <v>269</v>
      </c>
      <c r="D4" s="676" t="s">
        <v>266</v>
      </c>
      <c r="E4" s="677">
        <v>40367</v>
      </c>
      <c r="F4" s="678" t="str">
        <f t="shared" ca="1" si="0"/>
        <v>gesloten</v>
      </c>
      <c r="G4" s="678" t="s">
        <v>268</v>
      </c>
      <c r="H4" s="679" t="s">
        <v>270</v>
      </c>
    </row>
    <row r="5" spans="1:8" s="8" customFormat="1" ht="13.8">
      <c r="A5" s="676" t="s">
        <v>276</v>
      </c>
      <c r="B5" s="676" t="s">
        <v>268</v>
      </c>
      <c r="C5" s="676" t="s">
        <v>266</v>
      </c>
      <c r="D5" s="676" t="s">
        <v>266</v>
      </c>
      <c r="E5" s="680">
        <v>40368</v>
      </c>
      <c r="F5" s="678" t="str">
        <f t="shared" ca="1" si="0"/>
        <v>gesloten</v>
      </c>
      <c r="G5" s="678" t="s">
        <v>268</v>
      </c>
      <c r="H5" s="679" t="s">
        <v>285</v>
      </c>
    </row>
    <row r="6" spans="1:8" s="8" customFormat="1" ht="13.8">
      <c r="A6" s="676" t="s">
        <v>276</v>
      </c>
      <c r="B6" s="676" t="s">
        <v>268</v>
      </c>
      <c r="C6" s="676" t="s">
        <v>266</v>
      </c>
      <c r="D6" s="676" t="s">
        <v>280</v>
      </c>
      <c r="E6" s="680">
        <v>40368</v>
      </c>
      <c r="F6" s="678" t="str">
        <f t="shared" ca="1" si="0"/>
        <v>gesloten</v>
      </c>
      <c r="G6" s="681"/>
      <c r="H6" s="679" t="s">
        <v>286</v>
      </c>
    </row>
    <row r="7" spans="1:8" s="8" customFormat="1" ht="13.8">
      <c r="A7" s="676" t="s">
        <v>276</v>
      </c>
      <c r="B7" s="676" t="s">
        <v>268</v>
      </c>
      <c r="C7" s="676" t="s">
        <v>266</v>
      </c>
      <c r="D7" s="676" t="s">
        <v>280</v>
      </c>
      <c r="E7" s="680">
        <v>40368</v>
      </c>
      <c r="F7" s="678" t="str">
        <f t="shared" ca="1" si="0"/>
        <v>gesloten</v>
      </c>
      <c r="G7" s="678" t="s">
        <v>268</v>
      </c>
      <c r="H7" s="679" t="s">
        <v>289</v>
      </c>
    </row>
    <row r="8" spans="1:8" ht="13.8">
      <c r="A8" s="676" t="s">
        <v>276</v>
      </c>
      <c r="B8" s="676" t="s">
        <v>268</v>
      </c>
      <c r="C8" s="676" t="s">
        <v>266</v>
      </c>
      <c r="D8" s="676" t="s">
        <v>266</v>
      </c>
      <c r="E8" s="677">
        <v>40367</v>
      </c>
      <c r="F8" s="678" t="str">
        <f t="shared" ca="1" si="0"/>
        <v>gesloten</v>
      </c>
      <c r="G8" s="678" t="s">
        <v>263</v>
      </c>
      <c r="H8" s="679" t="s">
        <v>262</v>
      </c>
    </row>
    <row r="9" spans="1:8" ht="13.8">
      <c r="A9" s="676" t="s">
        <v>276</v>
      </c>
      <c r="B9" s="676" t="s">
        <v>268</v>
      </c>
      <c r="C9" s="676" t="s">
        <v>296</v>
      </c>
      <c r="D9" s="676" t="s">
        <v>299</v>
      </c>
      <c r="E9" s="677">
        <v>40296</v>
      </c>
      <c r="F9" s="678" t="str">
        <f t="shared" ca="1" si="0"/>
        <v>gesloten</v>
      </c>
      <c r="G9" s="678" t="s">
        <v>268</v>
      </c>
      <c r="H9" s="679" t="s">
        <v>272</v>
      </c>
    </row>
    <row r="10" spans="1:8" ht="27.6">
      <c r="A10" s="676" t="s">
        <v>276</v>
      </c>
      <c r="B10" s="676" t="s">
        <v>268</v>
      </c>
      <c r="C10" s="676" t="s">
        <v>268</v>
      </c>
      <c r="D10" s="676" t="s">
        <v>299</v>
      </c>
      <c r="E10" s="677">
        <v>40296</v>
      </c>
      <c r="F10" s="678" t="str">
        <f t="shared" ca="1" si="0"/>
        <v>gesloten</v>
      </c>
      <c r="G10" s="678" t="s">
        <v>268</v>
      </c>
      <c r="H10" s="679" t="s">
        <v>273</v>
      </c>
    </row>
    <row r="11" spans="1:8" ht="13.8">
      <c r="A11" s="676" t="s">
        <v>276</v>
      </c>
      <c r="B11" s="676" t="s">
        <v>268</v>
      </c>
      <c r="C11" s="676" t="s">
        <v>268</v>
      </c>
      <c r="D11" s="676" t="s">
        <v>266</v>
      </c>
      <c r="E11" s="677">
        <v>40367</v>
      </c>
      <c r="F11" s="678" t="str">
        <f t="shared" ca="1" si="0"/>
        <v>gesloten</v>
      </c>
      <c r="G11" s="678" t="s">
        <v>268</v>
      </c>
      <c r="H11" s="679" t="s">
        <v>278</v>
      </c>
    </row>
    <row r="12" spans="1:8" ht="27.6">
      <c r="A12" s="676" t="s">
        <v>276</v>
      </c>
      <c r="B12" s="676" t="s">
        <v>268</v>
      </c>
      <c r="C12" s="676" t="s">
        <v>268</v>
      </c>
      <c r="D12" s="676" t="s">
        <v>266</v>
      </c>
      <c r="E12" s="677">
        <v>40367</v>
      </c>
      <c r="F12" s="678" t="str">
        <f t="shared" ca="1" si="0"/>
        <v>gesloten</v>
      </c>
      <c r="G12" s="678" t="s">
        <v>268</v>
      </c>
      <c r="H12" s="679" t="s">
        <v>279</v>
      </c>
    </row>
    <row r="13" spans="1:8" ht="13.8">
      <c r="A13" s="676" t="s">
        <v>276</v>
      </c>
      <c r="B13" s="676" t="s">
        <v>268</v>
      </c>
      <c r="C13" s="676" t="s">
        <v>280</v>
      </c>
      <c r="D13" s="676" t="s">
        <v>280</v>
      </c>
      <c r="E13" s="680">
        <v>40368</v>
      </c>
      <c r="F13" s="678" t="str">
        <f t="shared" ca="1" si="0"/>
        <v>gesloten</v>
      </c>
      <c r="G13" s="678" t="s">
        <v>268</v>
      </c>
      <c r="H13" s="679" t="s">
        <v>281</v>
      </c>
    </row>
    <row r="14" spans="1:8" ht="13.8">
      <c r="A14" s="676" t="s">
        <v>276</v>
      </c>
      <c r="B14" s="676" t="s">
        <v>268</v>
      </c>
      <c r="C14" s="676" t="s">
        <v>280</v>
      </c>
      <c r="D14" s="676" t="s">
        <v>266</v>
      </c>
      <c r="E14" s="680">
        <v>40368</v>
      </c>
      <c r="F14" s="678" t="str">
        <f t="shared" ca="1" si="0"/>
        <v>gesloten</v>
      </c>
      <c r="G14" s="678" t="s">
        <v>268</v>
      </c>
      <c r="H14" s="679" t="s">
        <v>282</v>
      </c>
    </row>
    <row r="15" spans="1:8" ht="13.8">
      <c r="A15" s="676" t="s">
        <v>276</v>
      </c>
      <c r="B15" s="676" t="s">
        <v>268</v>
      </c>
      <c r="C15" s="676" t="s">
        <v>283</v>
      </c>
      <c r="D15" s="676" t="s">
        <v>280</v>
      </c>
      <c r="E15" s="680">
        <v>40368</v>
      </c>
      <c r="F15" s="678" t="str">
        <f t="shared" ca="1" si="0"/>
        <v>gesloten</v>
      </c>
      <c r="G15" s="681"/>
      <c r="H15" s="679" t="s">
        <v>284</v>
      </c>
    </row>
    <row r="16" spans="1:8" ht="13.8">
      <c r="A16" s="676" t="s">
        <v>276</v>
      </c>
      <c r="B16" s="676" t="s">
        <v>268</v>
      </c>
      <c r="C16" s="676" t="s">
        <v>266</v>
      </c>
      <c r="D16" s="676" t="s">
        <v>287</v>
      </c>
      <c r="E16" s="680">
        <v>40368</v>
      </c>
      <c r="F16" s="678" t="str">
        <f t="shared" ca="1" si="0"/>
        <v>gesloten</v>
      </c>
      <c r="G16" s="678" t="s">
        <v>268</v>
      </c>
      <c r="H16" s="679" t="s">
        <v>288</v>
      </c>
    </row>
    <row r="17" spans="1:8" ht="13.8">
      <c r="A17" s="676" t="s">
        <v>276</v>
      </c>
      <c r="B17" s="676" t="s">
        <v>268</v>
      </c>
      <c r="C17" s="676" t="s">
        <v>266</v>
      </c>
      <c r="D17" s="676" t="s">
        <v>280</v>
      </c>
      <c r="E17" s="680">
        <v>40368</v>
      </c>
      <c r="F17" s="678" t="str">
        <f t="shared" ca="1" si="0"/>
        <v>gesloten</v>
      </c>
      <c r="G17" s="678" t="s">
        <v>268</v>
      </c>
      <c r="H17" s="679" t="s">
        <v>290</v>
      </c>
    </row>
    <row r="18" spans="1:8" ht="13.8">
      <c r="A18" s="676" t="s">
        <v>276</v>
      </c>
      <c r="B18" s="676" t="s">
        <v>268</v>
      </c>
      <c r="C18" s="676" t="s">
        <v>266</v>
      </c>
      <c r="D18" s="676" t="s">
        <v>266</v>
      </c>
      <c r="E18" s="677">
        <v>40374</v>
      </c>
      <c r="F18" s="678" t="str">
        <f t="shared" ca="1" si="0"/>
        <v>gesloten</v>
      </c>
      <c r="G18" s="678" t="s">
        <v>263</v>
      </c>
      <c r="H18" s="679" t="s">
        <v>293</v>
      </c>
    </row>
    <row r="19" spans="1:8" ht="13.8">
      <c r="A19" s="676" t="s">
        <v>276</v>
      </c>
      <c r="B19" s="676" t="s">
        <v>268</v>
      </c>
      <c r="C19" s="676" t="s">
        <v>280</v>
      </c>
      <c r="D19" s="676" t="s">
        <v>280</v>
      </c>
      <c r="E19" s="680">
        <v>40388</v>
      </c>
      <c r="F19" s="678" t="str">
        <f t="shared" ca="1" si="0"/>
        <v>gesloten</v>
      </c>
      <c r="G19" s="681"/>
      <c r="H19" s="679" t="s">
        <v>294</v>
      </c>
    </row>
    <row r="20" spans="1:8" ht="13.8">
      <c r="A20" s="676" t="s">
        <v>276</v>
      </c>
      <c r="B20" s="676" t="s">
        <v>268</v>
      </c>
      <c r="C20" s="676" t="s">
        <v>295</v>
      </c>
      <c r="D20" s="676" t="s">
        <v>280</v>
      </c>
      <c r="E20" s="680">
        <v>40442</v>
      </c>
      <c r="F20" s="678" t="str">
        <f t="shared" ca="1" si="0"/>
        <v>gesloten</v>
      </c>
      <c r="G20" s="678" t="s">
        <v>263</v>
      </c>
      <c r="H20" s="679" t="s">
        <v>300</v>
      </c>
    </row>
    <row r="21" spans="1:8" ht="13.8">
      <c r="A21" s="676" t="s">
        <v>276</v>
      </c>
      <c r="B21" s="676" t="s">
        <v>268</v>
      </c>
      <c r="C21" s="676" t="s">
        <v>296</v>
      </c>
      <c r="D21" s="676" t="s">
        <v>280</v>
      </c>
      <c r="E21" s="680">
        <v>40442</v>
      </c>
      <c r="F21" s="678" t="str">
        <f t="shared" ca="1" si="0"/>
        <v>gesloten</v>
      </c>
      <c r="G21" s="678" t="s">
        <v>268</v>
      </c>
      <c r="H21" s="679" t="s">
        <v>297</v>
      </c>
    </row>
    <row r="22" spans="1:8" ht="13.8">
      <c r="A22" s="676" t="s">
        <v>276</v>
      </c>
      <c r="B22" s="676" t="s">
        <v>268</v>
      </c>
      <c r="C22" s="676" t="s">
        <v>296</v>
      </c>
      <c r="D22" s="676" t="s">
        <v>280</v>
      </c>
      <c r="E22" s="680">
        <v>40442</v>
      </c>
      <c r="F22" s="678" t="str">
        <f t="shared" ca="1" si="0"/>
        <v>gesloten</v>
      </c>
      <c r="G22" s="678" t="s">
        <v>268</v>
      </c>
      <c r="H22" s="679" t="s">
        <v>298</v>
      </c>
    </row>
    <row r="23" spans="1:8" ht="13.8">
      <c r="A23" s="676" t="s">
        <v>276</v>
      </c>
      <c r="B23" s="676" t="s">
        <v>268</v>
      </c>
      <c r="C23" s="676" t="s">
        <v>296</v>
      </c>
      <c r="D23" s="676" t="s">
        <v>280</v>
      </c>
      <c r="E23" s="680">
        <v>40442</v>
      </c>
      <c r="F23" s="678" t="str">
        <f t="shared" ca="1" si="0"/>
        <v>gesloten</v>
      </c>
      <c r="G23" s="678" t="s">
        <v>268</v>
      </c>
      <c r="H23" s="679" t="s">
        <v>566</v>
      </c>
    </row>
    <row r="24" spans="1:8" ht="13.8">
      <c r="A24" s="676" t="s">
        <v>276</v>
      </c>
      <c r="B24" s="676" t="s">
        <v>268</v>
      </c>
      <c r="C24" s="676" t="s">
        <v>266</v>
      </c>
      <c r="D24" s="676" t="s">
        <v>280</v>
      </c>
      <c r="E24" s="680">
        <v>40456</v>
      </c>
      <c r="F24" s="678" t="str">
        <f t="shared" ca="1" si="0"/>
        <v>gesloten</v>
      </c>
      <c r="G24" s="678" t="s">
        <v>263</v>
      </c>
      <c r="H24" s="679" t="s">
        <v>567</v>
      </c>
    </row>
    <row r="25" spans="1:8" ht="13.8">
      <c r="A25" s="676" t="s">
        <v>276</v>
      </c>
      <c r="B25" s="676" t="s">
        <v>268</v>
      </c>
      <c r="C25" s="676" t="s">
        <v>296</v>
      </c>
      <c r="D25" s="676" t="s">
        <v>280</v>
      </c>
      <c r="E25" s="680">
        <v>40456</v>
      </c>
      <c r="F25" s="678" t="str">
        <f t="shared" ca="1" si="0"/>
        <v>gesloten</v>
      </c>
      <c r="G25" s="678" t="s">
        <v>268</v>
      </c>
      <c r="H25" s="679" t="s">
        <v>569</v>
      </c>
    </row>
    <row r="26" spans="1:8" ht="13.8">
      <c r="A26" s="676" t="s">
        <v>276</v>
      </c>
      <c r="B26" s="676" t="s">
        <v>268</v>
      </c>
      <c r="C26" s="676" t="s">
        <v>280</v>
      </c>
      <c r="D26" s="676" t="s">
        <v>280</v>
      </c>
      <c r="E26" s="680">
        <v>40456</v>
      </c>
      <c r="F26" s="678" t="str">
        <f t="shared" ca="1" si="0"/>
        <v>gesloten</v>
      </c>
      <c r="G26" s="678" t="s">
        <v>268</v>
      </c>
      <c r="H26" s="679" t="s">
        <v>568</v>
      </c>
    </row>
    <row r="27" spans="1:8" ht="13.8">
      <c r="A27" s="676" t="s">
        <v>276</v>
      </c>
      <c r="B27" s="676" t="s">
        <v>268</v>
      </c>
      <c r="C27" s="676" t="s">
        <v>280</v>
      </c>
      <c r="D27" s="676" t="s">
        <v>280</v>
      </c>
      <c r="E27" s="680">
        <v>40456</v>
      </c>
      <c r="F27" s="678" t="str">
        <f t="shared" ca="1" si="0"/>
        <v>gesloten</v>
      </c>
      <c r="G27" s="678" t="s">
        <v>268</v>
      </c>
      <c r="H27" s="679" t="s">
        <v>570</v>
      </c>
    </row>
    <row r="28" spans="1:8" s="8" customFormat="1" ht="13.8">
      <c r="A28" s="676" t="s">
        <v>276</v>
      </c>
      <c r="B28" s="676" t="s">
        <v>268</v>
      </c>
      <c r="C28" s="676" t="s">
        <v>266</v>
      </c>
      <c r="D28" s="676" t="s">
        <v>266</v>
      </c>
      <c r="E28" s="677">
        <v>40469</v>
      </c>
      <c r="F28" s="678" t="str">
        <f t="shared" ca="1" si="0"/>
        <v>gesloten</v>
      </c>
      <c r="G28" s="678" t="s">
        <v>268</v>
      </c>
      <c r="H28" s="679" t="s">
        <v>645</v>
      </c>
    </row>
    <row r="29" spans="1:8" ht="14.4">
      <c r="A29" s="676" t="s">
        <v>276</v>
      </c>
      <c r="B29" s="676" t="s">
        <v>268</v>
      </c>
      <c r="C29" s="676" t="s">
        <v>269</v>
      </c>
      <c r="D29" s="676" t="s">
        <v>650</v>
      </c>
      <c r="E29" s="680">
        <v>40526</v>
      </c>
      <c r="F29" s="678" t="str">
        <f t="shared" ca="1" si="0"/>
        <v>gesloten</v>
      </c>
      <c r="G29" s="681" t="s">
        <v>268</v>
      </c>
      <c r="H29" s="679" t="s">
        <v>1110</v>
      </c>
    </row>
    <row r="30" spans="1:8" ht="13.8">
      <c r="A30" s="676" t="s">
        <v>276</v>
      </c>
      <c r="B30" s="676" t="s">
        <v>268</v>
      </c>
      <c r="C30" s="676" t="s">
        <v>266</v>
      </c>
      <c r="D30" s="676" t="s">
        <v>266</v>
      </c>
      <c r="E30" s="680">
        <v>40536</v>
      </c>
      <c r="F30" s="678" t="str">
        <f t="shared" ca="1" si="0"/>
        <v>gesloten</v>
      </c>
      <c r="G30" s="681" t="s">
        <v>268</v>
      </c>
      <c r="H30" s="679" t="s">
        <v>651</v>
      </c>
    </row>
    <row r="31" spans="1:8" ht="13.8">
      <c r="A31" s="676" t="s">
        <v>276</v>
      </c>
      <c r="B31" s="676" t="s">
        <v>268</v>
      </c>
      <c r="C31" s="676" t="s">
        <v>269</v>
      </c>
      <c r="D31" s="676" t="s">
        <v>266</v>
      </c>
      <c r="E31" s="680">
        <v>40544</v>
      </c>
      <c r="F31" s="678" t="str">
        <f t="shared" ca="1" si="0"/>
        <v>gesloten</v>
      </c>
      <c r="G31" s="681" t="s">
        <v>268</v>
      </c>
      <c r="H31" s="679" t="s">
        <v>674</v>
      </c>
    </row>
    <row r="32" spans="1:8" ht="13.8">
      <c r="A32" s="676" t="s">
        <v>276</v>
      </c>
      <c r="B32" s="676" t="s">
        <v>268</v>
      </c>
      <c r="C32" s="676" t="s">
        <v>269</v>
      </c>
      <c r="D32" s="676" t="s">
        <v>266</v>
      </c>
      <c r="E32" s="680">
        <v>40544</v>
      </c>
      <c r="F32" s="678" t="str">
        <f t="shared" ca="1" si="0"/>
        <v>gesloten</v>
      </c>
      <c r="G32" s="681" t="s">
        <v>268</v>
      </c>
      <c r="H32" s="679" t="s">
        <v>654</v>
      </c>
    </row>
    <row r="33" spans="1:8" ht="13.8">
      <c r="A33" s="676" t="s">
        <v>276</v>
      </c>
      <c r="B33" s="676" t="s">
        <v>268</v>
      </c>
      <c r="C33" s="676" t="s">
        <v>266</v>
      </c>
      <c r="D33" s="676" t="s">
        <v>668</v>
      </c>
      <c r="E33" s="680">
        <v>40562</v>
      </c>
      <c r="F33" s="678" t="str">
        <f t="shared" ca="1" si="0"/>
        <v>gesloten</v>
      </c>
      <c r="G33" s="681" t="s">
        <v>268</v>
      </c>
      <c r="H33" s="679" t="s">
        <v>663</v>
      </c>
    </row>
    <row r="34" spans="1:8" ht="13.8">
      <c r="A34" s="676" t="s">
        <v>276</v>
      </c>
      <c r="B34" s="676" t="s">
        <v>268</v>
      </c>
      <c r="C34" s="676" t="s">
        <v>266</v>
      </c>
      <c r="D34" s="676" t="s">
        <v>280</v>
      </c>
      <c r="E34" s="680">
        <v>40567</v>
      </c>
      <c r="F34" s="678" t="str">
        <f t="shared" ref="F34:F60" ca="1" si="1">IF(A34="","",IF(A34="gesloten","gesloten",DATEDIF(E34,NOW(),"d")))</f>
        <v>gesloten</v>
      </c>
      <c r="G34" s="681" t="s">
        <v>268</v>
      </c>
      <c r="H34" s="679" t="s">
        <v>664</v>
      </c>
    </row>
    <row r="35" spans="1:8" ht="13.8">
      <c r="A35" s="676" t="s">
        <v>276</v>
      </c>
      <c r="B35" s="676" t="s">
        <v>268</v>
      </c>
      <c r="C35" s="676" t="s">
        <v>266</v>
      </c>
      <c r="D35" s="676" t="s">
        <v>280</v>
      </c>
      <c r="E35" s="680">
        <v>40567</v>
      </c>
      <c r="F35" s="678" t="str">
        <f t="shared" ca="1" si="1"/>
        <v>gesloten</v>
      </c>
      <c r="G35" s="681" t="s">
        <v>268</v>
      </c>
      <c r="H35" s="679" t="s">
        <v>665</v>
      </c>
    </row>
    <row r="36" spans="1:8" ht="14.25" customHeight="1">
      <c r="A36" s="676" t="s">
        <v>276</v>
      </c>
      <c r="B36" s="676" t="s">
        <v>268</v>
      </c>
      <c r="C36" s="676" t="s">
        <v>666</v>
      </c>
      <c r="D36" s="676" t="s">
        <v>280</v>
      </c>
      <c r="E36" s="680">
        <v>40567</v>
      </c>
      <c r="F36" s="678" t="str">
        <f t="shared" ca="1" si="1"/>
        <v>gesloten</v>
      </c>
      <c r="G36" s="681" t="s">
        <v>268</v>
      </c>
      <c r="H36" s="679" t="s">
        <v>667</v>
      </c>
    </row>
    <row r="37" spans="1:8" ht="13.8">
      <c r="A37" s="676" t="s">
        <v>276</v>
      </c>
      <c r="B37" s="676" t="s">
        <v>268</v>
      </c>
      <c r="C37" s="676" t="s">
        <v>266</v>
      </c>
      <c r="D37" s="676" t="s">
        <v>266</v>
      </c>
      <c r="E37" s="680">
        <v>40620</v>
      </c>
      <c r="F37" s="678" t="str">
        <f t="shared" ca="1" si="1"/>
        <v>gesloten</v>
      </c>
      <c r="G37" s="681" t="s">
        <v>268</v>
      </c>
      <c r="H37" s="676" t="s">
        <v>675</v>
      </c>
    </row>
    <row r="38" spans="1:8" ht="13.8">
      <c r="A38" s="676" t="s">
        <v>276</v>
      </c>
      <c r="B38" s="676" t="s">
        <v>268</v>
      </c>
      <c r="C38" s="676" t="s">
        <v>266</v>
      </c>
      <c r="D38" s="676" t="s">
        <v>266</v>
      </c>
      <c r="E38" s="680">
        <v>40660</v>
      </c>
      <c r="F38" s="678" t="str">
        <f t="shared" ca="1" si="1"/>
        <v>gesloten</v>
      </c>
      <c r="G38" s="681" t="s">
        <v>268</v>
      </c>
      <c r="H38" s="679" t="s">
        <v>679</v>
      </c>
    </row>
    <row r="39" spans="1:8" ht="13.8">
      <c r="A39" s="676" t="s">
        <v>276</v>
      </c>
      <c r="B39" s="676" t="s">
        <v>268</v>
      </c>
      <c r="C39" s="676" t="s">
        <v>280</v>
      </c>
      <c r="D39" s="676" t="s">
        <v>266</v>
      </c>
      <c r="E39" s="680">
        <v>40660</v>
      </c>
      <c r="F39" s="678" t="str">
        <f t="shared" ca="1" si="1"/>
        <v>gesloten</v>
      </c>
      <c r="G39" s="681" t="s">
        <v>268</v>
      </c>
      <c r="H39" s="679" t="s">
        <v>680</v>
      </c>
    </row>
    <row r="40" spans="1:8" ht="13.8">
      <c r="A40" s="676" t="s">
        <v>276</v>
      </c>
      <c r="B40" s="676" t="s">
        <v>268</v>
      </c>
      <c r="C40" s="676" t="s">
        <v>266</v>
      </c>
      <c r="D40" s="676" t="s">
        <v>266</v>
      </c>
      <c r="E40" s="680">
        <v>40660</v>
      </c>
      <c r="F40" s="678" t="str">
        <f t="shared" ca="1" si="1"/>
        <v>gesloten</v>
      </c>
      <c r="G40" s="681" t="s">
        <v>268</v>
      </c>
      <c r="H40" s="679" t="s">
        <v>681</v>
      </c>
    </row>
    <row r="41" spans="1:8" ht="13.8">
      <c r="A41" s="676" t="s">
        <v>276</v>
      </c>
      <c r="B41" s="676" t="s">
        <v>268</v>
      </c>
      <c r="C41" s="676" t="s">
        <v>266</v>
      </c>
      <c r="D41" s="676" t="s">
        <v>266</v>
      </c>
      <c r="E41" s="680">
        <v>40704</v>
      </c>
      <c r="F41" s="678" t="str">
        <f t="shared" ca="1" si="1"/>
        <v>gesloten</v>
      </c>
      <c r="G41" s="681" t="s">
        <v>268</v>
      </c>
      <c r="H41" s="679" t="s">
        <v>682</v>
      </c>
    </row>
    <row r="42" spans="1:8" ht="13.8">
      <c r="A42" s="676" t="s">
        <v>276</v>
      </c>
      <c r="B42" s="676" t="s">
        <v>268</v>
      </c>
      <c r="C42" s="676" t="s">
        <v>280</v>
      </c>
      <c r="D42" s="676" t="s">
        <v>280</v>
      </c>
      <c r="E42" s="680">
        <v>40737</v>
      </c>
      <c r="F42" s="678" t="str">
        <f t="shared" ca="1" si="1"/>
        <v>gesloten</v>
      </c>
      <c r="G42" s="681" t="s">
        <v>268</v>
      </c>
      <c r="H42" s="679" t="s">
        <v>683</v>
      </c>
    </row>
    <row r="43" spans="1:8" ht="13.8">
      <c r="A43" s="676" t="s">
        <v>698</v>
      </c>
      <c r="B43" s="676" t="s">
        <v>268</v>
      </c>
      <c r="C43" s="676" t="s">
        <v>266</v>
      </c>
      <c r="D43" s="676" t="s">
        <v>280</v>
      </c>
      <c r="E43" s="680">
        <v>40870</v>
      </c>
      <c r="F43" s="678">
        <f t="shared" ca="1" si="1"/>
        <v>4163</v>
      </c>
      <c r="G43" s="681" t="s">
        <v>268</v>
      </c>
      <c r="H43" s="679" t="s">
        <v>699</v>
      </c>
    </row>
    <row r="44" spans="1:8" ht="13.8">
      <c r="A44" s="676" t="s">
        <v>698</v>
      </c>
      <c r="B44" s="676" t="s">
        <v>268</v>
      </c>
      <c r="C44" s="676" t="s">
        <v>266</v>
      </c>
      <c r="D44" s="676" t="s">
        <v>280</v>
      </c>
      <c r="E44" s="680">
        <v>40870</v>
      </c>
      <c r="F44" s="678">
        <f t="shared" ca="1" si="1"/>
        <v>4163</v>
      </c>
      <c r="G44" s="681" t="s">
        <v>268</v>
      </c>
      <c r="H44" s="679" t="s">
        <v>700</v>
      </c>
    </row>
    <row r="45" spans="1:8" ht="13.8">
      <c r="A45" s="676" t="s">
        <v>276</v>
      </c>
      <c r="B45" s="676" t="s">
        <v>268</v>
      </c>
      <c r="C45" s="676" t="s">
        <v>1044</v>
      </c>
      <c r="D45" s="676" t="s">
        <v>280</v>
      </c>
      <c r="E45" s="680">
        <v>40870</v>
      </c>
      <c r="F45" s="678" t="str">
        <f t="shared" ca="1" si="1"/>
        <v>gesloten</v>
      </c>
      <c r="G45" s="681" t="s">
        <v>268</v>
      </c>
      <c r="H45" s="679" t="s">
        <v>1064</v>
      </c>
    </row>
    <row r="46" spans="1:8" ht="13.8">
      <c r="A46" s="676" t="s">
        <v>698</v>
      </c>
      <c r="B46" s="676" t="s">
        <v>268</v>
      </c>
      <c r="C46" s="676" t="s">
        <v>266</v>
      </c>
      <c r="D46" s="676" t="s">
        <v>280</v>
      </c>
      <c r="E46" s="680">
        <v>40870</v>
      </c>
      <c r="F46" s="678">
        <f t="shared" ca="1" si="1"/>
        <v>4163</v>
      </c>
      <c r="G46" s="681" t="s">
        <v>268</v>
      </c>
      <c r="H46" s="679" t="s">
        <v>701</v>
      </c>
    </row>
    <row r="47" spans="1:8" ht="13.8">
      <c r="A47" s="676" t="s">
        <v>698</v>
      </c>
      <c r="B47" s="676" t="s">
        <v>268</v>
      </c>
      <c r="C47" s="676" t="s">
        <v>266</v>
      </c>
      <c r="D47" s="676" t="s">
        <v>280</v>
      </c>
      <c r="E47" s="680">
        <v>40870</v>
      </c>
      <c r="F47" s="678">
        <f t="shared" ca="1" si="1"/>
        <v>4163</v>
      </c>
      <c r="G47" s="681" t="s">
        <v>268</v>
      </c>
      <c r="H47" s="679" t="s">
        <v>702</v>
      </c>
    </row>
    <row r="48" spans="1:8" ht="13.8">
      <c r="A48" s="676" t="s">
        <v>276</v>
      </c>
      <c r="B48" s="676" t="s">
        <v>268</v>
      </c>
      <c r="C48" s="676" t="s">
        <v>650</v>
      </c>
      <c r="D48" s="676" t="s">
        <v>280</v>
      </c>
      <c r="E48" s="680">
        <v>40870</v>
      </c>
      <c r="F48" s="678" t="str">
        <f t="shared" ca="1" si="1"/>
        <v>gesloten</v>
      </c>
      <c r="G48" s="681" t="s">
        <v>268</v>
      </c>
      <c r="H48" s="679" t="s">
        <v>703</v>
      </c>
    </row>
    <row r="49" spans="1:8" ht="13.8">
      <c r="A49" s="676" t="s">
        <v>276</v>
      </c>
      <c r="B49" s="676" t="s">
        <v>268</v>
      </c>
      <c r="C49" s="676" t="s">
        <v>704</v>
      </c>
      <c r="D49" s="676" t="s">
        <v>280</v>
      </c>
      <c r="E49" s="680">
        <v>40870</v>
      </c>
      <c r="F49" s="678" t="str">
        <f t="shared" ca="1" si="1"/>
        <v>gesloten</v>
      </c>
      <c r="G49" s="681" t="s">
        <v>268</v>
      </c>
      <c r="H49" s="679" t="s">
        <v>705</v>
      </c>
    </row>
    <row r="50" spans="1:8" ht="13.8">
      <c r="A50" s="676" t="s">
        <v>698</v>
      </c>
      <c r="B50" s="676" t="s">
        <v>268</v>
      </c>
      <c r="C50" s="676" t="s">
        <v>706</v>
      </c>
      <c r="D50" s="676" t="s">
        <v>280</v>
      </c>
      <c r="E50" s="680">
        <v>40870</v>
      </c>
      <c r="F50" s="678">
        <f t="shared" ca="1" si="1"/>
        <v>4163</v>
      </c>
      <c r="G50" s="681" t="s">
        <v>268</v>
      </c>
      <c r="H50" s="679" t="s">
        <v>707</v>
      </c>
    </row>
    <row r="51" spans="1:8" ht="13.8">
      <c r="A51" s="676" t="s">
        <v>698</v>
      </c>
      <c r="B51" s="676" t="s">
        <v>268</v>
      </c>
      <c r="C51" s="676" t="s">
        <v>708</v>
      </c>
      <c r="D51" s="676" t="s">
        <v>280</v>
      </c>
      <c r="E51" s="680">
        <v>40870</v>
      </c>
      <c r="F51" s="678">
        <f t="shared" ca="1" si="1"/>
        <v>4163</v>
      </c>
      <c r="G51" s="681" t="s">
        <v>268</v>
      </c>
      <c r="H51" s="679" t="s">
        <v>709</v>
      </c>
    </row>
    <row r="52" spans="1:8" ht="13.8">
      <c r="A52" s="676" t="s">
        <v>276</v>
      </c>
      <c r="B52" s="676" t="s">
        <v>268</v>
      </c>
      <c r="C52" s="676" t="s">
        <v>280</v>
      </c>
      <c r="D52" s="676" t="s">
        <v>280</v>
      </c>
      <c r="E52" s="680">
        <v>40870</v>
      </c>
      <c r="F52" s="678" t="str">
        <f t="shared" ca="1" si="1"/>
        <v>gesloten</v>
      </c>
      <c r="G52" s="681" t="s">
        <v>268</v>
      </c>
      <c r="H52" s="679" t="s">
        <v>710</v>
      </c>
    </row>
    <row r="53" spans="1:8" ht="13.8">
      <c r="A53" s="676" t="s">
        <v>276</v>
      </c>
      <c r="B53" s="676" t="s">
        <v>268</v>
      </c>
      <c r="C53" s="676" t="s">
        <v>280</v>
      </c>
      <c r="D53" s="676" t="s">
        <v>280</v>
      </c>
      <c r="E53" s="680">
        <v>40870</v>
      </c>
      <c r="F53" s="678" t="str">
        <f t="shared" ca="1" si="1"/>
        <v>gesloten</v>
      </c>
      <c r="G53" s="681" t="s">
        <v>268</v>
      </c>
      <c r="H53" s="679" t="s">
        <v>711</v>
      </c>
    </row>
    <row r="54" spans="1:8" ht="13.8">
      <c r="A54" s="676" t="s">
        <v>276</v>
      </c>
      <c r="B54" s="676" t="s">
        <v>268</v>
      </c>
      <c r="C54" s="676" t="s">
        <v>266</v>
      </c>
      <c r="D54" s="676" t="s">
        <v>280</v>
      </c>
      <c r="E54" s="680">
        <v>40870</v>
      </c>
      <c r="F54" s="678" t="str">
        <f t="shared" ca="1" si="1"/>
        <v>gesloten</v>
      </c>
      <c r="G54" s="681" t="s">
        <v>268</v>
      </c>
      <c r="H54" s="679" t="s">
        <v>712</v>
      </c>
    </row>
    <row r="55" spans="1:8" ht="13.8">
      <c r="A55" s="676" t="s">
        <v>713</v>
      </c>
      <c r="B55" s="676" t="s">
        <v>268</v>
      </c>
      <c r="C55" s="676" t="s">
        <v>714</v>
      </c>
      <c r="D55" s="676" t="s">
        <v>280</v>
      </c>
      <c r="E55" s="680">
        <v>40870</v>
      </c>
      <c r="F55" s="678">
        <f t="shared" ca="1" si="1"/>
        <v>4163</v>
      </c>
      <c r="G55" s="681" t="s">
        <v>268</v>
      </c>
      <c r="H55" s="679" t="s">
        <v>715</v>
      </c>
    </row>
    <row r="56" spans="1:8" ht="13.8">
      <c r="A56" s="676" t="s">
        <v>698</v>
      </c>
      <c r="B56" s="676" t="s">
        <v>268</v>
      </c>
      <c r="C56" s="676" t="s">
        <v>714</v>
      </c>
      <c r="D56" s="676" t="s">
        <v>280</v>
      </c>
      <c r="E56" s="680">
        <v>40870</v>
      </c>
      <c r="F56" s="678">
        <f t="shared" ca="1" si="1"/>
        <v>4163</v>
      </c>
      <c r="G56" s="681" t="s">
        <v>268</v>
      </c>
      <c r="H56" s="679" t="s">
        <v>716</v>
      </c>
    </row>
    <row r="57" spans="1:8" ht="13.8">
      <c r="A57" s="676" t="s">
        <v>698</v>
      </c>
      <c r="B57" s="676" t="s">
        <v>268</v>
      </c>
      <c r="C57" s="676" t="s">
        <v>803</v>
      </c>
      <c r="D57" s="676" t="s">
        <v>266</v>
      </c>
      <c r="E57" s="680">
        <v>41564</v>
      </c>
      <c r="F57" s="678">
        <f t="shared" ca="1" si="1"/>
        <v>3469</v>
      </c>
      <c r="G57" s="681" t="s">
        <v>268</v>
      </c>
      <c r="H57" s="679" t="s">
        <v>804</v>
      </c>
    </row>
    <row r="58" spans="1:8" ht="13.8">
      <c r="A58" s="676" t="s">
        <v>276</v>
      </c>
      <c r="B58" s="676" t="s">
        <v>1009</v>
      </c>
      <c r="C58" s="676" t="s">
        <v>266</v>
      </c>
      <c r="D58" s="676" t="s">
        <v>266</v>
      </c>
      <c r="E58" s="680">
        <v>41564</v>
      </c>
      <c r="F58" s="678" t="str">
        <f t="shared" ca="1" si="1"/>
        <v>gesloten</v>
      </c>
      <c r="G58" s="681" t="s">
        <v>268</v>
      </c>
      <c r="H58" s="679" t="s">
        <v>1001</v>
      </c>
    </row>
    <row r="59" spans="1:8" ht="13.8">
      <c r="A59" s="676" t="s">
        <v>276</v>
      </c>
      <c r="B59" s="676" t="s">
        <v>1008</v>
      </c>
      <c r="C59" s="676" t="s">
        <v>266</v>
      </c>
      <c r="D59" s="676" t="s">
        <v>266</v>
      </c>
      <c r="E59" s="680">
        <v>41603</v>
      </c>
      <c r="F59" s="678" t="str">
        <f t="shared" ca="1" si="1"/>
        <v>gesloten</v>
      </c>
      <c r="G59" s="681" t="s">
        <v>268</v>
      </c>
      <c r="H59" s="679" t="s">
        <v>1002</v>
      </c>
    </row>
    <row r="60" spans="1:8" ht="13.8">
      <c r="A60" s="676" t="s">
        <v>276</v>
      </c>
      <c r="B60" s="676" t="s">
        <v>1007</v>
      </c>
      <c r="C60" s="676" t="s">
        <v>266</v>
      </c>
      <c r="D60" s="676" t="s">
        <v>266</v>
      </c>
      <c r="E60" s="680">
        <v>41605</v>
      </c>
      <c r="F60" s="678" t="str">
        <f t="shared" ca="1" si="1"/>
        <v>gesloten</v>
      </c>
      <c r="G60" s="681" t="s">
        <v>268</v>
      </c>
      <c r="H60" s="679" t="s">
        <v>1003</v>
      </c>
    </row>
    <row r="61" spans="1:8" ht="13.8">
      <c r="A61" s="676" t="s">
        <v>276</v>
      </c>
      <c r="B61" s="676" t="s">
        <v>1007</v>
      </c>
      <c r="C61" s="676" t="s">
        <v>266</v>
      </c>
      <c r="D61" s="676" t="s">
        <v>266</v>
      </c>
      <c r="E61" s="680">
        <v>41605</v>
      </c>
      <c r="F61" s="678" t="str">
        <f t="shared" ref="F61" ca="1" si="2">IF(A61="","",IF(A61="gesloten","gesloten",DATEDIF(E61,NOW(),"d")))</f>
        <v>gesloten</v>
      </c>
      <c r="G61" s="681" t="s">
        <v>268</v>
      </c>
      <c r="H61" s="679" t="s">
        <v>1004</v>
      </c>
    </row>
    <row r="62" spans="1:8" ht="13.8">
      <c r="A62" s="676" t="s">
        <v>276</v>
      </c>
      <c r="B62" s="676" t="s">
        <v>1007</v>
      </c>
      <c r="C62" s="676" t="s">
        <v>266</v>
      </c>
      <c r="D62" s="676" t="s">
        <v>266</v>
      </c>
      <c r="E62" s="680">
        <v>41605</v>
      </c>
      <c r="F62" s="678" t="str">
        <f t="shared" ref="F62" ca="1" si="3">IF(A62="","",IF(A62="gesloten","gesloten",DATEDIF(E62,NOW(),"d")))</f>
        <v>gesloten</v>
      </c>
      <c r="G62" s="681" t="s">
        <v>268</v>
      </c>
      <c r="H62" s="679" t="s">
        <v>1005</v>
      </c>
    </row>
    <row r="63" spans="1:8" ht="13.8">
      <c r="A63" s="676" t="s">
        <v>276</v>
      </c>
      <c r="B63" s="676" t="s">
        <v>1016</v>
      </c>
      <c r="C63" s="676" t="s">
        <v>266</v>
      </c>
      <c r="D63" s="676" t="s">
        <v>266</v>
      </c>
      <c r="E63" s="680">
        <v>41649</v>
      </c>
      <c r="F63" s="678" t="str">
        <f t="shared" ref="F63" ca="1" si="4">IF(A63="","",IF(A63="gesloten","gesloten",DATEDIF(E63,NOW(),"d")))</f>
        <v>gesloten</v>
      </c>
      <c r="G63" s="681" t="s">
        <v>268</v>
      </c>
      <c r="H63" s="679" t="s">
        <v>1017</v>
      </c>
    </row>
    <row r="64" spans="1:8" ht="13.8">
      <c r="A64" s="676" t="s">
        <v>276</v>
      </c>
      <c r="B64" s="676" t="s">
        <v>1016</v>
      </c>
      <c r="C64" s="676" t="s">
        <v>266</v>
      </c>
      <c r="D64" s="676" t="s">
        <v>266</v>
      </c>
      <c r="E64" s="680">
        <v>41649</v>
      </c>
      <c r="F64" s="678" t="str">
        <f t="shared" ref="F64" ca="1" si="5">IF(A64="","",IF(A64="gesloten","gesloten",DATEDIF(E64,NOW(),"d")))</f>
        <v>gesloten</v>
      </c>
      <c r="G64" s="681" t="s">
        <v>268</v>
      </c>
      <c r="H64" s="679" t="s">
        <v>1018</v>
      </c>
    </row>
    <row r="65" spans="1:8" ht="13.8">
      <c r="A65" s="681" t="s">
        <v>276</v>
      </c>
      <c r="B65" s="681" t="s">
        <v>1043</v>
      </c>
      <c r="C65" s="676" t="s">
        <v>1044</v>
      </c>
      <c r="D65" s="676" t="s">
        <v>1044</v>
      </c>
      <c r="E65" s="680">
        <v>42576</v>
      </c>
      <c r="F65" s="678" t="str">
        <f t="shared" ref="F65:F129" ca="1" si="6">IF(A65="","",IF(A65="gesloten","gesloten",DATEDIF(E65,NOW(),"d")))</f>
        <v>gesloten</v>
      </c>
      <c r="G65" s="681" t="s">
        <v>1045</v>
      </c>
      <c r="H65" s="679" t="s">
        <v>1046</v>
      </c>
    </row>
    <row r="66" spans="1:8" ht="13.8">
      <c r="A66" s="681" t="s">
        <v>276</v>
      </c>
      <c r="B66" s="681" t="s">
        <v>268</v>
      </c>
      <c r="C66" s="676" t="s">
        <v>1044</v>
      </c>
      <c r="D66" s="676" t="s">
        <v>1044</v>
      </c>
      <c r="E66" s="680">
        <v>42578</v>
      </c>
      <c r="F66" s="678" t="str">
        <f t="shared" ca="1" si="6"/>
        <v>gesloten</v>
      </c>
      <c r="G66" s="681" t="s">
        <v>1054</v>
      </c>
      <c r="H66" s="679" t="s">
        <v>1055</v>
      </c>
    </row>
    <row r="67" spans="1:8" ht="13.8">
      <c r="A67" s="681" t="s">
        <v>276</v>
      </c>
      <c r="B67" s="681" t="s">
        <v>268</v>
      </c>
      <c r="C67" s="676" t="s">
        <v>1044</v>
      </c>
      <c r="D67" s="676" t="s">
        <v>1044</v>
      </c>
      <c r="E67" s="680">
        <v>42633</v>
      </c>
      <c r="F67" s="678" t="s">
        <v>276</v>
      </c>
      <c r="G67" s="681" t="s">
        <v>1054</v>
      </c>
      <c r="H67" s="679" t="s">
        <v>1057</v>
      </c>
    </row>
    <row r="68" spans="1:8" ht="13.8">
      <c r="A68" s="681" t="s">
        <v>276</v>
      </c>
      <c r="B68" s="681" t="s">
        <v>268</v>
      </c>
      <c r="C68" s="676" t="s">
        <v>1044</v>
      </c>
      <c r="D68" s="676" t="s">
        <v>1044</v>
      </c>
      <c r="E68" s="680">
        <v>42646</v>
      </c>
      <c r="F68" s="678" t="str">
        <f t="shared" ca="1" si="6"/>
        <v>gesloten</v>
      </c>
      <c r="G68" s="681" t="s">
        <v>1054</v>
      </c>
      <c r="H68" s="679" t="s">
        <v>1058</v>
      </c>
    </row>
    <row r="69" spans="1:8" ht="13.8">
      <c r="A69" s="681" t="s">
        <v>276</v>
      </c>
      <c r="B69" s="681" t="s">
        <v>268</v>
      </c>
      <c r="C69" s="676" t="s">
        <v>266</v>
      </c>
      <c r="D69" s="676" t="s">
        <v>266</v>
      </c>
      <c r="E69" s="680">
        <v>42803</v>
      </c>
      <c r="F69" s="678" t="str">
        <f t="shared" ref="F69" ca="1" si="7">IF(A69="","",IF(A69="gesloten","gesloten",DATEDIF(E69,NOW(),"d")))</f>
        <v>gesloten</v>
      </c>
      <c r="G69" s="681" t="s">
        <v>1054</v>
      </c>
      <c r="H69" s="679" t="s">
        <v>1059</v>
      </c>
    </row>
    <row r="70" spans="1:8" ht="13.8">
      <c r="A70" s="681" t="s">
        <v>276</v>
      </c>
      <c r="B70" s="681" t="s">
        <v>268</v>
      </c>
      <c r="C70" s="676" t="s">
        <v>1063</v>
      </c>
      <c r="D70" s="676" t="s">
        <v>1063</v>
      </c>
      <c r="E70" s="680">
        <v>43012</v>
      </c>
      <c r="F70" s="678" t="str">
        <f t="shared" ca="1" si="6"/>
        <v>gesloten</v>
      </c>
      <c r="G70" s="681" t="s">
        <v>1054</v>
      </c>
      <c r="H70" s="679" t="s">
        <v>1065</v>
      </c>
    </row>
    <row r="71" spans="1:8" ht="13.8">
      <c r="A71" s="681" t="s">
        <v>276</v>
      </c>
      <c r="B71" s="681" t="s">
        <v>1068</v>
      </c>
      <c r="C71" s="676" t="s">
        <v>1044</v>
      </c>
      <c r="D71" s="676" t="s">
        <v>1044</v>
      </c>
      <c r="E71" s="680">
        <v>43066</v>
      </c>
      <c r="F71" s="678" t="str">
        <f t="shared" ca="1" si="6"/>
        <v>gesloten</v>
      </c>
      <c r="G71" s="681" t="s">
        <v>1054</v>
      </c>
      <c r="H71" s="679" t="s">
        <v>1071</v>
      </c>
    </row>
    <row r="72" spans="1:8" ht="18" customHeight="1">
      <c r="A72" s="681" t="s">
        <v>276</v>
      </c>
      <c r="B72" s="681" t="s">
        <v>1072</v>
      </c>
      <c r="C72" s="676" t="s">
        <v>1063</v>
      </c>
      <c r="D72" s="676" t="s">
        <v>1063</v>
      </c>
      <c r="E72" s="680">
        <v>43118</v>
      </c>
      <c r="F72" s="678" t="str">
        <f t="shared" ca="1" si="6"/>
        <v>gesloten</v>
      </c>
      <c r="G72" s="681" t="s">
        <v>1054</v>
      </c>
      <c r="H72" s="679" t="s">
        <v>1073</v>
      </c>
    </row>
    <row r="73" spans="1:8" ht="41.4">
      <c r="A73" s="682" t="s">
        <v>276</v>
      </c>
      <c r="B73" s="682" t="s">
        <v>1070</v>
      </c>
      <c r="C73" s="683" t="s">
        <v>1044</v>
      </c>
      <c r="D73" s="683" t="s">
        <v>1044</v>
      </c>
      <c r="E73" s="684">
        <v>43151</v>
      </c>
      <c r="F73" s="685" t="str">
        <f t="shared" ca="1" si="6"/>
        <v>gesloten</v>
      </c>
      <c r="G73" s="682" t="s">
        <v>1045</v>
      </c>
      <c r="H73" s="686" t="s">
        <v>1069</v>
      </c>
    </row>
    <row r="74" spans="1:8" ht="27.6">
      <c r="A74" s="681" t="s">
        <v>276</v>
      </c>
      <c r="B74" s="681" t="s">
        <v>268</v>
      </c>
      <c r="C74" s="676" t="s">
        <v>1044</v>
      </c>
      <c r="D74" s="676" t="s">
        <v>1044</v>
      </c>
      <c r="E74" s="680">
        <v>43173</v>
      </c>
      <c r="F74" s="678" t="str">
        <f t="shared" ca="1" si="6"/>
        <v>gesloten</v>
      </c>
      <c r="G74" s="681" t="s">
        <v>1074</v>
      </c>
      <c r="H74" s="679" t="s">
        <v>1075</v>
      </c>
    </row>
    <row r="75" spans="1:8" ht="13.8">
      <c r="A75" s="681" t="s">
        <v>276</v>
      </c>
      <c r="B75" s="681" t="s">
        <v>268</v>
      </c>
      <c r="C75" s="676" t="s">
        <v>1044</v>
      </c>
      <c r="D75" s="676" t="s">
        <v>1044</v>
      </c>
      <c r="E75" s="680">
        <v>43300</v>
      </c>
      <c r="F75" s="678" t="str">
        <f t="shared" ca="1" si="6"/>
        <v>gesloten</v>
      </c>
      <c r="G75" s="681" t="s">
        <v>263</v>
      </c>
      <c r="H75" s="679" t="s">
        <v>1076</v>
      </c>
    </row>
    <row r="76" spans="1:8" ht="27.6">
      <c r="A76" s="681" t="s">
        <v>276</v>
      </c>
      <c r="B76" s="681" t="s">
        <v>268</v>
      </c>
      <c r="C76" s="676" t="s">
        <v>1063</v>
      </c>
      <c r="D76" s="676" t="s">
        <v>1063</v>
      </c>
      <c r="E76" s="680">
        <v>43340</v>
      </c>
      <c r="F76" s="678" t="str">
        <f t="shared" ref="F76" ca="1" si="8">IF(A76="","",IF(A76="gesloten","gesloten",DATEDIF(E76,NOW(),"d")))</f>
        <v>gesloten</v>
      </c>
      <c r="G76" s="681" t="s">
        <v>1054</v>
      </c>
      <c r="H76" s="679" t="s">
        <v>1077</v>
      </c>
    </row>
    <row r="77" spans="1:8" ht="41.4">
      <c r="A77" s="681" t="s">
        <v>276</v>
      </c>
      <c r="B77" s="681" t="s">
        <v>268</v>
      </c>
      <c r="C77" s="676" t="s">
        <v>1044</v>
      </c>
      <c r="D77" s="676" t="s">
        <v>1063</v>
      </c>
      <c r="E77" s="680">
        <v>43452</v>
      </c>
      <c r="F77" s="678" t="str">
        <f t="shared" ca="1" si="6"/>
        <v>gesloten</v>
      </c>
      <c r="G77" s="681" t="s">
        <v>263</v>
      </c>
      <c r="H77" s="679" t="s">
        <v>1142</v>
      </c>
    </row>
    <row r="78" spans="1:8" ht="27.6">
      <c r="A78" s="681" t="s">
        <v>276</v>
      </c>
      <c r="B78" s="681" t="s">
        <v>1140</v>
      </c>
      <c r="C78" s="681" t="s">
        <v>1044</v>
      </c>
      <c r="D78" s="681" t="s">
        <v>1044</v>
      </c>
      <c r="E78" s="680">
        <v>44936</v>
      </c>
      <c r="F78" s="678" t="str">
        <f t="shared" ca="1" si="6"/>
        <v>gesloten</v>
      </c>
      <c r="G78" s="681" t="s">
        <v>1074</v>
      </c>
      <c r="H78" s="783" t="s">
        <v>1141</v>
      </c>
    </row>
    <row r="79" spans="1:8" ht="13.8">
      <c r="A79" s="681"/>
      <c r="B79" s="681"/>
      <c r="C79" s="681"/>
      <c r="D79" s="681"/>
      <c r="E79" s="687"/>
      <c r="F79" s="678" t="str">
        <f t="shared" ca="1" si="6"/>
        <v/>
      </c>
      <c r="G79" s="681"/>
      <c r="H79" s="681"/>
    </row>
    <row r="80" spans="1:8" ht="13.8">
      <c r="A80" s="681"/>
      <c r="B80" s="681"/>
      <c r="C80" s="681"/>
      <c r="D80" s="681"/>
      <c r="E80" s="687"/>
      <c r="F80" s="678" t="str">
        <f t="shared" ca="1" si="6"/>
        <v/>
      </c>
      <c r="G80" s="681"/>
      <c r="H80" s="681"/>
    </row>
    <row r="81" spans="1:8" ht="13.8">
      <c r="A81" s="681"/>
      <c r="B81" s="681"/>
      <c r="C81" s="681"/>
      <c r="D81" s="681"/>
      <c r="E81" s="687"/>
      <c r="F81" s="678" t="str">
        <f t="shared" ca="1" si="6"/>
        <v/>
      </c>
      <c r="G81" s="681"/>
      <c r="H81" s="681"/>
    </row>
    <row r="82" spans="1:8" ht="13.8">
      <c r="A82" s="681"/>
      <c r="B82" s="681"/>
      <c r="C82" s="681"/>
      <c r="D82" s="681"/>
      <c r="E82" s="687"/>
      <c r="F82" s="678" t="str">
        <f t="shared" ca="1" si="6"/>
        <v/>
      </c>
      <c r="G82" s="681"/>
      <c r="H82" s="681"/>
    </row>
    <row r="83" spans="1:8" ht="13.8">
      <c r="A83" s="681"/>
      <c r="B83" s="681"/>
      <c r="C83" s="681"/>
      <c r="D83" s="681"/>
      <c r="E83" s="687"/>
      <c r="F83" s="678" t="str">
        <f t="shared" ca="1" si="6"/>
        <v/>
      </c>
      <c r="G83" s="681"/>
      <c r="H83" s="681"/>
    </row>
    <row r="84" spans="1:8" ht="13.8">
      <c r="A84" s="681"/>
      <c r="B84" s="681"/>
      <c r="C84" s="681"/>
      <c r="D84" s="681"/>
      <c r="E84" s="687"/>
      <c r="F84" s="678" t="str">
        <f t="shared" ca="1" si="6"/>
        <v/>
      </c>
      <c r="G84" s="681"/>
      <c r="H84" s="681"/>
    </row>
    <row r="85" spans="1:8" ht="13.8">
      <c r="A85" s="681"/>
      <c r="B85" s="681"/>
      <c r="C85" s="681"/>
      <c r="D85" s="681"/>
      <c r="E85" s="687"/>
      <c r="F85" s="678" t="str">
        <f t="shared" ca="1" si="6"/>
        <v/>
      </c>
      <c r="G85" s="681"/>
      <c r="H85" s="681"/>
    </row>
    <row r="86" spans="1:8" ht="13.8">
      <c r="A86" s="681"/>
      <c r="B86" s="681"/>
      <c r="C86" s="681"/>
      <c r="D86" s="681"/>
      <c r="E86" s="687"/>
      <c r="F86" s="678" t="str">
        <f t="shared" ca="1" si="6"/>
        <v/>
      </c>
      <c r="G86" s="681"/>
      <c r="H86" s="681"/>
    </row>
    <row r="87" spans="1:8" ht="13.8">
      <c r="A87" s="681"/>
      <c r="B87" s="681"/>
      <c r="C87" s="681"/>
      <c r="D87" s="681"/>
      <c r="E87" s="687"/>
      <c r="F87" s="678" t="str">
        <f t="shared" ca="1" si="6"/>
        <v/>
      </c>
      <c r="G87" s="681"/>
      <c r="H87" s="681"/>
    </row>
    <row r="88" spans="1:8" ht="13.8">
      <c r="A88" s="681"/>
      <c r="B88" s="681"/>
      <c r="C88" s="681"/>
      <c r="D88" s="681"/>
      <c r="E88" s="687"/>
      <c r="F88" s="678" t="str">
        <f t="shared" ca="1" si="6"/>
        <v/>
      </c>
      <c r="G88" s="681"/>
      <c r="H88" s="681"/>
    </row>
    <row r="89" spans="1:8" ht="13.8">
      <c r="A89" s="681"/>
      <c r="B89" s="681"/>
      <c r="C89" s="681"/>
      <c r="D89" s="681"/>
      <c r="E89" s="687"/>
      <c r="F89" s="678" t="str">
        <f t="shared" ca="1" si="6"/>
        <v/>
      </c>
      <c r="G89" s="681"/>
      <c r="H89" s="681"/>
    </row>
    <row r="90" spans="1:8" ht="13.8">
      <c r="A90" s="681"/>
      <c r="B90" s="681"/>
      <c r="C90" s="681"/>
      <c r="D90" s="681"/>
      <c r="E90" s="687"/>
      <c r="F90" s="678" t="str">
        <f t="shared" ca="1" si="6"/>
        <v/>
      </c>
      <c r="G90" s="681"/>
      <c r="H90" s="681"/>
    </row>
    <row r="91" spans="1:8" ht="13.8">
      <c r="A91" s="681"/>
      <c r="B91" s="681"/>
      <c r="C91" s="681"/>
      <c r="D91" s="681"/>
      <c r="E91" s="687"/>
      <c r="F91" s="678" t="str">
        <f t="shared" ca="1" si="6"/>
        <v/>
      </c>
      <c r="G91" s="681"/>
      <c r="H91" s="681"/>
    </row>
    <row r="92" spans="1:8" ht="13.8">
      <c r="A92" s="681"/>
      <c r="B92" s="681"/>
      <c r="C92" s="681"/>
      <c r="D92" s="681"/>
      <c r="E92" s="687"/>
      <c r="F92" s="678" t="str">
        <f t="shared" ca="1" si="6"/>
        <v/>
      </c>
      <c r="G92" s="681"/>
      <c r="H92" s="681"/>
    </row>
    <row r="93" spans="1:8" ht="13.8">
      <c r="A93" s="681"/>
      <c r="B93" s="681"/>
      <c r="C93" s="681"/>
      <c r="D93" s="681"/>
      <c r="E93" s="687"/>
      <c r="F93" s="678" t="str">
        <f t="shared" ca="1" si="6"/>
        <v/>
      </c>
      <c r="G93" s="681"/>
      <c r="H93" s="681"/>
    </row>
    <row r="94" spans="1:8" ht="13.8">
      <c r="A94" s="681"/>
      <c r="B94" s="681"/>
      <c r="C94" s="681"/>
      <c r="D94" s="681"/>
      <c r="E94" s="687"/>
      <c r="F94" s="678" t="str">
        <f t="shared" ca="1" si="6"/>
        <v/>
      </c>
      <c r="G94" s="681"/>
      <c r="H94" s="681"/>
    </row>
    <row r="95" spans="1:8" ht="13.8">
      <c r="A95" s="681"/>
      <c r="B95" s="681"/>
      <c r="C95" s="681"/>
      <c r="D95" s="681"/>
      <c r="E95" s="687"/>
      <c r="F95" s="678" t="str">
        <f t="shared" ca="1" si="6"/>
        <v/>
      </c>
      <c r="G95" s="681"/>
      <c r="H95" s="681"/>
    </row>
    <row r="96" spans="1:8" ht="13.8">
      <c r="A96" s="681"/>
      <c r="B96" s="681"/>
      <c r="C96" s="681"/>
      <c r="D96" s="681"/>
      <c r="E96" s="687"/>
      <c r="F96" s="678" t="str">
        <f t="shared" ca="1" si="6"/>
        <v/>
      </c>
      <c r="G96" s="681"/>
      <c r="H96" s="681"/>
    </row>
    <row r="97" spans="1:8" ht="13.8">
      <c r="A97" s="681"/>
      <c r="B97" s="681"/>
      <c r="C97" s="681"/>
      <c r="D97" s="681"/>
      <c r="E97" s="687"/>
      <c r="F97" s="678" t="str">
        <f t="shared" ca="1" si="6"/>
        <v/>
      </c>
      <c r="G97" s="681"/>
      <c r="H97" s="681"/>
    </row>
    <row r="98" spans="1:8" ht="13.8">
      <c r="A98" s="681"/>
      <c r="B98" s="681"/>
      <c r="C98" s="681"/>
      <c r="D98" s="681"/>
      <c r="E98" s="687"/>
      <c r="F98" s="678" t="str">
        <f t="shared" ca="1" si="6"/>
        <v/>
      </c>
      <c r="G98" s="681"/>
      <c r="H98" s="681"/>
    </row>
    <row r="99" spans="1:8" ht="13.8">
      <c r="A99" s="681"/>
      <c r="B99" s="681"/>
      <c r="C99" s="681"/>
      <c r="D99" s="681"/>
      <c r="E99" s="687"/>
      <c r="F99" s="678" t="str">
        <f t="shared" ca="1" si="6"/>
        <v/>
      </c>
      <c r="G99" s="681"/>
      <c r="H99" s="681"/>
    </row>
    <row r="100" spans="1:8" ht="13.8">
      <c r="A100" s="681"/>
      <c r="B100" s="681"/>
      <c r="C100" s="681"/>
      <c r="D100" s="681"/>
      <c r="E100" s="687"/>
      <c r="F100" s="678" t="str">
        <f t="shared" ca="1" si="6"/>
        <v/>
      </c>
      <c r="G100" s="681"/>
      <c r="H100" s="681"/>
    </row>
    <row r="101" spans="1:8" ht="13.8">
      <c r="A101" s="681"/>
      <c r="B101" s="681"/>
      <c r="C101" s="681"/>
      <c r="D101" s="681"/>
      <c r="E101" s="687"/>
      <c r="F101" s="678" t="str">
        <f t="shared" ca="1" si="6"/>
        <v/>
      </c>
      <c r="G101" s="681"/>
      <c r="H101" s="681"/>
    </row>
    <row r="102" spans="1:8" ht="13.8">
      <c r="A102" s="681"/>
      <c r="B102" s="681"/>
      <c r="C102" s="681"/>
      <c r="D102" s="681"/>
      <c r="E102" s="687"/>
      <c r="F102" s="678" t="str">
        <f t="shared" ca="1" si="6"/>
        <v/>
      </c>
      <c r="G102" s="681"/>
      <c r="H102" s="681"/>
    </row>
    <row r="103" spans="1:8" ht="13.8">
      <c r="A103" s="681"/>
      <c r="B103" s="681"/>
      <c r="C103" s="681"/>
      <c r="D103" s="681"/>
      <c r="E103" s="687"/>
      <c r="F103" s="678" t="str">
        <f t="shared" ca="1" si="6"/>
        <v/>
      </c>
      <c r="G103" s="681"/>
      <c r="H103" s="681"/>
    </row>
    <row r="104" spans="1:8" ht="13.8">
      <c r="A104" s="681"/>
      <c r="B104" s="681"/>
      <c r="C104" s="681"/>
      <c r="D104" s="681"/>
      <c r="E104" s="687"/>
      <c r="F104" s="678" t="str">
        <f t="shared" ca="1" si="6"/>
        <v/>
      </c>
      <c r="G104" s="681"/>
      <c r="H104" s="681"/>
    </row>
    <row r="105" spans="1:8" ht="13.8">
      <c r="A105" s="681"/>
      <c r="B105" s="681"/>
      <c r="C105" s="681"/>
      <c r="D105" s="681"/>
      <c r="E105" s="687"/>
      <c r="F105" s="678" t="str">
        <f t="shared" ca="1" si="6"/>
        <v/>
      </c>
      <c r="G105" s="681"/>
      <c r="H105" s="681"/>
    </row>
    <row r="106" spans="1:8" ht="13.8">
      <c r="A106" s="681"/>
      <c r="B106" s="681"/>
      <c r="C106" s="681"/>
      <c r="D106" s="681"/>
      <c r="E106" s="687"/>
      <c r="F106" s="678" t="str">
        <f t="shared" ca="1" si="6"/>
        <v/>
      </c>
      <c r="G106" s="681"/>
      <c r="H106" s="681"/>
    </row>
    <row r="107" spans="1:8" ht="13.8">
      <c r="A107" s="681"/>
      <c r="B107" s="681"/>
      <c r="C107" s="681"/>
      <c r="D107" s="681"/>
      <c r="E107" s="687"/>
      <c r="F107" s="678" t="str">
        <f t="shared" ca="1" si="6"/>
        <v/>
      </c>
      <c r="G107" s="681"/>
      <c r="H107" s="681"/>
    </row>
    <row r="108" spans="1:8" ht="13.8">
      <c r="A108" s="681"/>
      <c r="B108" s="681"/>
      <c r="C108" s="681"/>
      <c r="D108" s="681"/>
      <c r="E108" s="687"/>
      <c r="F108" s="678" t="str">
        <f t="shared" ca="1" si="6"/>
        <v/>
      </c>
      <c r="G108" s="681"/>
      <c r="H108" s="681"/>
    </row>
    <row r="109" spans="1:8" ht="13.8">
      <c r="A109" s="681"/>
      <c r="B109" s="681"/>
      <c r="C109" s="681"/>
      <c r="D109" s="681"/>
      <c r="E109" s="687"/>
      <c r="F109" s="678" t="str">
        <f t="shared" ca="1" si="6"/>
        <v/>
      </c>
      <c r="G109" s="681"/>
      <c r="H109" s="681"/>
    </row>
    <row r="110" spans="1:8" ht="13.8">
      <c r="A110" s="681"/>
      <c r="B110" s="681"/>
      <c r="C110" s="681"/>
      <c r="D110" s="681"/>
      <c r="E110" s="687"/>
      <c r="F110" s="678" t="str">
        <f t="shared" ca="1" si="6"/>
        <v/>
      </c>
      <c r="G110" s="681"/>
      <c r="H110" s="681"/>
    </row>
    <row r="111" spans="1:8" ht="13.8">
      <c r="A111" s="681"/>
      <c r="B111" s="681"/>
      <c r="C111" s="681"/>
      <c r="D111" s="681"/>
      <c r="E111" s="687"/>
      <c r="F111" s="678" t="str">
        <f t="shared" ca="1" si="6"/>
        <v/>
      </c>
      <c r="G111" s="681"/>
      <c r="H111" s="681"/>
    </row>
    <row r="112" spans="1:8" ht="13.8">
      <c r="A112" s="681"/>
      <c r="B112" s="681"/>
      <c r="C112" s="681"/>
      <c r="D112" s="681"/>
      <c r="E112" s="687"/>
      <c r="F112" s="678" t="str">
        <f t="shared" ca="1" si="6"/>
        <v/>
      </c>
      <c r="G112" s="681"/>
      <c r="H112" s="681"/>
    </row>
    <row r="113" spans="1:8" ht="13.8">
      <c r="A113" s="681"/>
      <c r="B113" s="681"/>
      <c r="C113" s="681"/>
      <c r="D113" s="681"/>
      <c r="E113" s="687"/>
      <c r="F113" s="678" t="str">
        <f t="shared" ca="1" si="6"/>
        <v/>
      </c>
      <c r="G113" s="681"/>
      <c r="H113" s="681"/>
    </row>
    <row r="114" spans="1:8" ht="13.8">
      <c r="A114" s="681"/>
      <c r="B114" s="681"/>
      <c r="C114" s="681"/>
      <c r="D114" s="681"/>
      <c r="E114" s="687"/>
      <c r="F114" s="678" t="str">
        <f t="shared" ca="1" si="6"/>
        <v/>
      </c>
      <c r="G114" s="681"/>
      <c r="H114" s="681"/>
    </row>
    <row r="115" spans="1:8" ht="13.8">
      <c r="A115" s="681"/>
      <c r="B115" s="681"/>
      <c r="C115" s="681"/>
      <c r="D115" s="681"/>
      <c r="E115" s="687"/>
      <c r="F115" s="678" t="str">
        <f t="shared" ca="1" si="6"/>
        <v/>
      </c>
      <c r="G115" s="681"/>
      <c r="H115" s="681"/>
    </row>
    <row r="116" spans="1:8" ht="13.8">
      <c r="A116" s="681"/>
      <c r="B116" s="681"/>
      <c r="C116" s="681"/>
      <c r="D116" s="681"/>
      <c r="E116" s="687"/>
      <c r="F116" s="678" t="str">
        <f t="shared" ca="1" si="6"/>
        <v/>
      </c>
      <c r="G116" s="681"/>
      <c r="H116" s="681"/>
    </row>
    <row r="117" spans="1:8" ht="13.8">
      <c r="A117" s="681"/>
      <c r="B117" s="681"/>
      <c r="C117" s="681"/>
      <c r="D117" s="681"/>
      <c r="E117" s="687"/>
      <c r="F117" s="678" t="str">
        <f t="shared" ca="1" si="6"/>
        <v/>
      </c>
      <c r="G117" s="681"/>
      <c r="H117" s="681"/>
    </row>
    <row r="118" spans="1:8" ht="13.8">
      <c r="A118" s="681"/>
      <c r="B118" s="681"/>
      <c r="C118" s="681"/>
      <c r="D118" s="681"/>
      <c r="E118" s="687"/>
      <c r="F118" s="678" t="str">
        <f t="shared" ca="1" si="6"/>
        <v/>
      </c>
      <c r="G118" s="681"/>
      <c r="H118" s="681"/>
    </row>
    <row r="119" spans="1:8" ht="13.8">
      <c r="A119" s="681"/>
      <c r="B119" s="681"/>
      <c r="C119" s="681"/>
      <c r="D119" s="681"/>
      <c r="E119" s="687"/>
      <c r="F119" s="678" t="str">
        <f t="shared" ca="1" si="6"/>
        <v/>
      </c>
      <c r="G119" s="681"/>
      <c r="H119" s="681"/>
    </row>
    <row r="120" spans="1:8" ht="13.8">
      <c r="A120" s="681"/>
      <c r="B120" s="681"/>
      <c r="C120" s="681"/>
      <c r="D120" s="681"/>
      <c r="E120" s="687"/>
      <c r="F120" s="678" t="str">
        <f t="shared" ca="1" si="6"/>
        <v/>
      </c>
      <c r="G120" s="681"/>
      <c r="H120" s="681"/>
    </row>
    <row r="121" spans="1:8" ht="13.8">
      <c r="A121" s="681"/>
      <c r="B121" s="681"/>
      <c r="C121" s="681"/>
      <c r="D121" s="681"/>
      <c r="E121" s="687"/>
      <c r="F121" s="678" t="str">
        <f t="shared" ca="1" si="6"/>
        <v/>
      </c>
      <c r="G121" s="681"/>
      <c r="H121" s="681"/>
    </row>
    <row r="122" spans="1:8" ht="13.8">
      <c r="A122" s="681"/>
      <c r="B122" s="681"/>
      <c r="C122" s="681"/>
      <c r="D122" s="681"/>
      <c r="E122" s="687"/>
      <c r="F122" s="678" t="str">
        <f t="shared" ca="1" si="6"/>
        <v/>
      </c>
      <c r="G122" s="681"/>
      <c r="H122" s="681"/>
    </row>
    <row r="123" spans="1:8" ht="13.8">
      <c r="A123" s="681"/>
      <c r="B123" s="681"/>
      <c r="C123" s="681"/>
      <c r="D123" s="681"/>
      <c r="E123" s="687"/>
      <c r="F123" s="678" t="str">
        <f t="shared" ca="1" si="6"/>
        <v/>
      </c>
      <c r="G123" s="681"/>
      <c r="H123" s="681"/>
    </row>
    <row r="124" spans="1:8" ht="13.8">
      <c r="A124" s="681"/>
      <c r="B124" s="681"/>
      <c r="C124" s="681"/>
      <c r="D124" s="681"/>
      <c r="E124" s="687"/>
      <c r="F124" s="678" t="str">
        <f t="shared" ca="1" si="6"/>
        <v/>
      </c>
      <c r="G124" s="681"/>
      <c r="H124" s="681"/>
    </row>
    <row r="125" spans="1:8" ht="13.8">
      <c r="A125" s="681"/>
      <c r="B125" s="681"/>
      <c r="C125" s="681"/>
      <c r="D125" s="681"/>
      <c r="E125" s="687"/>
      <c r="F125" s="678" t="str">
        <f t="shared" ca="1" si="6"/>
        <v/>
      </c>
      <c r="G125" s="681"/>
      <c r="H125" s="681"/>
    </row>
    <row r="126" spans="1:8" ht="13.8">
      <c r="A126" s="681"/>
      <c r="B126" s="681"/>
      <c r="C126" s="681"/>
      <c r="D126" s="681"/>
      <c r="E126" s="687"/>
      <c r="F126" s="678" t="str">
        <f t="shared" ca="1" si="6"/>
        <v/>
      </c>
      <c r="G126" s="681"/>
      <c r="H126" s="681"/>
    </row>
    <row r="127" spans="1:8" ht="13.8">
      <c r="A127" s="681"/>
      <c r="B127" s="681"/>
      <c r="C127" s="681"/>
      <c r="D127" s="681"/>
      <c r="E127" s="687"/>
      <c r="F127" s="678" t="str">
        <f t="shared" ca="1" si="6"/>
        <v/>
      </c>
      <c r="G127" s="681"/>
      <c r="H127" s="681"/>
    </row>
    <row r="128" spans="1:8" ht="13.8">
      <c r="A128" s="681"/>
      <c r="B128" s="681"/>
      <c r="C128" s="681"/>
      <c r="D128" s="681"/>
      <c r="E128" s="687"/>
      <c r="F128" s="678" t="str">
        <f t="shared" ca="1" si="6"/>
        <v/>
      </c>
      <c r="G128" s="681"/>
      <c r="H128" s="681"/>
    </row>
    <row r="129" spans="1:8" ht="13.8">
      <c r="A129" s="681"/>
      <c r="B129" s="681"/>
      <c r="C129" s="681"/>
      <c r="D129" s="681"/>
      <c r="E129" s="687"/>
      <c r="F129" s="678" t="str">
        <f t="shared" ca="1" si="6"/>
        <v/>
      </c>
      <c r="G129" s="681"/>
      <c r="H129" s="681"/>
    </row>
    <row r="130" spans="1:8" ht="13.8">
      <c r="A130" s="681"/>
      <c r="B130" s="681"/>
      <c r="C130" s="681"/>
      <c r="D130" s="681"/>
      <c r="E130" s="687"/>
      <c r="F130" s="678" t="str">
        <f t="shared" ref="F130:F193" ca="1" si="9">IF(A130="","",IF(A130="gesloten","gesloten",DATEDIF(E130,NOW(),"d")))</f>
        <v/>
      </c>
      <c r="G130" s="681"/>
      <c r="H130" s="681"/>
    </row>
    <row r="131" spans="1:8" ht="13.8">
      <c r="A131" s="681"/>
      <c r="B131" s="681"/>
      <c r="C131" s="681"/>
      <c r="D131" s="681"/>
      <c r="E131" s="687"/>
      <c r="F131" s="678" t="str">
        <f t="shared" ca="1" si="9"/>
        <v/>
      </c>
      <c r="G131" s="681"/>
      <c r="H131" s="681"/>
    </row>
    <row r="132" spans="1:8" ht="13.8">
      <c r="A132" s="681"/>
      <c r="B132" s="681"/>
      <c r="C132" s="681"/>
      <c r="D132" s="681"/>
      <c r="E132" s="687"/>
      <c r="F132" s="678" t="str">
        <f t="shared" ca="1" si="9"/>
        <v/>
      </c>
      <c r="G132" s="681"/>
      <c r="H132" s="681"/>
    </row>
    <row r="133" spans="1:8" ht="13.8">
      <c r="A133" s="681"/>
      <c r="B133" s="681"/>
      <c r="C133" s="681"/>
      <c r="D133" s="681"/>
      <c r="E133" s="687"/>
      <c r="F133" s="678" t="str">
        <f t="shared" ca="1" si="9"/>
        <v/>
      </c>
      <c r="G133" s="681"/>
      <c r="H133" s="681"/>
    </row>
    <row r="134" spans="1:8" ht="13.8">
      <c r="A134" s="681"/>
      <c r="B134" s="681"/>
      <c r="C134" s="681"/>
      <c r="D134" s="681"/>
      <c r="E134" s="687"/>
      <c r="F134" s="678" t="str">
        <f t="shared" ca="1" si="9"/>
        <v/>
      </c>
      <c r="G134" s="681"/>
      <c r="H134" s="681"/>
    </row>
    <row r="135" spans="1:8" ht="13.8">
      <c r="A135" s="681"/>
      <c r="B135" s="681"/>
      <c r="C135" s="681"/>
      <c r="D135" s="681"/>
      <c r="E135" s="687"/>
      <c r="F135" s="678" t="str">
        <f t="shared" ca="1" si="9"/>
        <v/>
      </c>
      <c r="G135" s="681"/>
      <c r="H135" s="681"/>
    </row>
    <row r="136" spans="1:8" ht="13.8">
      <c r="A136" s="681"/>
      <c r="B136" s="681"/>
      <c r="C136" s="681"/>
      <c r="D136" s="681"/>
      <c r="E136" s="687"/>
      <c r="F136" s="678" t="str">
        <f t="shared" ca="1" si="9"/>
        <v/>
      </c>
      <c r="G136" s="681"/>
      <c r="H136" s="681"/>
    </row>
    <row r="137" spans="1:8" ht="13.8">
      <c r="A137" s="681"/>
      <c r="B137" s="681"/>
      <c r="C137" s="681"/>
      <c r="D137" s="681"/>
      <c r="E137" s="687"/>
      <c r="F137" s="678" t="str">
        <f t="shared" ca="1" si="9"/>
        <v/>
      </c>
      <c r="G137" s="681"/>
      <c r="H137" s="681"/>
    </row>
    <row r="138" spans="1:8" ht="13.8">
      <c r="A138" s="681"/>
      <c r="B138" s="681"/>
      <c r="C138" s="681"/>
      <c r="D138" s="681"/>
      <c r="E138" s="687"/>
      <c r="F138" s="678" t="str">
        <f t="shared" ca="1" si="9"/>
        <v/>
      </c>
      <c r="G138" s="681"/>
      <c r="H138" s="681"/>
    </row>
    <row r="139" spans="1:8" ht="13.8">
      <c r="A139" s="681"/>
      <c r="B139" s="681"/>
      <c r="C139" s="681"/>
      <c r="D139" s="681"/>
      <c r="E139" s="687"/>
      <c r="F139" s="678" t="str">
        <f t="shared" ca="1" si="9"/>
        <v/>
      </c>
      <c r="G139" s="681"/>
      <c r="H139" s="681"/>
    </row>
    <row r="140" spans="1:8" ht="13.8">
      <c r="A140" s="681"/>
      <c r="B140" s="681"/>
      <c r="C140" s="681"/>
      <c r="D140" s="681"/>
      <c r="E140" s="687"/>
      <c r="F140" s="678" t="str">
        <f t="shared" ca="1" si="9"/>
        <v/>
      </c>
      <c r="G140" s="681"/>
      <c r="H140" s="681"/>
    </row>
    <row r="141" spans="1:8" ht="13.8">
      <c r="A141" s="681"/>
      <c r="B141" s="681"/>
      <c r="C141" s="681"/>
      <c r="D141" s="681"/>
      <c r="E141" s="687"/>
      <c r="F141" s="678" t="str">
        <f t="shared" ca="1" si="9"/>
        <v/>
      </c>
      <c r="G141" s="681"/>
      <c r="H141" s="681"/>
    </row>
    <row r="142" spans="1:8" ht="13.8">
      <c r="A142" s="681"/>
      <c r="B142" s="681"/>
      <c r="C142" s="681"/>
      <c r="D142" s="681"/>
      <c r="E142" s="687"/>
      <c r="F142" s="678" t="str">
        <f t="shared" ca="1" si="9"/>
        <v/>
      </c>
      <c r="G142" s="681"/>
      <c r="H142" s="681"/>
    </row>
    <row r="143" spans="1:8" ht="13.8">
      <c r="A143" s="681"/>
      <c r="B143" s="681"/>
      <c r="C143" s="681"/>
      <c r="D143" s="681"/>
      <c r="E143" s="687"/>
      <c r="F143" s="678" t="str">
        <f t="shared" ca="1" si="9"/>
        <v/>
      </c>
      <c r="G143" s="681"/>
      <c r="H143" s="681"/>
    </row>
    <row r="144" spans="1:8" ht="13.8">
      <c r="A144" s="681"/>
      <c r="B144" s="681"/>
      <c r="C144" s="681"/>
      <c r="D144" s="681"/>
      <c r="E144" s="687"/>
      <c r="F144" s="678" t="str">
        <f t="shared" ca="1" si="9"/>
        <v/>
      </c>
      <c r="G144" s="681"/>
      <c r="H144" s="681"/>
    </row>
    <row r="145" spans="1:8" ht="13.8">
      <c r="A145" s="681"/>
      <c r="B145" s="681"/>
      <c r="C145" s="681"/>
      <c r="D145" s="681"/>
      <c r="E145" s="687"/>
      <c r="F145" s="678" t="str">
        <f t="shared" ca="1" si="9"/>
        <v/>
      </c>
      <c r="G145" s="681"/>
      <c r="H145" s="681"/>
    </row>
    <row r="146" spans="1:8" ht="13.8">
      <c r="A146" s="681"/>
      <c r="B146" s="681"/>
      <c r="C146" s="681"/>
      <c r="D146" s="681"/>
      <c r="E146" s="687"/>
      <c r="F146" s="678" t="str">
        <f t="shared" ca="1" si="9"/>
        <v/>
      </c>
      <c r="G146" s="681"/>
      <c r="H146" s="681"/>
    </row>
    <row r="147" spans="1:8" ht="13.8">
      <c r="A147" s="681"/>
      <c r="B147" s="681"/>
      <c r="C147" s="681"/>
      <c r="D147" s="681"/>
      <c r="E147" s="687"/>
      <c r="F147" s="678" t="str">
        <f t="shared" ca="1" si="9"/>
        <v/>
      </c>
      <c r="G147" s="681"/>
      <c r="H147" s="681"/>
    </row>
    <row r="148" spans="1:8" ht="13.8">
      <c r="A148" s="681"/>
      <c r="B148" s="681"/>
      <c r="C148" s="681"/>
      <c r="D148" s="681"/>
      <c r="E148" s="687"/>
      <c r="F148" s="678" t="str">
        <f t="shared" ca="1" si="9"/>
        <v/>
      </c>
      <c r="G148" s="681"/>
      <c r="H148" s="681"/>
    </row>
    <row r="149" spans="1:8" ht="13.8">
      <c r="A149" s="681"/>
      <c r="B149" s="681"/>
      <c r="C149" s="681"/>
      <c r="D149" s="681"/>
      <c r="E149" s="687"/>
      <c r="F149" s="678" t="str">
        <f t="shared" ca="1" si="9"/>
        <v/>
      </c>
      <c r="G149" s="681"/>
      <c r="H149" s="681"/>
    </row>
    <row r="150" spans="1:8" ht="13.8">
      <c r="A150" s="681"/>
      <c r="B150" s="681"/>
      <c r="C150" s="681"/>
      <c r="D150" s="681"/>
      <c r="E150" s="687"/>
      <c r="F150" s="678" t="str">
        <f t="shared" ca="1" si="9"/>
        <v/>
      </c>
      <c r="G150" s="681"/>
      <c r="H150" s="681"/>
    </row>
    <row r="151" spans="1:8" ht="13.8">
      <c r="A151" s="681"/>
      <c r="B151" s="681"/>
      <c r="C151" s="681"/>
      <c r="D151" s="681"/>
      <c r="E151" s="687"/>
      <c r="F151" s="678" t="str">
        <f t="shared" ca="1" si="9"/>
        <v/>
      </c>
      <c r="G151" s="681"/>
      <c r="H151" s="681"/>
    </row>
    <row r="152" spans="1:8" ht="13.8">
      <c r="A152" s="681"/>
      <c r="B152" s="681"/>
      <c r="C152" s="681"/>
      <c r="D152" s="681"/>
      <c r="E152" s="687"/>
      <c r="F152" s="678" t="str">
        <f t="shared" ca="1" si="9"/>
        <v/>
      </c>
      <c r="G152" s="681"/>
      <c r="H152" s="681"/>
    </row>
    <row r="153" spans="1:8" ht="13.8">
      <c r="A153" s="681"/>
      <c r="B153" s="681"/>
      <c r="C153" s="681"/>
      <c r="D153" s="681"/>
      <c r="E153" s="687"/>
      <c r="F153" s="678" t="str">
        <f t="shared" ca="1" si="9"/>
        <v/>
      </c>
      <c r="G153" s="681"/>
      <c r="H153" s="681"/>
    </row>
    <row r="154" spans="1:8" ht="13.8">
      <c r="A154" s="681"/>
      <c r="B154" s="681"/>
      <c r="C154" s="681"/>
      <c r="D154" s="681"/>
      <c r="E154" s="687"/>
      <c r="F154" s="678" t="str">
        <f t="shared" ca="1" si="9"/>
        <v/>
      </c>
      <c r="G154" s="681"/>
      <c r="H154" s="681"/>
    </row>
    <row r="155" spans="1:8" ht="13.8">
      <c r="A155" s="681"/>
      <c r="B155" s="681"/>
      <c r="C155" s="681"/>
      <c r="D155" s="681"/>
      <c r="E155" s="687"/>
      <c r="F155" s="678" t="str">
        <f t="shared" ca="1" si="9"/>
        <v/>
      </c>
      <c r="G155" s="681"/>
      <c r="H155" s="681"/>
    </row>
    <row r="156" spans="1:8" ht="13.8">
      <c r="A156" s="681"/>
      <c r="B156" s="681"/>
      <c r="C156" s="681"/>
      <c r="D156" s="681"/>
      <c r="E156" s="687"/>
      <c r="F156" s="678" t="str">
        <f t="shared" ca="1" si="9"/>
        <v/>
      </c>
      <c r="G156" s="681"/>
      <c r="H156" s="681"/>
    </row>
    <row r="157" spans="1:8" ht="13.8">
      <c r="A157" s="681"/>
      <c r="B157" s="681"/>
      <c r="C157" s="681"/>
      <c r="D157" s="681"/>
      <c r="E157" s="687"/>
      <c r="F157" s="678" t="str">
        <f t="shared" ca="1" si="9"/>
        <v/>
      </c>
      <c r="G157" s="681"/>
      <c r="H157" s="681"/>
    </row>
    <row r="158" spans="1:8" ht="13.8">
      <c r="A158" s="681"/>
      <c r="B158" s="681"/>
      <c r="C158" s="681"/>
      <c r="D158" s="681"/>
      <c r="E158" s="687"/>
      <c r="F158" s="678" t="str">
        <f t="shared" ca="1" si="9"/>
        <v/>
      </c>
      <c r="G158" s="681"/>
      <c r="H158" s="681"/>
    </row>
    <row r="159" spans="1:8" ht="13.8">
      <c r="A159" s="681"/>
      <c r="B159" s="681"/>
      <c r="C159" s="681"/>
      <c r="D159" s="681"/>
      <c r="E159" s="687"/>
      <c r="F159" s="678" t="str">
        <f t="shared" ca="1" si="9"/>
        <v/>
      </c>
      <c r="G159" s="681"/>
      <c r="H159" s="681"/>
    </row>
    <row r="160" spans="1:8" ht="13.8">
      <c r="A160" s="681"/>
      <c r="B160" s="681"/>
      <c r="C160" s="681"/>
      <c r="D160" s="681"/>
      <c r="E160" s="687"/>
      <c r="F160" s="678" t="str">
        <f t="shared" ca="1" si="9"/>
        <v/>
      </c>
      <c r="G160" s="681"/>
      <c r="H160" s="681"/>
    </row>
    <row r="161" spans="1:8" ht="13.8">
      <c r="A161" s="681"/>
      <c r="B161" s="681"/>
      <c r="C161" s="681"/>
      <c r="D161" s="681"/>
      <c r="E161" s="687"/>
      <c r="F161" s="678" t="str">
        <f t="shared" ca="1" si="9"/>
        <v/>
      </c>
      <c r="G161" s="681"/>
      <c r="H161" s="681"/>
    </row>
    <row r="162" spans="1:8" ht="13.8">
      <c r="A162" s="681"/>
      <c r="B162" s="681"/>
      <c r="C162" s="681"/>
      <c r="D162" s="681"/>
      <c r="E162" s="687"/>
      <c r="F162" s="678" t="str">
        <f t="shared" ca="1" si="9"/>
        <v/>
      </c>
      <c r="G162" s="681"/>
      <c r="H162" s="681"/>
    </row>
    <row r="163" spans="1:8" ht="13.8">
      <c r="A163" s="681"/>
      <c r="B163" s="681"/>
      <c r="C163" s="681"/>
      <c r="D163" s="681"/>
      <c r="E163" s="687"/>
      <c r="F163" s="678" t="str">
        <f t="shared" ca="1" si="9"/>
        <v/>
      </c>
      <c r="G163" s="681"/>
      <c r="H163" s="681"/>
    </row>
    <row r="164" spans="1:8" ht="13.8">
      <c r="A164" s="681"/>
      <c r="B164" s="681"/>
      <c r="C164" s="681"/>
      <c r="D164" s="681"/>
      <c r="E164" s="687"/>
      <c r="F164" s="678" t="str">
        <f t="shared" ca="1" si="9"/>
        <v/>
      </c>
      <c r="G164" s="681"/>
      <c r="H164" s="681"/>
    </row>
    <row r="165" spans="1:8" ht="13.8">
      <c r="A165" s="681"/>
      <c r="B165" s="681"/>
      <c r="C165" s="681"/>
      <c r="D165" s="681"/>
      <c r="E165" s="687"/>
      <c r="F165" s="678" t="str">
        <f t="shared" ca="1" si="9"/>
        <v/>
      </c>
      <c r="G165" s="681"/>
      <c r="H165" s="681"/>
    </row>
    <row r="166" spans="1:8" ht="13.8">
      <c r="A166" s="681"/>
      <c r="B166" s="681"/>
      <c r="C166" s="681"/>
      <c r="D166" s="681"/>
      <c r="E166" s="687"/>
      <c r="F166" s="678" t="str">
        <f t="shared" ca="1" si="9"/>
        <v/>
      </c>
      <c r="G166" s="681"/>
      <c r="H166" s="681"/>
    </row>
    <row r="167" spans="1:8" ht="13.8">
      <c r="A167" s="681"/>
      <c r="B167" s="681"/>
      <c r="C167" s="681"/>
      <c r="D167" s="681"/>
      <c r="E167" s="687"/>
      <c r="F167" s="678" t="str">
        <f t="shared" ca="1" si="9"/>
        <v/>
      </c>
      <c r="G167" s="681"/>
      <c r="H167" s="681"/>
    </row>
    <row r="168" spans="1:8" ht="13.8">
      <c r="A168" s="681"/>
      <c r="B168" s="681"/>
      <c r="C168" s="681"/>
      <c r="D168" s="681"/>
      <c r="E168" s="687"/>
      <c r="F168" s="678" t="str">
        <f t="shared" ca="1" si="9"/>
        <v/>
      </c>
      <c r="G168" s="681"/>
      <c r="H168" s="681"/>
    </row>
    <row r="169" spans="1:8" ht="13.8">
      <c r="A169" s="681"/>
      <c r="B169" s="681"/>
      <c r="C169" s="681"/>
      <c r="D169" s="681"/>
      <c r="E169" s="687"/>
      <c r="F169" s="678" t="str">
        <f t="shared" ca="1" si="9"/>
        <v/>
      </c>
      <c r="G169" s="681"/>
      <c r="H169" s="681"/>
    </row>
    <row r="170" spans="1:8" ht="13.8">
      <c r="A170" s="681"/>
      <c r="B170" s="681"/>
      <c r="C170" s="681"/>
      <c r="D170" s="681"/>
      <c r="E170" s="687"/>
      <c r="F170" s="678" t="str">
        <f t="shared" ca="1" si="9"/>
        <v/>
      </c>
      <c r="G170" s="681"/>
      <c r="H170" s="681"/>
    </row>
    <row r="171" spans="1:8" ht="13.8">
      <c r="A171" s="681"/>
      <c r="B171" s="681"/>
      <c r="C171" s="681"/>
      <c r="D171" s="681"/>
      <c r="E171" s="687"/>
      <c r="F171" s="678" t="str">
        <f t="shared" ca="1" si="9"/>
        <v/>
      </c>
      <c r="G171" s="681"/>
      <c r="H171" s="681"/>
    </row>
    <row r="172" spans="1:8" ht="13.8">
      <c r="A172" s="681"/>
      <c r="B172" s="681"/>
      <c r="C172" s="681"/>
      <c r="D172" s="681"/>
      <c r="E172" s="687"/>
      <c r="F172" s="678" t="str">
        <f t="shared" ca="1" si="9"/>
        <v/>
      </c>
      <c r="G172" s="681"/>
      <c r="H172" s="681"/>
    </row>
    <row r="173" spans="1:8" ht="13.8">
      <c r="A173" s="681"/>
      <c r="B173" s="681"/>
      <c r="C173" s="681"/>
      <c r="D173" s="681"/>
      <c r="E173" s="687"/>
      <c r="F173" s="678" t="str">
        <f t="shared" ca="1" si="9"/>
        <v/>
      </c>
      <c r="G173" s="681"/>
      <c r="H173" s="681"/>
    </row>
    <row r="174" spans="1:8" ht="13.8">
      <c r="A174" s="681"/>
      <c r="B174" s="681"/>
      <c r="C174" s="681"/>
      <c r="D174" s="681"/>
      <c r="E174" s="687"/>
      <c r="F174" s="678" t="str">
        <f t="shared" ca="1" si="9"/>
        <v/>
      </c>
      <c r="G174" s="681"/>
      <c r="H174" s="681"/>
    </row>
    <row r="175" spans="1:8" ht="13.8">
      <c r="A175" s="681"/>
      <c r="B175" s="681"/>
      <c r="C175" s="681"/>
      <c r="D175" s="681"/>
      <c r="E175" s="687"/>
      <c r="F175" s="678" t="str">
        <f t="shared" ca="1" si="9"/>
        <v/>
      </c>
      <c r="G175" s="681"/>
      <c r="H175" s="681"/>
    </row>
    <row r="176" spans="1:8" ht="13.8">
      <c r="A176" s="681"/>
      <c r="B176" s="681"/>
      <c r="C176" s="681"/>
      <c r="D176" s="681"/>
      <c r="E176" s="687"/>
      <c r="F176" s="678" t="str">
        <f t="shared" ca="1" si="9"/>
        <v/>
      </c>
      <c r="G176" s="681"/>
      <c r="H176" s="681"/>
    </row>
    <row r="177" spans="1:8" ht="13.8">
      <c r="A177" s="681"/>
      <c r="B177" s="681"/>
      <c r="C177" s="681"/>
      <c r="D177" s="681"/>
      <c r="E177" s="687"/>
      <c r="F177" s="678" t="str">
        <f t="shared" ca="1" si="9"/>
        <v/>
      </c>
      <c r="G177" s="681"/>
      <c r="H177" s="681"/>
    </row>
    <row r="178" spans="1:8" ht="13.8">
      <c r="A178" s="681"/>
      <c r="B178" s="681"/>
      <c r="C178" s="681"/>
      <c r="D178" s="681"/>
      <c r="E178" s="687"/>
      <c r="F178" s="678" t="str">
        <f t="shared" ca="1" si="9"/>
        <v/>
      </c>
      <c r="G178" s="681"/>
      <c r="H178" s="681"/>
    </row>
    <row r="179" spans="1:8" ht="13.8">
      <c r="A179" s="681"/>
      <c r="B179" s="681"/>
      <c r="C179" s="681"/>
      <c r="D179" s="681"/>
      <c r="E179" s="687"/>
      <c r="F179" s="678" t="str">
        <f t="shared" ca="1" si="9"/>
        <v/>
      </c>
      <c r="G179" s="681"/>
      <c r="H179" s="681"/>
    </row>
    <row r="180" spans="1:8" ht="13.8">
      <c r="A180" s="681"/>
      <c r="B180" s="681"/>
      <c r="C180" s="681"/>
      <c r="D180" s="681"/>
      <c r="E180" s="687"/>
      <c r="F180" s="678" t="str">
        <f t="shared" ca="1" si="9"/>
        <v/>
      </c>
      <c r="G180" s="681"/>
      <c r="H180" s="681"/>
    </row>
    <row r="181" spans="1:8" ht="13.8">
      <c r="A181" s="681"/>
      <c r="B181" s="681"/>
      <c r="C181" s="681"/>
      <c r="D181" s="681"/>
      <c r="E181" s="687"/>
      <c r="F181" s="678" t="str">
        <f t="shared" ca="1" si="9"/>
        <v/>
      </c>
      <c r="G181" s="681"/>
      <c r="H181" s="681"/>
    </row>
    <row r="182" spans="1:8" ht="13.8">
      <c r="A182" s="681"/>
      <c r="B182" s="681"/>
      <c r="C182" s="681"/>
      <c r="D182" s="681"/>
      <c r="E182" s="687"/>
      <c r="F182" s="678" t="str">
        <f t="shared" ca="1" si="9"/>
        <v/>
      </c>
      <c r="G182" s="681"/>
      <c r="H182" s="681"/>
    </row>
    <row r="183" spans="1:8" ht="13.8">
      <c r="A183" s="681"/>
      <c r="B183" s="681"/>
      <c r="C183" s="681"/>
      <c r="D183" s="681"/>
      <c r="E183" s="687"/>
      <c r="F183" s="678" t="str">
        <f t="shared" ca="1" si="9"/>
        <v/>
      </c>
      <c r="G183" s="681"/>
      <c r="H183" s="681"/>
    </row>
    <row r="184" spans="1:8" ht="13.8">
      <c r="A184" s="681"/>
      <c r="B184" s="681"/>
      <c r="C184" s="681"/>
      <c r="D184" s="681"/>
      <c r="E184" s="687"/>
      <c r="F184" s="678" t="str">
        <f t="shared" ca="1" si="9"/>
        <v/>
      </c>
      <c r="G184" s="681"/>
      <c r="H184" s="681"/>
    </row>
    <row r="185" spans="1:8" ht="13.8">
      <c r="A185" s="681"/>
      <c r="B185" s="681"/>
      <c r="C185" s="681"/>
      <c r="D185" s="681"/>
      <c r="E185" s="687"/>
      <c r="F185" s="678" t="str">
        <f t="shared" ca="1" si="9"/>
        <v/>
      </c>
      <c r="G185" s="681"/>
      <c r="H185" s="681"/>
    </row>
    <row r="186" spans="1:8" ht="13.8">
      <c r="A186" s="681"/>
      <c r="B186" s="681"/>
      <c r="C186" s="681"/>
      <c r="D186" s="681"/>
      <c r="E186" s="687"/>
      <c r="F186" s="678" t="str">
        <f t="shared" ca="1" si="9"/>
        <v/>
      </c>
      <c r="G186" s="681"/>
      <c r="H186" s="681"/>
    </row>
    <row r="187" spans="1:8" ht="13.8">
      <c r="A187" s="681"/>
      <c r="B187" s="681"/>
      <c r="C187" s="681"/>
      <c r="D187" s="681"/>
      <c r="E187" s="687"/>
      <c r="F187" s="678" t="str">
        <f t="shared" ca="1" si="9"/>
        <v/>
      </c>
      <c r="G187" s="681"/>
      <c r="H187" s="681"/>
    </row>
    <row r="188" spans="1:8" ht="13.8">
      <c r="A188" s="681"/>
      <c r="B188" s="681"/>
      <c r="C188" s="681"/>
      <c r="D188" s="681"/>
      <c r="E188" s="687"/>
      <c r="F188" s="678" t="str">
        <f t="shared" ca="1" si="9"/>
        <v/>
      </c>
      <c r="G188" s="681"/>
      <c r="H188" s="681"/>
    </row>
    <row r="189" spans="1:8" ht="13.8">
      <c r="A189" s="681"/>
      <c r="B189" s="681"/>
      <c r="C189" s="681"/>
      <c r="D189" s="681"/>
      <c r="E189" s="687"/>
      <c r="F189" s="678" t="str">
        <f t="shared" ca="1" si="9"/>
        <v/>
      </c>
      <c r="G189" s="681"/>
      <c r="H189" s="681"/>
    </row>
    <row r="190" spans="1:8" ht="13.8">
      <c r="A190" s="681"/>
      <c r="B190" s="681"/>
      <c r="C190" s="681"/>
      <c r="D190" s="681"/>
      <c r="E190" s="687"/>
      <c r="F190" s="678" t="str">
        <f t="shared" ca="1" si="9"/>
        <v/>
      </c>
      <c r="G190" s="681"/>
      <c r="H190" s="681"/>
    </row>
    <row r="191" spans="1:8" ht="13.8">
      <c r="A191" s="681"/>
      <c r="B191" s="681"/>
      <c r="C191" s="681"/>
      <c r="D191" s="681"/>
      <c r="E191" s="687"/>
      <c r="F191" s="678" t="str">
        <f t="shared" ca="1" si="9"/>
        <v/>
      </c>
      <c r="G191" s="681"/>
      <c r="H191" s="681"/>
    </row>
    <row r="192" spans="1:8" ht="13.8">
      <c r="A192" s="681"/>
      <c r="B192" s="681"/>
      <c r="C192" s="681"/>
      <c r="D192" s="681"/>
      <c r="E192" s="687"/>
      <c r="F192" s="678" t="str">
        <f t="shared" ca="1" si="9"/>
        <v/>
      </c>
      <c r="G192" s="681"/>
      <c r="H192" s="681"/>
    </row>
    <row r="193" spans="1:8" ht="13.8">
      <c r="A193" s="681"/>
      <c r="B193" s="681"/>
      <c r="C193" s="681"/>
      <c r="D193" s="681"/>
      <c r="E193" s="687"/>
      <c r="F193" s="678" t="str">
        <f t="shared" ca="1" si="9"/>
        <v/>
      </c>
      <c r="G193" s="681"/>
      <c r="H193" s="681"/>
    </row>
    <row r="194" spans="1:8" ht="13.8">
      <c r="A194" s="681"/>
      <c r="B194" s="681"/>
      <c r="C194" s="681"/>
      <c r="D194" s="681"/>
      <c r="E194" s="687"/>
      <c r="F194" s="678" t="str">
        <f t="shared" ref="F194:F257" ca="1" si="10">IF(A194="","",IF(A194="gesloten","gesloten",DATEDIF(E194,NOW(),"d")))</f>
        <v/>
      </c>
      <c r="G194" s="681"/>
      <c r="H194" s="681"/>
    </row>
    <row r="195" spans="1:8" ht="13.8">
      <c r="A195" s="681"/>
      <c r="B195" s="681"/>
      <c r="C195" s="681"/>
      <c r="D195" s="681"/>
      <c r="E195" s="687"/>
      <c r="F195" s="678" t="str">
        <f t="shared" ca="1" si="10"/>
        <v/>
      </c>
      <c r="G195" s="681"/>
      <c r="H195" s="681"/>
    </row>
    <row r="196" spans="1:8" ht="13.8">
      <c r="A196" s="681"/>
      <c r="B196" s="681"/>
      <c r="C196" s="681"/>
      <c r="D196" s="681"/>
      <c r="E196" s="687"/>
      <c r="F196" s="678" t="str">
        <f t="shared" ca="1" si="10"/>
        <v/>
      </c>
      <c r="G196" s="681"/>
      <c r="H196" s="681"/>
    </row>
    <row r="197" spans="1:8" ht="13.8">
      <c r="A197" s="681"/>
      <c r="B197" s="681"/>
      <c r="C197" s="681"/>
      <c r="D197" s="681"/>
      <c r="E197" s="687"/>
      <c r="F197" s="678" t="str">
        <f t="shared" ca="1" si="10"/>
        <v/>
      </c>
      <c r="G197" s="681"/>
      <c r="H197" s="681"/>
    </row>
    <row r="198" spans="1:8" ht="13.8">
      <c r="A198" s="681"/>
      <c r="B198" s="681"/>
      <c r="C198" s="681"/>
      <c r="D198" s="681"/>
      <c r="E198" s="687"/>
      <c r="F198" s="678" t="str">
        <f t="shared" ca="1" si="10"/>
        <v/>
      </c>
      <c r="G198" s="681"/>
      <c r="H198" s="681"/>
    </row>
    <row r="199" spans="1:8" ht="13.8">
      <c r="A199" s="681"/>
      <c r="B199" s="681"/>
      <c r="C199" s="681"/>
      <c r="D199" s="681"/>
      <c r="E199" s="687"/>
      <c r="F199" s="678" t="str">
        <f t="shared" ca="1" si="10"/>
        <v/>
      </c>
      <c r="G199" s="681"/>
      <c r="H199" s="681"/>
    </row>
    <row r="200" spans="1:8" ht="13.8">
      <c r="A200" s="681"/>
      <c r="B200" s="681"/>
      <c r="C200" s="681"/>
      <c r="D200" s="681"/>
      <c r="E200" s="687"/>
      <c r="F200" s="678" t="str">
        <f t="shared" ca="1" si="10"/>
        <v/>
      </c>
      <c r="G200" s="681"/>
      <c r="H200" s="681"/>
    </row>
    <row r="201" spans="1:8" ht="13.8">
      <c r="A201" s="681"/>
      <c r="B201" s="681"/>
      <c r="C201" s="681"/>
      <c r="D201" s="681"/>
      <c r="E201" s="687"/>
      <c r="F201" s="678" t="str">
        <f t="shared" ca="1" si="10"/>
        <v/>
      </c>
      <c r="G201" s="681"/>
      <c r="H201" s="681"/>
    </row>
    <row r="202" spans="1:8" ht="13.8">
      <c r="A202" s="681"/>
      <c r="B202" s="681"/>
      <c r="C202" s="681"/>
      <c r="D202" s="681"/>
      <c r="E202" s="687"/>
      <c r="F202" s="678" t="str">
        <f t="shared" ca="1" si="10"/>
        <v/>
      </c>
      <c r="G202" s="681"/>
      <c r="H202" s="681"/>
    </row>
    <row r="203" spans="1:8" ht="13.8">
      <c r="A203" s="681"/>
      <c r="B203" s="681"/>
      <c r="C203" s="681"/>
      <c r="D203" s="681"/>
      <c r="E203" s="687"/>
      <c r="F203" s="678" t="str">
        <f t="shared" ca="1" si="10"/>
        <v/>
      </c>
      <c r="G203" s="681"/>
      <c r="H203" s="681"/>
    </row>
    <row r="204" spans="1:8" ht="13.8">
      <c r="A204" s="681"/>
      <c r="B204" s="681"/>
      <c r="C204" s="681"/>
      <c r="D204" s="681"/>
      <c r="E204" s="687"/>
      <c r="F204" s="678" t="str">
        <f t="shared" ca="1" si="10"/>
        <v/>
      </c>
      <c r="G204" s="681"/>
      <c r="H204" s="681"/>
    </row>
    <row r="205" spans="1:8" ht="13.8">
      <c r="A205" s="681"/>
      <c r="B205" s="681"/>
      <c r="C205" s="681"/>
      <c r="D205" s="681"/>
      <c r="E205" s="687"/>
      <c r="F205" s="678" t="str">
        <f t="shared" ca="1" si="10"/>
        <v/>
      </c>
      <c r="G205" s="681"/>
      <c r="H205" s="681"/>
    </row>
    <row r="206" spans="1:8" ht="13.8">
      <c r="A206" s="681"/>
      <c r="B206" s="681"/>
      <c r="C206" s="681"/>
      <c r="D206" s="681"/>
      <c r="E206" s="687"/>
      <c r="F206" s="678" t="str">
        <f t="shared" ca="1" si="10"/>
        <v/>
      </c>
      <c r="G206" s="681"/>
      <c r="H206" s="681"/>
    </row>
    <row r="207" spans="1:8" ht="13.8">
      <c r="A207" s="681"/>
      <c r="B207" s="681"/>
      <c r="C207" s="681"/>
      <c r="D207" s="681"/>
      <c r="E207" s="687"/>
      <c r="F207" s="678" t="str">
        <f t="shared" ca="1" si="10"/>
        <v/>
      </c>
      <c r="G207" s="681"/>
      <c r="H207" s="681"/>
    </row>
    <row r="208" spans="1:8" ht="13.8">
      <c r="A208" s="681"/>
      <c r="B208" s="681"/>
      <c r="C208" s="681"/>
      <c r="D208" s="681"/>
      <c r="E208" s="687"/>
      <c r="F208" s="678" t="str">
        <f t="shared" ca="1" si="10"/>
        <v/>
      </c>
      <c r="G208" s="681"/>
      <c r="H208" s="681"/>
    </row>
    <row r="209" spans="1:8" ht="13.8">
      <c r="A209" s="681"/>
      <c r="B209" s="681"/>
      <c r="C209" s="681"/>
      <c r="D209" s="681"/>
      <c r="E209" s="687"/>
      <c r="F209" s="678" t="str">
        <f t="shared" ca="1" si="10"/>
        <v/>
      </c>
      <c r="G209" s="681"/>
      <c r="H209" s="681"/>
    </row>
    <row r="210" spans="1:8" ht="13.8">
      <c r="A210" s="681"/>
      <c r="B210" s="681"/>
      <c r="C210" s="681"/>
      <c r="D210" s="681"/>
      <c r="E210" s="687"/>
      <c r="F210" s="678" t="str">
        <f t="shared" ca="1" si="10"/>
        <v/>
      </c>
      <c r="G210" s="681"/>
      <c r="H210" s="681"/>
    </row>
    <row r="211" spans="1:8" ht="13.8">
      <c r="A211" s="681"/>
      <c r="B211" s="681"/>
      <c r="C211" s="681"/>
      <c r="D211" s="681"/>
      <c r="E211" s="687"/>
      <c r="F211" s="678" t="str">
        <f t="shared" ca="1" si="10"/>
        <v/>
      </c>
      <c r="G211" s="681"/>
      <c r="H211" s="681"/>
    </row>
    <row r="212" spans="1:8" ht="13.8">
      <c r="A212" s="681"/>
      <c r="B212" s="681"/>
      <c r="C212" s="681"/>
      <c r="D212" s="681"/>
      <c r="E212" s="687"/>
      <c r="F212" s="678" t="str">
        <f t="shared" ca="1" si="10"/>
        <v/>
      </c>
      <c r="G212" s="681"/>
      <c r="H212" s="681"/>
    </row>
    <row r="213" spans="1:8" ht="13.8">
      <c r="A213" s="681"/>
      <c r="B213" s="681"/>
      <c r="C213" s="681"/>
      <c r="D213" s="681"/>
      <c r="E213" s="687"/>
      <c r="F213" s="678" t="str">
        <f t="shared" ca="1" si="10"/>
        <v/>
      </c>
      <c r="G213" s="681"/>
      <c r="H213" s="681"/>
    </row>
    <row r="214" spans="1:8" ht="13.8">
      <c r="A214" s="681"/>
      <c r="B214" s="681"/>
      <c r="C214" s="681"/>
      <c r="D214" s="681"/>
      <c r="E214" s="687"/>
      <c r="F214" s="678" t="str">
        <f t="shared" ca="1" si="10"/>
        <v/>
      </c>
      <c r="G214" s="681"/>
      <c r="H214" s="681"/>
    </row>
    <row r="215" spans="1:8" ht="13.8">
      <c r="A215" s="681"/>
      <c r="B215" s="681"/>
      <c r="C215" s="681"/>
      <c r="D215" s="681"/>
      <c r="E215" s="687"/>
      <c r="F215" s="678" t="str">
        <f t="shared" ca="1" si="10"/>
        <v/>
      </c>
      <c r="G215" s="681"/>
      <c r="H215" s="681"/>
    </row>
    <row r="216" spans="1:8" ht="13.8">
      <c r="A216" s="681"/>
      <c r="B216" s="681"/>
      <c r="C216" s="681"/>
      <c r="D216" s="681"/>
      <c r="E216" s="687"/>
      <c r="F216" s="678" t="str">
        <f t="shared" ca="1" si="10"/>
        <v/>
      </c>
      <c r="G216" s="681"/>
      <c r="H216" s="681"/>
    </row>
    <row r="217" spans="1:8" ht="13.8">
      <c r="A217" s="681"/>
      <c r="B217" s="681"/>
      <c r="C217" s="681"/>
      <c r="D217" s="681"/>
      <c r="E217" s="687"/>
      <c r="F217" s="678" t="str">
        <f t="shared" ca="1" si="10"/>
        <v/>
      </c>
      <c r="G217" s="681"/>
      <c r="H217" s="681"/>
    </row>
    <row r="218" spans="1:8" ht="13.8">
      <c r="A218" s="681"/>
      <c r="B218" s="681"/>
      <c r="C218" s="681"/>
      <c r="D218" s="681"/>
      <c r="E218" s="687"/>
      <c r="F218" s="678" t="str">
        <f t="shared" ca="1" si="10"/>
        <v/>
      </c>
      <c r="G218" s="681"/>
      <c r="H218" s="681"/>
    </row>
    <row r="219" spans="1:8" ht="13.8">
      <c r="A219" s="681"/>
      <c r="B219" s="681"/>
      <c r="C219" s="681"/>
      <c r="D219" s="681"/>
      <c r="E219" s="687"/>
      <c r="F219" s="678" t="str">
        <f t="shared" ca="1" si="10"/>
        <v/>
      </c>
      <c r="G219" s="681"/>
      <c r="H219" s="681"/>
    </row>
    <row r="220" spans="1:8" ht="13.8">
      <c r="A220" s="681"/>
      <c r="B220" s="681"/>
      <c r="C220" s="681"/>
      <c r="D220" s="681"/>
      <c r="E220" s="687"/>
      <c r="F220" s="678" t="str">
        <f t="shared" ca="1" si="10"/>
        <v/>
      </c>
      <c r="G220" s="681"/>
      <c r="H220" s="681"/>
    </row>
    <row r="221" spans="1:8" ht="13.8">
      <c r="A221" s="681"/>
      <c r="B221" s="681"/>
      <c r="C221" s="681"/>
      <c r="D221" s="681"/>
      <c r="E221" s="687"/>
      <c r="F221" s="678" t="str">
        <f t="shared" ca="1" si="10"/>
        <v/>
      </c>
      <c r="G221" s="681"/>
      <c r="H221" s="681"/>
    </row>
    <row r="222" spans="1:8" ht="13.8">
      <c r="A222" s="681"/>
      <c r="B222" s="681"/>
      <c r="C222" s="681"/>
      <c r="D222" s="681"/>
      <c r="E222" s="687"/>
      <c r="F222" s="678" t="str">
        <f t="shared" ca="1" si="10"/>
        <v/>
      </c>
      <c r="G222" s="681"/>
      <c r="H222" s="681"/>
    </row>
    <row r="223" spans="1:8" ht="13.8">
      <c r="A223" s="681"/>
      <c r="B223" s="681"/>
      <c r="C223" s="681"/>
      <c r="D223" s="681"/>
      <c r="E223" s="687"/>
      <c r="F223" s="678" t="str">
        <f t="shared" ca="1" si="10"/>
        <v/>
      </c>
      <c r="G223" s="681"/>
      <c r="H223" s="681"/>
    </row>
    <row r="224" spans="1:8" ht="13.8">
      <c r="A224" s="681"/>
      <c r="B224" s="681"/>
      <c r="C224" s="681"/>
      <c r="D224" s="681"/>
      <c r="E224" s="687"/>
      <c r="F224" s="678" t="str">
        <f t="shared" ca="1" si="10"/>
        <v/>
      </c>
      <c r="G224" s="681"/>
      <c r="H224" s="681"/>
    </row>
    <row r="225" spans="1:8" ht="13.8">
      <c r="A225" s="681"/>
      <c r="B225" s="681"/>
      <c r="C225" s="681"/>
      <c r="D225" s="681"/>
      <c r="E225" s="687"/>
      <c r="F225" s="678" t="str">
        <f t="shared" ca="1" si="10"/>
        <v/>
      </c>
      <c r="G225" s="681"/>
      <c r="H225" s="681"/>
    </row>
    <row r="226" spans="1:8" ht="13.8">
      <c r="A226" s="681"/>
      <c r="B226" s="681"/>
      <c r="C226" s="681"/>
      <c r="D226" s="681"/>
      <c r="E226" s="687"/>
      <c r="F226" s="678" t="str">
        <f t="shared" ca="1" si="10"/>
        <v/>
      </c>
      <c r="G226" s="681"/>
      <c r="H226" s="681"/>
    </row>
    <row r="227" spans="1:8" ht="13.8">
      <c r="A227" s="681"/>
      <c r="B227" s="681"/>
      <c r="C227" s="681"/>
      <c r="D227" s="681"/>
      <c r="E227" s="687"/>
      <c r="F227" s="678" t="str">
        <f t="shared" ca="1" si="10"/>
        <v/>
      </c>
      <c r="G227" s="681"/>
      <c r="H227" s="681"/>
    </row>
    <row r="228" spans="1:8" ht="13.8">
      <c r="A228" s="681"/>
      <c r="B228" s="681"/>
      <c r="C228" s="681"/>
      <c r="D228" s="681"/>
      <c r="E228" s="687"/>
      <c r="F228" s="678" t="str">
        <f t="shared" ca="1" si="10"/>
        <v/>
      </c>
      <c r="G228" s="681"/>
      <c r="H228" s="681"/>
    </row>
    <row r="229" spans="1:8" ht="13.8">
      <c r="A229" s="681"/>
      <c r="B229" s="681"/>
      <c r="C229" s="681"/>
      <c r="D229" s="681"/>
      <c r="E229" s="687"/>
      <c r="F229" s="678" t="str">
        <f t="shared" ca="1" si="10"/>
        <v/>
      </c>
      <c r="G229" s="681"/>
      <c r="H229" s="681"/>
    </row>
    <row r="230" spans="1:8" ht="13.8">
      <c r="A230" s="681"/>
      <c r="B230" s="681"/>
      <c r="C230" s="681"/>
      <c r="D230" s="681"/>
      <c r="E230" s="687"/>
      <c r="F230" s="678" t="str">
        <f t="shared" ca="1" si="10"/>
        <v/>
      </c>
      <c r="G230" s="681"/>
      <c r="H230" s="681"/>
    </row>
    <row r="231" spans="1:8" ht="13.8">
      <c r="A231" s="681"/>
      <c r="B231" s="681"/>
      <c r="C231" s="681"/>
      <c r="D231" s="681"/>
      <c r="E231" s="687"/>
      <c r="F231" s="678" t="str">
        <f t="shared" ca="1" si="10"/>
        <v/>
      </c>
      <c r="G231" s="681"/>
      <c r="H231" s="681"/>
    </row>
    <row r="232" spans="1:8" ht="13.8">
      <c r="A232" s="681"/>
      <c r="B232" s="681"/>
      <c r="C232" s="681"/>
      <c r="D232" s="681"/>
      <c r="E232" s="687"/>
      <c r="F232" s="678" t="str">
        <f t="shared" ca="1" si="10"/>
        <v/>
      </c>
      <c r="G232" s="681"/>
      <c r="H232" s="681"/>
    </row>
    <row r="233" spans="1:8" ht="13.8">
      <c r="A233" s="681"/>
      <c r="B233" s="681"/>
      <c r="C233" s="681"/>
      <c r="D233" s="681"/>
      <c r="E233" s="687"/>
      <c r="F233" s="678" t="str">
        <f t="shared" ca="1" si="10"/>
        <v/>
      </c>
      <c r="G233" s="681"/>
      <c r="H233" s="681"/>
    </row>
    <row r="234" spans="1:8" ht="13.8">
      <c r="A234" s="681"/>
      <c r="B234" s="681"/>
      <c r="C234" s="681"/>
      <c r="D234" s="681"/>
      <c r="E234" s="687"/>
      <c r="F234" s="678" t="str">
        <f t="shared" ca="1" si="10"/>
        <v/>
      </c>
      <c r="G234" s="681"/>
      <c r="H234" s="681"/>
    </row>
    <row r="235" spans="1:8" ht="13.8">
      <c r="A235" s="681"/>
      <c r="B235" s="681"/>
      <c r="C235" s="681"/>
      <c r="D235" s="681"/>
      <c r="E235" s="687"/>
      <c r="F235" s="678" t="str">
        <f t="shared" ca="1" si="10"/>
        <v/>
      </c>
      <c r="G235" s="681"/>
      <c r="H235" s="681"/>
    </row>
    <row r="236" spans="1:8" ht="13.8">
      <c r="A236" s="681"/>
      <c r="B236" s="681"/>
      <c r="C236" s="681"/>
      <c r="D236" s="681"/>
      <c r="E236" s="687"/>
      <c r="F236" s="678" t="str">
        <f t="shared" ca="1" si="10"/>
        <v/>
      </c>
      <c r="G236" s="681"/>
      <c r="H236" s="681"/>
    </row>
    <row r="237" spans="1:8" ht="13.8">
      <c r="A237" s="681"/>
      <c r="B237" s="681"/>
      <c r="C237" s="681"/>
      <c r="D237" s="681"/>
      <c r="E237" s="687"/>
      <c r="F237" s="678" t="str">
        <f t="shared" ca="1" si="10"/>
        <v/>
      </c>
      <c r="G237" s="681"/>
      <c r="H237" s="681"/>
    </row>
    <row r="238" spans="1:8" ht="13.8">
      <c r="A238" s="681"/>
      <c r="B238" s="681"/>
      <c r="C238" s="681"/>
      <c r="D238" s="681"/>
      <c r="E238" s="687"/>
      <c r="F238" s="678" t="str">
        <f t="shared" ca="1" si="10"/>
        <v/>
      </c>
      <c r="G238" s="681"/>
      <c r="H238" s="681"/>
    </row>
    <row r="239" spans="1:8" ht="13.8">
      <c r="A239" s="681"/>
      <c r="B239" s="681"/>
      <c r="C239" s="681"/>
      <c r="D239" s="681"/>
      <c r="E239" s="687"/>
      <c r="F239" s="678" t="str">
        <f t="shared" ca="1" si="10"/>
        <v/>
      </c>
      <c r="G239" s="681"/>
      <c r="H239" s="681"/>
    </row>
    <row r="240" spans="1:8" ht="13.8">
      <c r="A240" s="681"/>
      <c r="B240" s="681"/>
      <c r="C240" s="681"/>
      <c r="D240" s="681"/>
      <c r="E240" s="687"/>
      <c r="F240" s="678" t="str">
        <f t="shared" ca="1" si="10"/>
        <v/>
      </c>
      <c r="G240" s="681"/>
      <c r="H240" s="681"/>
    </row>
    <row r="241" spans="1:8" ht="13.8">
      <c r="A241" s="681"/>
      <c r="B241" s="681"/>
      <c r="C241" s="681"/>
      <c r="D241" s="681"/>
      <c r="E241" s="687"/>
      <c r="F241" s="678" t="str">
        <f t="shared" ca="1" si="10"/>
        <v/>
      </c>
      <c r="G241" s="681"/>
      <c r="H241" s="681"/>
    </row>
    <row r="242" spans="1:8" ht="13.8">
      <c r="A242" s="681"/>
      <c r="B242" s="681"/>
      <c r="C242" s="681"/>
      <c r="D242" s="681"/>
      <c r="E242" s="687"/>
      <c r="F242" s="678" t="str">
        <f t="shared" ca="1" si="10"/>
        <v/>
      </c>
      <c r="G242" s="681"/>
      <c r="H242" s="681"/>
    </row>
    <row r="243" spans="1:8" ht="13.8">
      <c r="A243" s="681"/>
      <c r="B243" s="681"/>
      <c r="C243" s="681"/>
      <c r="D243" s="681"/>
      <c r="E243" s="687"/>
      <c r="F243" s="678" t="str">
        <f t="shared" ca="1" si="10"/>
        <v/>
      </c>
      <c r="G243" s="681"/>
      <c r="H243" s="681"/>
    </row>
    <row r="244" spans="1:8" ht="13.8">
      <c r="A244" s="681"/>
      <c r="B244" s="681"/>
      <c r="C244" s="681"/>
      <c r="D244" s="681"/>
      <c r="E244" s="687"/>
      <c r="F244" s="678" t="str">
        <f t="shared" ca="1" si="10"/>
        <v/>
      </c>
      <c r="G244" s="681"/>
      <c r="H244" s="681"/>
    </row>
    <row r="245" spans="1:8" ht="13.8">
      <c r="A245" s="681"/>
      <c r="B245" s="681"/>
      <c r="C245" s="681"/>
      <c r="D245" s="681"/>
      <c r="E245" s="687"/>
      <c r="F245" s="678" t="str">
        <f t="shared" ca="1" si="10"/>
        <v/>
      </c>
      <c r="G245" s="681"/>
      <c r="H245" s="681"/>
    </row>
    <row r="246" spans="1:8" ht="13.8">
      <c r="A246" s="681"/>
      <c r="B246" s="681"/>
      <c r="C246" s="681"/>
      <c r="D246" s="681"/>
      <c r="E246" s="687"/>
      <c r="F246" s="678" t="str">
        <f t="shared" ca="1" si="10"/>
        <v/>
      </c>
      <c r="G246" s="681"/>
      <c r="H246" s="681"/>
    </row>
    <row r="247" spans="1:8" ht="13.8">
      <c r="A247" s="681"/>
      <c r="B247" s="681"/>
      <c r="C247" s="681"/>
      <c r="D247" s="681"/>
      <c r="E247" s="687"/>
      <c r="F247" s="678" t="str">
        <f t="shared" ca="1" si="10"/>
        <v/>
      </c>
      <c r="G247" s="681"/>
      <c r="H247" s="681"/>
    </row>
    <row r="248" spans="1:8" ht="13.8">
      <c r="A248" s="681"/>
      <c r="B248" s="681"/>
      <c r="C248" s="681"/>
      <c r="D248" s="681"/>
      <c r="E248" s="687"/>
      <c r="F248" s="678" t="str">
        <f t="shared" ca="1" si="10"/>
        <v/>
      </c>
      <c r="G248" s="681"/>
      <c r="H248" s="681"/>
    </row>
    <row r="249" spans="1:8" ht="13.8">
      <c r="A249" s="681"/>
      <c r="B249" s="681"/>
      <c r="C249" s="681"/>
      <c r="D249" s="681"/>
      <c r="E249" s="687"/>
      <c r="F249" s="678" t="str">
        <f t="shared" ca="1" si="10"/>
        <v/>
      </c>
      <c r="G249" s="681"/>
      <c r="H249" s="681"/>
    </row>
    <row r="250" spans="1:8" ht="13.8">
      <c r="A250" s="681"/>
      <c r="B250" s="681"/>
      <c r="C250" s="681"/>
      <c r="D250" s="681"/>
      <c r="E250" s="687"/>
      <c r="F250" s="678" t="str">
        <f t="shared" ca="1" si="10"/>
        <v/>
      </c>
      <c r="G250" s="681"/>
      <c r="H250" s="681"/>
    </row>
    <row r="251" spans="1:8" ht="13.8">
      <c r="A251" s="681"/>
      <c r="B251" s="681"/>
      <c r="C251" s="681"/>
      <c r="D251" s="681"/>
      <c r="E251" s="687"/>
      <c r="F251" s="678" t="str">
        <f t="shared" ca="1" si="10"/>
        <v/>
      </c>
      <c r="G251" s="681"/>
      <c r="H251" s="681"/>
    </row>
    <row r="252" spans="1:8" ht="13.8">
      <c r="A252" s="681"/>
      <c r="B252" s="681"/>
      <c r="C252" s="681"/>
      <c r="D252" s="681"/>
      <c r="E252" s="687"/>
      <c r="F252" s="678" t="str">
        <f t="shared" ca="1" si="10"/>
        <v/>
      </c>
      <c r="G252" s="681"/>
      <c r="H252" s="681"/>
    </row>
    <row r="253" spans="1:8" ht="13.8">
      <c r="A253" s="681"/>
      <c r="B253" s="681"/>
      <c r="C253" s="681"/>
      <c r="D253" s="681"/>
      <c r="E253" s="687"/>
      <c r="F253" s="678" t="str">
        <f t="shared" ca="1" si="10"/>
        <v/>
      </c>
      <c r="G253" s="681"/>
      <c r="H253" s="681"/>
    </row>
    <row r="254" spans="1:8" ht="13.8">
      <c r="A254" s="681"/>
      <c r="B254" s="681"/>
      <c r="C254" s="681"/>
      <c r="D254" s="681"/>
      <c r="E254" s="687"/>
      <c r="F254" s="678" t="str">
        <f t="shared" ca="1" si="10"/>
        <v/>
      </c>
      <c r="G254" s="681"/>
      <c r="H254" s="681"/>
    </row>
    <row r="255" spans="1:8" ht="13.8">
      <c r="A255" s="681"/>
      <c r="B255" s="681"/>
      <c r="C255" s="681"/>
      <c r="D255" s="681"/>
      <c r="E255" s="687"/>
      <c r="F255" s="678" t="str">
        <f t="shared" ca="1" si="10"/>
        <v/>
      </c>
      <c r="G255" s="681"/>
      <c r="H255" s="681"/>
    </row>
    <row r="256" spans="1:8" ht="13.8">
      <c r="A256" s="681"/>
      <c r="B256" s="681"/>
      <c r="C256" s="681"/>
      <c r="D256" s="681"/>
      <c r="E256" s="687"/>
      <c r="F256" s="678" t="str">
        <f t="shared" ca="1" si="10"/>
        <v/>
      </c>
      <c r="G256" s="681"/>
      <c r="H256" s="681"/>
    </row>
    <row r="257" spans="1:8" ht="13.8">
      <c r="A257" s="681"/>
      <c r="B257" s="681"/>
      <c r="C257" s="681"/>
      <c r="D257" s="681"/>
      <c r="E257" s="687"/>
      <c r="F257" s="678" t="str">
        <f t="shared" ca="1" si="10"/>
        <v/>
      </c>
      <c r="G257" s="681"/>
      <c r="H257" s="681"/>
    </row>
    <row r="258" spans="1:8" ht="13.8">
      <c r="A258" s="681"/>
      <c r="B258" s="681"/>
      <c r="C258" s="681"/>
      <c r="D258" s="681"/>
      <c r="E258" s="687"/>
      <c r="F258" s="678" t="str">
        <f t="shared" ref="F258:F321" ca="1" si="11">IF(A258="","",IF(A258="gesloten","gesloten",DATEDIF(E258,NOW(),"d")))</f>
        <v/>
      </c>
      <c r="G258" s="681"/>
      <c r="H258" s="681"/>
    </row>
    <row r="259" spans="1:8" ht="13.8">
      <c r="A259" s="681"/>
      <c r="B259" s="681"/>
      <c r="C259" s="681"/>
      <c r="D259" s="681"/>
      <c r="E259" s="687"/>
      <c r="F259" s="678" t="str">
        <f t="shared" ca="1" si="11"/>
        <v/>
      </c>
      <c r="G259" s="681"/>
      <c r="H259" s="681"/>
    </row>
    <row r="260" spans="1:8" ht="13.8">
      <c r="A260" s="681"/>
      <c r="B260" s="681"/>
      <c r="C260" s="681"/>
      <c r="D260" s="681"/>
      <c r="E260" s="687"/>
      <c r="F260" s="678" t="str">
        <f t="shared" ca="1" si="11"/>
        <v/>
      </c>
      <c r="G260" s="681"/>
      <c r="H260" s="681"/>
    </row>
    <row r="261" spans="1:8" ht="13.8">
      <c r="A261" s="681"/>
      <c r="B261" s="681"/>
      <c r="C261" s="681"/>
      <c r="D261" s="681"/>
      <c r="E261" s="687"/>
      <c r="F261" s="678" t="str">
        <f t="shared" ca="1" si="11"/>
        <v/>
      </c>
      <c r="G261" s="681"/>
      <c r="H261" s="681"/>
    </row>
    <row r="262" spans="1:8" ht="13.8">
      <c r="A262" s="681"/>
      <c r="B262" s="681"/>
      <c r="C262" s="681"/>
      <c r="D262" s="681"/>
      <c r="E262" s="687"/>
      <c r="F262" s="678" t="str">
        <f t="shared" ca="1" si="11"/>
        <v/>
      </c>
      <c r="G262" s="681"/>
      <c r="H262" s="681"/>
    </row>
    <row r="263" spans="1:8" ht="13.8">
      <c r="A263" s="681"/>
      <c r="B263" s="681"/>
      <c r="C263" s="681"/>
      <c r="D263" s="681"/>
      <c r="E263" s="687"/>
      <c r="F263" s="678" t="str">
        <f t="shared" ca="1" si="11"/>
        <v/>
      </c>
      <c r="G263" s="681"/>
      <c r="H263" s="681"/>
    </row>
    <row r="264" spans="1:8" ht="13.8">
      <c r="A264" s="681"/>
      <c r="B264" s="681"/>
      <c r="C264" s="681"/>
      <c r="D264" s="681"/>
      <c r="E264" s="687"/>
      <c r="F264" s="678" t="str">
        <f t="shared" ca="1" si="11"/>
        <v/>
      </c>
      <c r="G264" s="681"/>
      <c r="H264" s="681"/>
    </row>
    <row r="265" spans="1:8" ht="13.8">
      <c r="A265" s="681"/>
      <c r="B265" s="681"/>
      <c r="C265" s="681"/>
      <c r="D265" s="681"/>
      <c r="E265" s="687"/>
      <c r="F265" s="678" t="str">
        <f t="shared" ca="1" si="11"/>
        <v/>
      </c>
      <c r="G265" s="681"/>
      <c r="H265" s="681"/>
    </row>
    <row r="266" spans="1:8" ht="13.8">
      <c r="A266" s="681"/>
      <c r="B266" s="681"/>
      <c r="C266" s="681"/>
      <c r="D266" s="681"/>
      <c r="E266" s="687"/>
      <c r="F266" s="678" t="str">
        <f t="shared" ca="1" si="11"/>
        <v/>
      </c>
      <c r="G266" s="681"/>
      <c r="H266" s="681"/>
    </row>
    <row r="267" spans="1:8" ht="13.8">
      <c r="A267" s="681"/>
      <c r="B267" s="681"/>
      <c r="C267" s="681"/>
      <c r="D267" s="681"/>
      <c r="E267" s="687"/>
      <c r="F267" s="678" t="str">
        <f t="shared" ca="1" si="11"/>
        <v/>
      </c>
      <c r="G267" s="681"/>
      <c r="H267" s="681"/>
    </row>
    <row r="268" spans="1:8" ht="13.8">
      <c r="A268" s="681"/>
      <c r="B268" s="681"/>
      <c r="C268" s="681"/>
      <c r="D268" s="681"/>
      <c r="E268" s="687"/>
      <c r="F268" s="678" t="str">
        <f t="shared" ca="1" si="11"/>
        <v/>
      </c>
      <c r="G268" s="681"/>
      <c r="H268" s="681"/>
    </row>
    <row r="269" spans="1:8" ht="13.8">
      <c r="A269" s="681"/>
      <c r="B269" s="681"/>
      <c r="C269" s="681"/>
      <c r="D269" s="681"/>
      <c r="E269" s="687"/>
      <c r="F269" s="678" t="str">
        <f t="shared" ca="1" si="11"/>
        <v/>
      </c>
      <c r="G269" s="681"/>
      <c r="H269" s="681"/>
    </row>
    <row r="270" spans="1:8" ht="13.8">
      <c r="A270" s="681"/>
      <c r="B270" s="681"/>
      <c r="C270" s="681"/>
      <c r="D270" s="681"/>
      <c r="E270" s="687"/>
      <c r="F270" s="678" t="str">
        <f t="shared" ca="1" si="11"/>
        <v/>
      </c>
      <c r="G270" s="681"/>
      <c r="H270" s="681"/>
    </row>
    <row r="271" spans="1:8" ht="13.8">
      <c r="A271" s="681"/>
      <c r="B271" s="681"/>
      <c r="C271" s="681"/>
      <c r="D271" s="681"/>
      <c r="E271" s="687"/>
      <c r="F271" s="678" t="str">
        <f t="shared" ca="1" si="11"/>
        <v/>
      </c>
      <c r="G271" s="681"/>
      <c r="H271" s="681"/>
    </row>
    <row r="272" spans="1:8" ht="13.8">
      <c r="A272" s="681"/>
      <c r="B272" s="681"/>
      <c r="C272" s="681"/>
      <c r="D272" s="681"/>
      <c r="E272" s="687"/>
      <c r="F272" s="678" t="str">
        <f t="shared" ca="1" si="11"/>
        <v/>
      </c>
      <c r="G272" s="681"/>
      <c r="H272" s="681"/>
    </row>
    <row r="273" spans="1:8" ht="13.8">
      <c r="A273" s="681"/>
      <c r="B273" s="681"/>
      <c r="C273" s="681"/>
      <c r="D273" s="681"/>
      <c r="E273" s="687"/>
      <c r="F273" s="678" t="str">
        <f t="shared" ca="1" si="11"/>
        <v/>
      </c>
      <c r="G273" s="681"/>
      <c r="H273" s="681"/>
    </row>
    <row r="274" spans="1:8" ht="13.8">
      <c r="A274" s="681"/>
      <c r="B274" s="681"/>
      <c r="C274" s="681"/>
      <c r="D274" s="681"/>
      <c r="E274" s="687"/>
      <c r="F274" s="678" t="str">
        <f t="shared" ca="1" si="11"/>
        <v/>
      </c>
      <c r="G274" s="681"/>
      <c r="H274" s="681"/>
    </row>
    <row r="275" spans="1:8" ht="13.8">
      <c r="A275" s="681"/>
      <c r="B275" s="681"/>
      <c r="C275" s="681"/>
      <c r="D275" s="681"/>
      <c r="E275" s="687"/>
      <c r="F275" s="678" t="str">
        <f t="shared" ca="1" si="11"/>
        <v/>
      </c>
      <c r="G275" s="681"/>
      <c r="H275" s="681"/>
    </row>
    <row r="276" spans="1:8" ht="13.8">
      <c r="A276" s="681"/>
      <c r="B276" s="681"/>
      <c r="C276" s="681"/>
      <c r="D276" s="681"/>
      <c r="E276" s="687"/>
      <c r="F276" s="678" t="str">
        <f t="shared" ca="1" si="11"/>
        <v/>
      </c>
      <c r="G276" s="681"/>
      <c r="H276" s="681"/>
    </row>
    <row r="277" spans="1:8" ht="13.8">
      <c r="A277" s="681"/>
      <c r="B277" s="681"/>
      <c r="C277" s="681"/>
      <c r="D277" s="681"/>
      <c r="E277" s="687"/>
      <c r="F277" s="678" t="str">
        <f t="shared" ca="1" si="11"/>
        <v/>
      </c>
      <c r="G277" s="681"/>
      <c r="H277" s="681"/>
    </row>
    <row r="278" spans="1:8" ht="13.8">
      <c r="A278" s="681"/>
      <c r="B278" s="681"/>
      <c r="C278" s="681"/>
      <c r="D278" s="681"/>
      <c r="E278" s="687"/>
      <c r="F278" s="678" t="str">
        <f t="shared" ca="1" si="11"/>
        <v/>
      </c>
      <c r="G278" s="681"/>
      <c r="H278" s="681"/>
    </row>
    <row r="279" spans="1:8" ht="13.8">
      <c r="A279" s="681"/>
      <c r="B279" s="681"/>
      <c r="C279" s="681"/>
      <c r="D279" s="681"/>
      <c r="E279" s="687"/>
      <c r="F279" s="678" t="str">
        <f t="shared" ca="1" si="11"/>
        <v/>
      </c>
      <c r="G279" s="681"/>
      <c r="H279" s="681"/>
    </row>
    <row r="280" spans="1:8" ht="13.8">
      <c r="A280" s="681"/>
      <c r="B280" s="681"/>
      <c r="C280" s="681"/>
      <c r="D280" s="681"/>
      <c r="E280" s="687"/>
      <c r="F280" s="678" t="str">
        <f t="shared" ca="1" si="11"/>
        <v/>
      </c>
      <c r="G280" s="681"/>
      <c r="H280" s="681"/>
    </row>
    <row r="281" spans="1:8" ht="13.8">
      <c r="A281" s="681"/>
      <c r="B281" s="681"/>
      <c r="C281" s="681"/>
      <c r="D281" s="681"/>
      <c r="E281" s="687"/>
      <c r="F281" s="678" t="str">
        <f t="shared" ca="1" si="11"/>
        <v/>
      </c>
      <c r="G281" s="681"/>
      <c r="H281" s="681"/>
    </row>
    <row r="282" spans="1:8" ht="13.8">
      <c r="A282" s="681"/>
      <c r="B282" s="681"/>
      <c r="C282" s="681"/>
      <c r="D282" s="681"/>
      <c r="E282" s="687"/>
      <c r="F282" s="678" t="str">
        <f t="shared" ca="1" si="11"/>
        <v/>
      </c>
      <c r="G282" s="681"/>
      <c r="H282" s="681"/>
    </row>
    <row r="283" spans="1:8" ht="13.8">
      <c r="A283" s="681"/>
      <c r="B283" s="681"/>
      <c r="C283" s="681"/>
      <c r="D283" s="681"/>
      <c r="E283" s="687"/>
      <c r="F283" s="678" t="str">
        <f t="shared" ca="1" si="11"/>
        <v/>
      </c>
      <c r="G283" s="681"/>
      <c r="H283" s="681"/>
    </row>
    <row r="284" spans="1:8" ht="13.8">
      <c r="A284" s="681"/>
      <c r="B284" s="681"/>
      <c r="C284" s="681"/>
      <c r="D284" s="681"/>
      <c r="E284" s="687"/>
      <c r="F284" s="678" t="str">
        <f t="shared" ca="1" si="11"/>
        <v/>
      </c>
      <c r="G284" s="681"/>
      <c r="H284" s="681"/>
    </row>
    <row r="285" spans="1:8" ht="13.8">
      <c r="A285" s="681"/>
      <c r="B285" s="681"/>
      <c r="C285" s="681"/>
      <c r="D285" s="681"/>
      <c r="E285" s="687"/>
      <c r="F285" s="678" t="str">
        <f t="shared" ca="1" si="11"/>
        <v/>
      </c>
      <c r="G285" s="681"/>
      <c r="H285" s="681"/>
    </row>
    <row r="286" spans="1:8" ht="13.8">
      <c r="A286" s="681"/>
      <c r="B286" s="681"/>
      <c r="C286" s="681"/>
      <c r="D286" s="681"/>
      <c r="E286" s="687"/>
      <c r="F286" s="678" t="str">
        <f t="shared" ca="1" si="11"/>
        <v/>
      </c>
      <c r="G286" s="681"/>
      <c r="H286" s="681"/>
    </row>
    <row r="287" spans="1:8" ht="13.8">
      <c r="A287" s="681"/>
      <c r="B287" s="681"/>
      <c r="C287" s="681"/>
      <c r="D287" s="681"/>
      <c r="E287" s="687"/>
      <c r="F287" s="678" t="str">
        <f t="shared" ca="1" si="11"/>
        <v/>
      </c>
      <c r="G287" s="681"/>
      <c r="H287" s="681"/>
    </row>
    <row r="288" spans="1:8" ht="13.8">
      <c r="A288" s="681"/>
      <c r="B288" s="681"/>
      <c r="C288" s="681"/>
      <c r="D288" s="681"/>
      <c r="E288" s="687"/>
      <c r="F288" s="678" t="str">
        <f t="shared" ca="1" si="11"/>
        <v/>
      </c>
      <c r="G288" s="681"/>
      <c r="H288" s="681"/>
    </row>
    <row r="289" spans="1:8" ht="13.8">
      <c r="A289" s="681"/>
      <c r="B289" s="681"/>
      <c r="C289" s="681"/>
      <c r="D289" s="681"/>
      <c r="E289" s="687"/>
      <c r="F289" s="678" t="str">
        <f t="shared" ca="1" si="11"/>
        <v/>
      </c>
      <c r="G289" s="681"/>
      <c r="H289" s="681"/>
    </row>
    <row r="290" spans="1:8" ht="13.8">
      <c r="A290" s="681"/>
      <c r="B290" s="681"/>
      <c r="C290" s="681"/>
      <c r="D290" s="681"/>
      <c r="E290" s="687"/>
      <c r="F290" s="678" t="str">
        <f t="shared" ca="1" si="11"/>
        <v/>
      </c>
      <c r="G290" s="681"/>
      <c r="H290" s="681"/>
    </row>
    <row r="291" spans="1:8" ht="13.8">
      <c r="A291" s="681"/>
      <c r="B291" s="681"/>
      <c r="C291" s="681"/>
      <c r="D291" s="681"/>
      <c r="E291" s="687"/>
      <c r="F291" s="678" t="str">
        <f t="shared" ca="1" si="11"/>
        <v/>
      </c>
      <c r="G291" s="681"/>
      <c r="H291" s="681"/>
    </row>
    <row r="292" spans="1:8" ht="13.8">
      <c r="A292" s="681"/>
      <c r="B292" s="681"/>
      <c r="C292" s="681"/>
      <c r="D292" s="681"/>
      <c r="E292" s="687"/>
      <c r="F292" s="678" t="str">
        <f t="shared" ca="1" si="11"/>
        <v/>
      </c>
      <c r="G292" s="681"/>
      <c r="H292" s="681"/>
    </row>
    <row r="293" spans="1:8" ht="13.8">
      <c r="A293" s="681"/>
      <c r="B293" s="681"/>
      <c r="C293" s="681"/>
      <c r="D293" s="681"/>
      <c r="E293" s="687"/>
      <c r="F293" s="678" t="str">
        <f t="shared" ca="1" si="11"/>
        <v/>
      </c>
      <c r="G293" s="681"/>
      <c r="H293" s="681"/>
    </row>
    <row r="294" spans="1:8" ht="13.8">
      <c r="A294" s="681"/>
      <c r="B294" s="681"/>
      <c r="C294" s="681"/>
      <c r="D294" s="681"/>
      <c r="E294" s="687"/>
      <c r="F294" s="678" t="str">
        <f t="shared" ca="1" si="11"/>
        <v/>
      </c>
      <c r="G294" s="681"/>
      <c r="H294" s="681"/>
    </row>
    <row r="295" spans="1:8" ht="13.8">
      <c r="A295" s="681"/>
      <c r="B295" s="681"/>
      <c r="C295" s="681"/>
      <c r="D295" s="681"/>
      <c r="E295" s="687"/>
      <c r="F295" s="678" t="str">
        <f t="shared" ca="1" si="11"/>
        <v/>
      </c>
      <c r="G295" s="681"/>
      <c r="H295" s="681"/>
    </row>
    <row r="296" spans="1:8" ht="13.8">
      <c r="A296" s="681"/>
      <c r="B296" s="681"/>
      <c r="C296" s="681"/>
      <c r="D296" s="681"/>
      <c r="E296" s="687"/>
      <c r="F296" s="678" t="str">
        <f t="shared" ca="1" si="11"/>
        <v/>
      </c>
      <c r="G296" s="681"/>
      <c r="H296" s="681"/>
    </row>
    <row r="297" spans="1:8" ht="13.8">
      <c r="A297" s="681"/>
      <c r="B297" s="681"/>
      <c r="C297" s="681"/>
      <c r="D297" s="681"/>
      <c r="E297" s="687"/>
      <c r="F297" s="678" t="str">
        <f t="shared" ca="1" si="11"/>
        <v/>
      </c>
      <c r="G297" s="681"/>
      <c r="H297" s="681"/>
    </row>
    <row r="298" spans="1:8" ht="13.8">
      <c r="A298" s="681"/>
      <c r="B298" s="681"/>
      <c r="C298" s="681"/>
      <c r="D298" s="681"/>
      <c r="E298" s="687"/>
      <c r="F298" s="678" t="str">
        <f t="shared" ca="1" si="11"/>
        <v/>
      </c>
      <c r="G298" s="681"/>
      <c r="H298" s="681"/>
    </row>
    <row r="299" spans="1:8" ht="13.8">
      <c r="A299" s="681"/>
      <c r="B299" s="681"/>
      <c r="C299" s="681"/>
      <c r="D299" s="681"/>
      <c r="E299" s="687"/>
      <c r="F299" s="678" t="str">
        <f t="shared" ca="1" si="11"/>
        <v/>
      </c>
      <c r="G299" s="681"/>
      <c r="H299" s="681"/>
    </row>
    <row r="300" spans="1:8" ht="13.8">
      <c r="A300" s="681"/>
      <c r="B300" s="681"/>
      <c r="C300" s="681"/>
      <c r="D300" s="681"/>
      <c r="E300" s="687"/>
      <c r="F300" s="678" t="str">
        <f t="shared" ca="1" si="11"/>
        <v/>
      </c>
      <c r="G300" s="681"/>
      <c r="H300" s="681"/>
    </row>
    <row r="301" spans="1:8" ht="13.8">
      <c r="A301" s="681"/>
      <c r="B301" s="681"/>
      <c r="C301" s="681"/>
      <c r="D301" s="681"/>
      <c r="E301" s="687"/>
      <c r="F301" s="678" t="str">
        <f t="shared" ca="1" si="11"/>
        <v/>
      </c>
      <c r="G301" s="681"/>
      <c r="H301" s="681"/>
    </row>
    <row r="302" spans="1:8" ht="13.8">
      <c r="A302" s="681"/>
      <c r="B302" s="681"/>
      <c r="C302" s="681"/>
      <c r="D302" s="681"/>
      <c r="E302" s="687"/>
      <c r="F302" s="678" t="str">
        <f t="shared" ca="1" si="11"/>
        <v/>
      </c>
      <c r="G302" s="681"/>
      <c r="H302" s="681"/>
    </row>
    <row r="303" spans="1:8" ht="13.8">
      <c r="A303" s="681"/>
      <c r="B303" s="681"/>
      <c r="C303" s="681"/>
      <c r="D303" s="681"/>
      <c r="E303" s="687"/>
      <c r="F303" s="678" t="str">
        <f t="shared" ca="1" si="11"/>
        <v/>
      </c>
      <c r="G303" s="681"/>
      <c r="H303" s="681"/>
    </row>
    <row r="304" spans="1:8" ht="13.8">
      <c r="A304" s="681"/>
      <c r="B304" s="681"/>
      <c r="C304" s="681"/>
      <c r="D304" s="681"/>
      <c r="E304" s="687"/>
      <c r="F304" s="678" t="str">
        <f t="shared" ca="1" si="11"/>
        <v/>
      </c>
      <c r="G304" s="681"/>
      <c r="H304" s="681"/>
    </row>
    <row r="305" spans="1:8" ht="13.8">
      <c r="A305" s="681"/>
      <c r="B305" s="681"/>
      <c r="C305" s="681"/>
      <c r="D305" s="681"/>
      <c r="E305" s="687"/>
      <c r="F305" s="678" t="str">
        <f t="shared" ca="1" si="11"/>
        <v/>
      </c>
      <c r="G305" s="681"/>
      <c r="H305" s="681"/>
    </row>
    <row r="306" spans="1:8" ht="13.8">
      <c r="A306" s="681"/>
      <c r="B306" s="681"/>
      <c r="C306" s="681"/>
      <c r="D306" s="681"/>
      <c r="E306" s="687"/>
      <c r="F306" s="678" t="str">
        <f t="shared" ca="1" si="11"/>
        <v/>
      </c>
      <c r="G306" s="681"/>
      <c r="H306" s="681"/>
    </row>
    <row r="307" spans="1:8" ht="13.8">
      <c r="A307" s="681"/>
      <c r="B307" s="681"/>
      <c r="C307" s="681"/>
      <c r="D307" s="681"/>
      <c r="E307" s="687"/>
      <c r="F307" s="678" t="str">
        <f t="shared" ca="1" si="11"/>
        <v/>
      </c>
      <c r="G307" s="681"/>
      <c r="H307" s="681"/>
    </row>
    <row r="308" spans="1:8" ht="13.8">
      <c r="A308" s="681"/>
      <c r="B308" s="681"/>
      <c r="C308" s="681"/>
      <c r="D308" s="681"/>
      <c r="E308" s="687"/>
      <c r="F308" s="678" t="str">
        <f t="shared" ca="1" si="11"/>
        <v/>
      </c>
      <c r="G308" s="681"/>
      <c r="H308" s="681"/>
    </row>
    <row r="309" spans="1:8" ht="13.8">
      <c r="A309" s="681"/>
      <c r="B309" s="681"/>
      <c r="C309" s="681"/>
      <c r="D309" s="681"/>
      <c r="E309" s="687"/>
      <c r="F309" s="678" t="str">
        <f t="shared" ca="1" si="11"/>
        <v/>
      </c>
      <c r="G309" s="681"/>
      <c r="H309" s="681"/>
    </row>
    <row r="310" spans="1:8" ht="13.8">
      <c r="A310" s="681"/>
      <c r="B310" s="681"/>
      <c r="C310" s="681"/>
      <c r="D310" s="681"/>
      <c r="E310" s="687"/>
      <c r="F310" s="678" t="str">
        <f t="shared" ca="1" si="11"/>
        <v/>
      </c>
      <c r="G310" s="681"/>
      <c r="H310" s="681"/>
    </row>
    <row r="311" spans="1:8" ht="13.8">
      <c r="A311" s="681"/>
      <c r="B311" s="681"/>
      <c r="C311" s="681"/>
      <c r="D311" s="681"/>
      <c r="E311" s="687"/>
      <c r="F311" s="678" t="str">
        <f t="shared" ca="1" si="11"/>
        <v/>
      </c>
      <c r="G311" s="681"/>
      <c r="H311" s="681"/>
    </row>
    <row r="312" spans="1:8" ht="13.8">
      <c r="A312" s="681"/>
      <c r="B312" s="681"/>
      <c r="C312" s="681"/>
      <c r="D312" s="681"/>
      <c r="E312" s="687"/>
      <c r="F312" s="678" t="str">
        <f t="shared" ca="1" si="11"/>
        <v/>
      </c>
      <c r="G312" s="681"/>
      <c r="H312" s="681"/>
    </row>
    <row r="313" spans="1:8" ht="13.8">
      <c r="A313" s="681"/>
      <c r="B313" s="681"/>
      <c r="C313" s="681"/>
      <c r="D313" s="681"/>
      <c r="E313" s="687"/>
      <c r="F313" s="678" t="str">
        <f t="shared" ca="1" si="11"/>
        <v/>
      </c>
      <c r="G313" s="681"/>
      <c r="H313" s="681"/>
    </row>
    <row r="314" spans="1:8" ht="13.8">
      <c r="A314" s="681"/>
      <c r="B314" s="681"/>
      <c r="C314" s="681"/>
      <c r="D314" s="681"/>
      <c r="E314" s="687"/>
      <c r="F314" s="678" t="str">
        <f t="shared" ca="1" si="11"/>
        <v/>
      </c>
      <c r="G314" s="681"/>
      <c r="H314" s="681"/>
    </row>
    <row r="315" spans="1:8" ht="13.8">
      <c r="A315" s="681"/>
      <c r="B315" s="681"/>
      <c r="C315" s="681"/>
      <c r="D315" s="681"/>
      <c r="E315" s="687"/>
      <c r="F315" s="678" t="str">
        <f t="shared" ca="1" si="11"/>
        <v/>
      </c>
      <c r="G315" s="681"/>
      <c r="H315" s="681"/>
    </row>
    <row r="316" spans="1:8" ht="13.8">
      <c r="A316" s="681"/>
      <c r="B316" s="681"/>
      <c r="C316" s="681"/>
      <c r="D316" s="681"/>
      <c r="E316" s="687"/>
      <c r="F316" s="678" t="str">
        <f t="shared" ca="1" si="11"/>
        <v/>
      </c>
      <c r="G316" s="681"/>
      <c r="H316" s="681"/>
    </row>
    <row r="317" spans="1:8" ht="13.8">
      <c r="A317" s="681"/>
      <c r="B317" s="681"/>
      <c r="C317" s="681"/>
      <c r="D317" s="681"/>
      <c r="E317" s="687"/>
      <c r="F317" s="678" t="str">
        <f t="shared" ca="1" si="11"/>
        <v/>
      </c>
      <c r="G317" s="681"/>
      <c r="H317" s="681"/>
    </row>
    <row r="318" spans="1:8" ht="13.8">
      <c r="A318" s="681"/>
      <c r="B318" s="681"/>
      <c r="C318" s="681"/>
      <c r="D318" s="681"/>
      <c r="E318" s="687"/>
      <c r="F318" s="678" t="str">
        <f t="shared" ca="1" si="11"/>
        <v/>
      </c>
      <c r="G318" s="681"/>
      <c r="H318" s="681"/>
    </row>
    <row r="319" spans="1:8" ht="13.8">
      <c r="A319" s="681"/>
      <c r="B319" s="681"/>
      <c r="C319" s="681"/>
      <c r="D319" s="681"/>
      <c r="E319" s="687"/>
      <c r="F319" s="678" t="str">
        <f t="shared" ca="1" si="11"/>
        <v/>
      </c>
      <c r="G319" s="681"/>
      <c r="H319" s="681"/>
    </row>
    <row r="320" spans="1:8" ht="13.8">
      <c r="A320" s="681"/>
      <c r="B320" s="681"/>
      <c r="C320" s="681"/>
      <c r="D320" s="681"/>
      <c r="E320" s="687"/>
      <c r="F320" s="678" t="str">
        <f t="shared" ca="1" si="11"/>
        <v/>
      </c>
      <c r="G320" s="681"/>
      <c r="H320" s="681"/>
    </row>
    <row r="321" spans="1:8" ht="13.8">
      <c r="A321" s="681"/>
      <c r="B321" s="681"/>
      <c r="C321" s="681"/>
      <c r="D321" s="681"/>
      <c r="E321" s="687"/>
      <c r="F321" s="678" t="str">
        <f t="shared" ca="1" si="11"/>
        <v/>
      </c>
      <c r="G321" s="681"/>
      <c r="H321" s="681"/>
    </row>
    <row r="322" spans="1:8" ht="13.8">
      <c r="A322" s="681"/>
      <c r="B322" s="681"/>
      <c r="C322" s="681"/>
      <c r="D322" s="681"/>
      <c r="E322" s="687"/>
      <c r="F322" s="678" t="str">
        <f t="shared" ref="F322:F385" ca="1" si="12">IF(A322="","",IF(A322="gesloten","gesloten",DATEDIF(E322,NOW(),"d")))</f>
        <v/>
      </c>
      <c r="G322" s="681"/>
      <c r="H322" s="681"/>
    </row>
    <row r="323" spans="1:8" ht="13.8">
      <c r="A323" s="681"/>
      <c r="B323" s="681"/>
      <c r="C323" s="681"/>
      <c r="D323" s="681"/>
      <c r="E323" s="687"/>
      <c r="F323" s="678" t="str">
        <f t="shared" ca="1" si="12"/>
        <v/>
      </c>
      <c r="G323" s="681"/>
      <c r="H323" s="681"/>
    </row>
    <row r="324" spans="1:8" ht="13.8">
      <c r="A324" s="681"/>
      <c r="B324" s="681"/>
      <c r="C324" s="681"/>
      <c r="D324" s="681"/>
      <c r="E324" s="687"/>
      <c r="F324" s="678" t="str">
        <f t="shared" ca="1" si="12"/>
        <v/>
      </c>
      <c r="G324" s="681"/>
      <c r="H324" s="681"/>
    </row>
    <row r="325" spans="1:8" ht="13.8">
      <c r="A325" s="681"/>
      <c r="B325" s="681"/>
      <c r="C325" s="681"/>
      <c r="D325" s="681"/>
      <c r="E325" s="687"/>
      <c r="F325" s="678" t="str">
        <f t="shared" ca="1" si="12"/>
        <v/>
      </c>
      <c r="G325" s="681"/>
      <c r="H325" s="681"/>
    </row>
    <row r="326" spans="1:8" ht="13.8">
      <c r="A326" s="681"/>
      <c r="B326" s="681"/>
      <c r="C326" s="681"/>
      <c r="D326" s="681"/>
      <c r="E326" s="687"/>
      <c r="F326" s="678" t="str">
        <f t="shared" ca="1" si="12"/>
        <v/>
      </c>
      <c r="G326" s="681"/>
      <c r="H326" s="681"/>
    </row>
    <row r="327" spans="1:8" ht="13.8">
      <c r="A327" s="681"/>
      <c r="B327" s="681"/>
      <c r="C327" s="681"/>
      <c r="D327" s="681"/>
      <c r="E327" s="687"/>
      <c r="F327" s="678" t="str">
        <f t="shared" ca="1" si="12"/>
        <v/>
      </c>
      <c r="G327" s="681"/>
      <c r="H327" s="681"/>
    </row>
    <row r="328" spans="1:8" ht="13.8">
      <c r="A328" s="681"/>
      <c r="B328" s="681"/>
      <c r="C328" s="681"/>
      <c r="D328" s="681"/>
      <c r="E328" s="687"/>
      <c r="F328" s="678" t="str">
        <f t="shared" ca="1" si="12"/>
        <v/>
      </c>
      <c r="G328" s="681"/>
      <c r="H328" s="681"/>
    </row>
    <row r="329" spans="1:8" ht="13.8">
      <c r="A329" s="681"/>
      <c r="B329" s="681"/>
      <c r="C329" s="681"/>
      <c r="D329" s="681"/>
      <c r="E329" s="687"/>
      <c r="F329" s="678" t="str">
        <f t="shared" ca="1" si="12"/>
        <v/>
      </c>
      <c r="G329" s="681"/>
      <c r="H329" s="681"/>
    </row>
    <row r="330" spans="1:8" ht="13.8">
      <c r="A330" s="681"/>
      <c r="B330" s="681"/>
      <c r="C330" s="681"/>
      <c r="D330" s="681"/>
      <c r="E330" s="687"/>
      <c r="F330" s="678" t="str">
        <f t="shared" ca="1" si="12"/>
        <v/>
      </c>
      <c r="G330" s="681"/>
      <c r="H330" s="681"/>
    </row>
    <row r="331" spans="1:8" ht="13.8">
      <c r="A331" s="681"/>
      <c r="B331" s="681"/>
      <c r="C331" s="681"/>
      <c r="D331" s="681"/>
      <c r="E331" s="687"/>
      <c r="F331" s="678" t="str">
        <f t="shared" ca="1" si="12"/>
        <v/>
      </c>
      <c r="G331" s="681"/>
      <c r="H331" s="681"/>
    </row>
    <row r="332" spans="1:8" ht="13.8">
      <c r="A332" s="681"/>
      <c r="B332" s="681"/>
      <c r="C332" s="681"/>
      <c r="D332" s="681"/>
      <c r="E332" s="687"/>
      <c r="F332" s="678" t="str">
        <f t="shared" ca="1" si="12"/>
        <v/>
      </c>
      <c r="G332" s="681"/>
      <c r="H332" s="681"/>
    </row>
    <row r="333" spans="1:8" ht="13.8">
      <c r="A333" s="681"/>
      <c r="B333" s="681"/>
      <c r="C333" s="681"/>
      <c r="D333" s="681"/>
      <c r="E333" s="687"/>
      <c r="F333" s="678" t="str">
        <f t="shared" ca="1" si="12"/>
        <v/>
      </c>
      <c r="G333" s="681"/>
      <c r="H333" s="681"/>
    </row>
    <row r="334" spans="1:8" ht="13.8">
      <c r="A334" s="681"/>
      <c r="B334" s="681"/>
      <c r="C334" s="681"/>
      <c r="D334" s="681"/>
      <c r="E334" s="687"/>
      <c r="F334" s="678" t="str">
        <f t="shared" ca="1" si="12"/>
        <v/>
      </c>
      <c r="G334" s="681"/>
      <c r="H334" s="681"/>
    </row>
    <row r="335" spans="1:8" ht="13.8">
      <c r="A335" s="681"/>
      <c r="B335" s="681"/>
      <c r="C335" s="681"/>
      <c r="D335" s="681"/>
      <c r="E335" s="687"/>
      <c r="F335" s="678" t="str">
        <f t="shared" ca="1" si="12"/>
        <v/>
      </c>
      <c r="G335" s="681"/>
      <c r="H335" s="681"/>
    </row>
    <row r="336" spans="1:8" ht="13.8">
      <c r="A336" s="681"/>
      <c r="B336" s="681"/>
      <c r="C336" s="681"/>
      <c r="D336" s="681"/>
      <c r="E336" s="687"/>
      <c r="F336" s="678" t="str">
        <f t="shared" ca="1" si="12"/>
        <v/>
      </c>
      <c r="G336" s="681"/>
      <c r="H336" s="681"/>
    </row>
    <row r="337" spans="1:8" ht="13.8">
      <c r="A337" s="681"/>
      <c r="B337" s="681"/>
      <c r="C337" s="681"/>
      <c r="D337" s="681"/>
      <c r="E337" s="687"/>
      <c r="F337" s="678" t="str">
        <f t="shared" ca="1" si="12"/>
        <v/>
      </c>
      <c r="G337" s="681"/>
      <c r="H337" s="681"/>
    </row>
    <row r="338" spans="1:8" ht="13.8">
      <c r="A338" s="681"/>
      <c r="B338" s="681"/>
      <c r="C338" s="681"/>
      <c r="D338" s="681"/>
      <c r="E338" s="687"/>
      <c r="F338" s="678" t="str">
        <f t="shared" ca="1" si="12"/>
        <v/>
      </c>
      <c r="G338" s="681"/>
      <c r="H338" s="681"/>
    </row>
    <row r="339" spans="1:8" ht="13.8">
      <c r="A339" s="681"/>
      <c r="B339" s="681"/>
      <c r="C339" s="681"/>
      <c r="D339" s="681"/>
      <c r="E339" s="687"/>
      <c r="F339" s="678" t="str">
        <f t="shared" ca="1" si="12"/>
        <v/>
      </c>
      <c r="G339" s="681"/>
      <c r="H339" s="681"/>
    </row>
    <row r="340" spans="1:8" ht="13.8">
      <c r="A340" s="681"/>
      <c r="B340" s="681"/>
      <c r="C340" s="681"/>
      <c r="D340" s="681"/>
      <c r="E340" s="687"/>
      <c r="F340" s="678" t="str">
        <f t="shared" ca="1" si="12"/>
        <v/>
      </c>
      <c r="G340" s="681"/>
      <c r="H340" s="681"/>
    </row>
    <row r="341" spans="1:8" ht="13.8">
      <c r="A341" s="681"/>
      <c r="B341" s="681"/>
      <c r="C341" s="681"/>
      <c r="D341" s="681"/>
      <c r="E341" s="687"/>
      <c r="F341" s="678" t="str">
        <f t="shared" ca="1" si="12"/>
        <v/>
      </c>
      <c r="G341" s="681"/>
      <c r="H341" s="681"/>
    </row>
    <row r="342" spans="1:8" ht="13.8">
      <c r="A342" s="681"/>
      <c r="B342" s="681"/>
      <c r="C342" s="681"/>
      <c r="D342" s="681"/>
      <c r="E342" s="687"/>
      <c r="F342" s="678" t="str">
        <f t="shared" ca="1" si="12"/>
        <v/>
      </c>
      <c r="G342" s="681"/>
      <c r="H342" s="681"/>
    </row>
    <row r="343" spans="1:8" ht="13.8">
      <c r="A343" s="681"/>
      <c r="B343" s="681"/>
      <c r="C343" s="681"/>
      <c r="D343" s="681"/>
      <c r="E343" s="687"/>
      <c r="F343" s="678" t="str">
        <f t="shared" ca="1" si="12"/>
        <v/>
      </c>
      <c r="G343" s="681"/>
      <c r="H343" s="681"/>
    </row>
    <row r="344" spans="1:8" ht="13.8">
      <c r="A344" s="681"/>
      <c r="B344" s="681"/>
      <c r="C344" s="681"/>
      <c r="D344" s="681"/>
      <c r="E344" s="687"/>
      <c r="F344" s="678" t="str">
        <f t="shared" ca="1" si="12"/>
        <v/>
      </c>
      <c r="G344" s="681"/>
      <c r="H344" s="681"/>
    </row>
    <row r="345" spans="1:8" ht="13.8">
      <c r="A345" s="681"/>
      <c r="B345" s="681"/>
      <c r="C345" s="681"/>
      <c r="D345" s="681"/>
      <c r="E345" s="687"/>
      <c r="F345" s="678" t="str">
        <f t="shared" ca="1" si="12"/>
        <v/>
      </c>
      <c r="G345" s="681"/>
      <c r="H345" s="681"/>
    </row>
    <row r="346" spans="1:8" ht="13.8">
      <c r="A346" s="681"/>
      <c r="B346" s="681"/>
      <c r="C346" s="681"/>
      <c r="D346" s="681"/>
      <c r="E346" s="687"/>
      <c r="F346" s="678" t="str">
        <f t="shared" ca="1" si="12"/>
        <v/>
      </c>
      <c r="G346" s="681"/>
      <c r="H346" s="681"/>
    </row>
    <row r="347" spans="1:8" ht="13.8">
      <c r="A347" s="681"/>
      <c r="B347" s="681"/>
      <c r="C347" s="681"/>
      <c r="D347" s="681"/>
      <c r="E347" s="687"/>
      <c r="F347" s="678" t="str">
        <f t="shared" ca="1" si="12"/>
        <v/>
      </c>
      <c r="G347" s="681"/>
      <c r="H347" s="681"/>
    </row>
    <row r="348" spans="1:8" ht="13.8">
      <c r="A348" s="681"/>
      <c r="B348" s="681"/>
      <c r="C348" s="681"/>
      <c r="D348" s="681"/>
      <c r="E348" s="687"/>
      <c r="F348" s="678" t="str">
        <f t="shared" ca="1" si="12"/>
        <v/>
      </c>
      <c r="G348" s="681"/>
      <c r="H348" s="681"/>
    </row>
    <row r="349" spans="1:8" ht="13.8">
      <c r="A349" s="681"/>
      <c r="B349" s="681"/>
      <c r="C349" s="681"/>
      <c r="D349" s="681"/>
      <c r="E349" s="687"/>
      <c r="F349" s="678" t="str">
        <f t="shared" ca="1" si="12"/>
        <v/>
      </c>
      <c r="G349" s="681"/>
      <c r="H349" s="681"/>
    </row>
    <row r="350" spans="1:8" ht="13.8">
      <c r="A350" s="681"/>
      <c r="B350" s="681"/>
      <c r="C350" s="681"/>
      <c r="D350" s="681"/>
      <c r="E350" s="687"/>
      <c r="F350" s="678" t="str">
        <f t="shared" ca="1" si="12"/>
        <v/>
      </c>
      <c r="G350" s="681"/>
      <c r="H350" s="681"/>
    </row>
    <row r="351" spans="1:8" ht="13.8">
      <c r="A351" s="681"/>
      <c r="B351" s="681"/>
      <c r="C351" s="681"/>
      <c r="D351" s="681"/>
      <c r="E351" s="687"/>
      <c r="F351" s="678" t="str">
        <f t="shared" ca="1" si="12"/>
        <v/>
      </c>
      <c r="G351" s="681"/>
      <c r="H351" s="681"/>
    </row>
    <row r="352" spans="1:8" ht="13.8">
      <c r="A352" s="681"/>
      <c r="B352" s="681"/>
      <c r="C352" s="681"/>
      <c r="D352" s="681"/>
      <c r="E352" s="687"/>
      <c r="F352" s="678" t="str">
        <f t="shared" ca="1" si="12"/>
        <v/>
      </c>
      <c r="G352" s="681"/>
      <c r="H352" s="681"/>
    </row>
    <row r="353" spans="1:8" ht="13.8">
      <c r="A353" s="681"/>
      <c r="B353" s="681"/>
      <c r="C353" s="681"/>
      <c r="D353" s="681"/>
      <c r="E353" s="687"/>
      <c r="F353" s="678" t="str">
        <f t="shared" ca="1" si="12"/>
        <v/>
      </c>
      <c r="G353" s="681"/>
      <c r="H353" s="681"/>
    </row>
    <row r="354" spans="1:8" ht="13.8">
      <c r="A354" s="681"/>
      <c r="B354" s="681"/>
      <c r="C354" s="681"/>
      <c r="D354" s="681"/>
      <c r="E354" s="687"/>
      <c r="F354" s="678" t="str">
        <f t="shared" ca="1" si="12"/>
        <v/>
      </c>
      <c r="G354" s="681"/>
      <c r="H354" s="681"/>
    </row>
    <row r="355" spans="1:8" ht="13.8">
      <c r="A355" s="681"/>
      <c r="B355" s="681"/>
      <c r="C355" s="681"/>
      <c r="D355" s="681"/>
      <c r="E355" s="687"/>
      <c r="F355" s="678" t="str">
        <f t="shared" ca="1" si="12"/>
        <v/>
      </c>
      <c r="G355" s="681"/>
      <c r="H355" s="681"/>
    </row>
    <row r="356" spans="1:8" ht="13.8">
      <c r="A356" s="681"/>
      <c r="B356" s="681"/>
      <c r="C356" s="681"/>
      <c r="D356" s="681"/>
      <c r="E356" s="687"/>
      <c r="F356" s="678" t="str">
        <f t="shared" ca="1" si="12"/>
        <v/>
      </c>
      <c r="G356" s="681"/>
      <c r="H356" s="681"/>
    </row>
    <row r="357" spans="1:8" ht="13.8">
      <c r="A357" s="681"/>
      <c r="B357" s="681"/>
      <c r="C357" s="681"/>
      <c r="D357" s="681"/>
      <c r="E357" s="687"/>
      <c r="F357" s="678" t="str">
        <f t="shared" ca="1" si="12"/>
        <v/>
      </c>
      <c r="G357" s="681"/>
      <c r="H357" s="681"/>
    </row>
    <row r="358" spans="1:8" ht="13.8">
      <c r="A358" s="681"/>
      <c r="B358" s="681"/>
      <c r="C358" s="681"/>
      <c r="D358" s="681"/>
      <c r="E358" s="687"/>
      <c r="F358" s="678" t="str">
        <f t="shared" ca="1" si="12"/>
        <v/>
      </c>
      <c r="G358" s="681"/>
      <c r="H358" s="681"/>
    </row>
    <row r="359" spans="1:8" ht="13.8">
      <c r="A359" s="681"/>
      <c r="B359" s="681"/>
      <c r="C359" s="681"/>
      <c r="D359" s="681"/>
      <c r="E359" s="687"/>
      <c r="F359" s="678" t="str">
        <f t="shared" ca="1" si="12"/>
        <v/>
      </c>
      <c r="G359" s="681"/>
      <c r="H359" s="681"/>
    </row>
    <row r="360" spans="1:8" ht="13.8">
      <c r="A360" s="681"/>
      <c r="B360" s="681"/>
      <c r="C360" s="681"/>
      <c r="D360" s="681"/>
      <c r="E360" s="687"/>
      <c r="F360" s="678" t="str">
        <f t="shared" ca="1" si="12"/>
        <v/>
      </c>
      <c r="G360" s="681"/>
      <c r="H360" s="681"/>
    </row>
    <row r="361" spans="1:8" ht="13.8">
      <c r="A361" s="681"/>
      <c r="B361" s="681"/>
      <c r="C361" s="681"/>
      <c r="D361" s="681"/>
      <c r="E361" s="687"/>
      <c r="F361" s="678" t="str">
        <f t="shared" ca="1" si="12"/>
        <v/>
      </c>
      <c r="G361" s="681"/>
      <c r="H361" s="681"/>
    </row>
    <row r="362" spans="1:8" ht="13.8">
      <c r="A362" s="681"/>
      <c r="B362" s="681"/>
      <c r="C362" s="681"/>
      <c r="D362" s="681"/>
      <c r="E362" s="687"/>
      <c r="F362" s="678" t="str">
        <f t="shared" ca="1" si="12"/>
        <v/>
      </c>
      <c r="G362" s="681"/>
      <c r="H362" s="681"/>
    </row>
    <row r="363" spans="1:8" ht="13.8">
      <c r="A363" s="681"/>
      <c r="B363" s="681"/>
      <c r="C363" s="681"/>
      <c r="D363" s="681"/>
      <c r="E363" s="687"/>
      <c r="F363" s="678" t="str">
        <f t="shared" ca="1" si="12"/>
        <v/>
      </c>
      <c r="G363" s="681"/>
      <c r="H363" s="681"/>
    </row>
    <row r="364" spans="1:8" ht="13.8">
      <c r="A364" s="681"/>
      <c r="B364" s="681"/>
      <c r="C364" s="681"/>
      <c r="D364" s="681"/>
      <c r="E364" s="687"/>
      <c r="F364" s="678" t="str">
        <f t="shared" ca="1" si="12"/>
        <v/>
      </c>
      <c r="G364" s="681"/>
      <c r="H364" s="681"/>
    </row>
    <row r="365" spans="1:8" ht="13.8">
      <c r="A365" s="681"/>
      <c r="B365" s="681"/>
      <c r="C365" s="681"/>
      <c r="D365" s="681"/>
      <c r="E365" s="687"/>
      <c r="F365" s="678" t="str">
        <f t="shared" ca="1" si="12"/>
        <v/>
      </c>
      <c r="G365" s="681"/>
      <c r="H365" s="681"/>
    </row>
    <row r="366" spans="1:8" ht="13.8">
      <c r="A366" s="681"/>
      <c r="B366" s="681"/>
      <c r="C366" s="681"/>
      <c r="D366" s="681"/>
      <c r="E366" s="687"/>
      <c r="F366" s="678" t="str">
        <f t="shared" ca="1" si="12"/>
        <v/>
      </c>
      <c r="G366" s="681"/>
      <c r="H366" s="681"/>
    </row>
    <row r="367" spans="1:8" ht="13.8">
      <c r="A367" s="681"/>
      <c r="B367" s="681"/>
      <c r="C367" s="681"/>
      <c r="D367" s="681"/>
      <c r="E367" s="687"/>
      <c r="F367" s="678" t="str">
        <f t="shared" ca="1" si="12"/>
        <v/>
      </c>
      <c r="G367" s="681"/>
      <c r="H367" s="681"/>
    </row>
    <row r="368" spans="1:8" ht="13.8">
      <c r="A368" s="681"/>
      <c r="B368" s="681"/>
      <c r="C368" s="681"/>
      <c r="D368" s="681"/>
      <c r="E368" s="687"/>
      <c r="F368" s="678" t="str">
        <f t="shared" ca="1" si="12"/>
        <v/>
      </c>
      <c r="G368" s="681"/>
      <c r="H368" s="681"/>
    </row>
    <row r="369" spans="1:8" ht="13.8">
      <c r="A369" s="681"/>
      <c r="B369" s="681"/>
      <c r="C369" s="681"/>
      <c r="D369" s="681"/>
      <c r="E369" s="687"/>
      <c r="F369" s="678" t="str">
        <f t="shared" ca="1" si="12"/>
        <v/>
      </c>
      <c r="G369" s="681"/>
      <c r="H369" s="681"/>
    </row>
    <row r="370" spans="1:8" ht="13.8">
      <c r="A370" s="681"/>
      <c r="B370" s="681"/>
      <c r="C370" s="681"/>
      <c r="D370" s="681"/>
      <c r="E370" s="687"/>
      <c r="F370" s="678" t="str">
        <f t="shared" ca="1" si="12"/>
        <v/>
      </c>
      <c r="G370" s="681"/>
      <c r="H370" s="681"/>
    </row>
    <row r="371" spans="1:8" ht="13.8">
      <c r="A371" s="681"/>
      <c r="B371" s="681"/>
      <c r="C371" s="681"/>
      <c r="D371" s="681"/>
      <c r="E371" s="687"/>
      <c r="F371" s="678" t="str">
        <f t="shared" ca="1" si="12"/>
        <v/>
      </c>
      <c r="G371" s="681"/>
      <c r="H371" s="681"/>
    </row>
    <row r="372" spans="1:8" ht="13.8">
      <c r="A372" s="681"/>
      <c r="B372" s="681"/>
      <c r="C372" s="681"/>
      <c r="D372" s="681"/>
      <c r="E372" s="687"/>
      <c r="F372" s="678" t="str">
        <f t="shared" ca="1" si="12"/>
        <v/>
      </c>
      <c r="G372" s="681"/>
      <c r="H372" s="681"/>
    </row>
    <row r="373" spans="1:8" ht="13.8">
      <c r="A373" s="681"/>
      <c r="B373" s="681"/>
      <c r="C373" s="681"/>
      <c r="D373" s="681"/>
      <c r="E373" s="687"/>
      <c r="F373" s="678" t="str">
        <f t="shared" ca="1" si="12"/>
        <v/>
      </c>
      <c r="G373" s="681"/>
      <c r="H373" s="681"/>
    </row>
    <row r="374" spans="1:8" ht="13.8">
      <c r="A374" s="681"/>
      <c r="B374" s="681"/>
      <c r="C374" s="681"/>
      <c r="D374" s="681"/>
      <c r="E374" s="687"/>
      <c r="F374" s="678" t="str">
        <f t="shared" ca="1" si="12"/>
        <v/>
      </c>
      <c r="G374" s="681"/>
      <c r="H374" s="681"/>
    </row>
    <row r="375" spans="1:8" ht="13.8">
      <c r="A375" s="681"/>
      <c r="B375" s="681"/>
      <c r="C375" s="681"/>
      <c r="D375" s="681"/>
      <c r="E375" s="687"/>
      <c r="F375" s="678" t="str">
        <f t="shared" ca="1" si="12"/>
        <v/>
      </c>
      <c r="G375" s="681"/>
      <c r="H375" s="681"/>
    </row>
    <row r="376" spans="1:8" ht="13.8">
      <c r="A376" s="681"/>
      <c r="B376" s="681"/>
      <c r="C376" s="681"/>
      <c r="D376" s="681"/>
      <c r="E376" s="687"/>
      <c r="F376" s="678" t="str">
        <f t="shared" ca="1" si="12"/>
        <v/>
      </c>
      <c r="G376" s="681"/>
      <c r="H376" s="681"/>
    </row>
    <row r="377" spans="1:8" ht="13.8">
      <c r="A377" s="681"/>
      <c r="B377" s="681"/>
      <c r="C377" s="681"/>
      <c r="D377" s="681"/>
      <c r="E377" s="687"/>
      <c r="F377" s="678" t="str">
        <f t="shared" ca="1" si="12"/>
        <v/>
      </c>
      <c r="G377" s="681"/>
      <c r="H377" s="681"/>
    </row>
    <row r="378" spans="1:8" ht="13.8">
      <c r="A378" s="681"/>
      <c r="B378" s="681"/>
      <c r="C378" s="681"/>
      <c r="D378" s="681"/>
      <c r="E378" s="687"/>
      <c r="F378" s="678" t="str">
        <f t="shared" ca="1" si="12"/>
        <v/>
      </c>
      <c r="G378" s="681"/>
      <c r="H378" s="681"/>
    </row>
    <row r="379" spans="1:8" ht="13.8">
      <c r="A379" s="681"/>
      <c r="B379" s="681"/>
      <c r="C379" s="681"/>
      <c r="D379" s="681"/>
      <c r="E379" s="687"/>
      <c r="F379" s="678" t="str">
        <f t="shared" ca="1" si="12"/>
        <v/>
      </c>
      <c r="G379" s="681"/>
      <c r="H379" s="681"/>
    </row>
    <row r="380" spans="1:8" ht="13.8">
      <c r="A380" s="681"/>
      <c r="B380" s="681"/>
      <c r="C380" s="681"/>
      <c r="D380" s="681"/>
      <c r="E380" s="687"/>
      <c r="F380" s="678" t="str">
        <f t="shared" ca="1" si="12"/>
        <v/>
      </c>
      <c r="G380" s="681"/>
      <c r="H380" s="681"/>
    </row>
    <row r="381" spans="1:8" ht="13.8">
      <c r="A381" s="681"/>
      <c r="B381" s="681"/>
      <c r="C381" s="681"/>
      <c r="D381" s="681"/>
      <c r="E381" s="687"/>
      <c r="F381" s="678" t="str">
        <f t="shared" ca="1" si="12"/>
        <v/>
      </c>
      <c r="G381" s="681"/>
      <c r="H381" s="681"/>
    </row>
    <row r="382" spans="1:8" ht="13.8">
      <c r="A382" s="681"/>
      <c r="B382" s="681"/>
      <c r="C382" s="681"/>
      <c r="D382" s="681"/>
      <c r="E382" s="687"/>
      <c r="F382" s="678" t="str">
        <f t="shared" ca="1" si="12"/>
        <v/>
      </c>
      <c r="G382" s="681"/>
      <c r="H382" s="681"/>
    </row>
    <row r="383" spans="1:8" ht="13.8">
      <c r="A383" s="681"/>
      <c r="B383" s="681"/>
      <c r="C383" s="681"/>
      <c r="D383" s="681"/>
      <c r="E383" s="687"/>
      <c r="F383" s="678" t="str">
        <f t="shared" ca="1" si="12"/>
        <v/>
      </c>
      <c r="G383" s="681"/>
      <c r="H383" s="681"/>
    </row>
    <row r="384" spans="1:8" ht="13.8">
      <c r="A384" s="681"/>
      <c r="B384" s="681"/>
      <c r="C384" s="681"/>
      <c r="D384" s="681"/>
      <c r="E384" s="687"/>
      <c r="F384" s="678" t="str">
        <f t="shared" ca="1" si="12"/>
        <v/>
      </c>
      <c r="G384" s="681"/>
      <c r="H384" s="681"/>
    </row>
    <row r="385" spans="1:8" ht="13.8">
      <c r="A385" s="681"/>
      <c r="B385" s="681"/>
      <c r="C385" s="681"/>
      <c r="D385" s="681"/>
      <c r="E385" s="687"/>
      <c r="F385" s="678" t="str">
        <f t="shared" ca="1" si="12"/>
        <v/>
      </c>
      <c r="G385" s="681"/>
      <c r="H385" s="681"/>
    </row>
    <row r="386" spans="1:8" ht="13.8">
      <c r="A386" s="681"/>
      <c r="B386" s="681"/>
      <c r="C386" s="681"/>
      <c r="D386" s="681"/>
      <c r="E386" s="687"/>
      <c r="F386" s="678" t="str">
        <f t="shared" ref="F386:F449" ca="1" si="13">IF(A386="","",IF(A386="gesloten","gesloten",DATEDIF(E386,NOW(),"d")))</f>
        <v/>
      </c>
      <c r="G386" s="681"/>
      <c r="H386" s="681"/>
    </row>
    <row r="387" spans="1:8" ht="13.8">
      <c r="A387" s="681"/>
      <c r="B387" s="681"/>
      <c r="C387" s="681"/>
      <c r="D387" s="681"/>
      <c r="E387" s="687"/>
      <c r="F387" s="678" t="str">
        <f t="shared" ca="1" si="13"/>
        <v/>
      </c>
      <c r="G387" s="681"/>
      <c r="H387" s="681"/>
    </row>
    <row r="388" spans="1:8" ht="13.8">
      <c r="A388" s="681"/>
      <c r="B388" s="681"/>
      <c r="C388" s="681"/>
      <c r="D388" s="681"/>
      <c r="E388" s="687"/>
      <c r="F388" s="678" t="str">
        <f t="shared" ca="1" si="13"/>
        <v/>
      </c>
      <c r="G388" s="681"/>
      <c r="H388" s="681"/>
    </row>
    <row r="389" spans="1:8" ht="13.8">
      <c r="A389" s="681"/>
      <c r="B389" s="681"/>
      <c r="C389" s="681"/>
      <c r="D389" s="681"/>
      <c r="E389" s="687"/>
      <c r="F389" s="678" t="str">
        <f t="shared" ca="1" si="13"/>
        <v/>
      </c>
      <c r="G389" s="681"/>
      <c r="H389" s="681"/>
    </row>
    <row r="390" spans="1:8" ht="13.8">
      <c r="A390" s="681"/>
      <c r="B390" s="681"/>
      <c r="C390" s="681"/>
      <c r="D390" s="681"/>
      <c r="E390" s="687"/>
      <c r="F390" s="678" t="str">
        <f t="shared" ca="1" si="13"/>
        <v/>
      </c>
      <c r="G390" s="681"/>
      <c r="H390" s="681"/>
    </row>
    <row r="391" spans="1:8" ht="13.8">
      <c r="A391" s="681"/>
      <c r="B391" s="681"/>
      <c r="C391" s="681"/>
      <c r="D391" s="681"/>
      <c r="E391" s="687"/>
      <c r="F391" s="678" t="str">
        <f t="shared" ca="1" si="13"/>
        <v/>
      </c>
      <c r="G391" s="681"/>
      <c r="H391" s="681"/>
    </row>
    <row r="392" spans="1:8" ht="13.8">
      <c r="A392" s="681"/>
      <c r="B392" s="681"/>
      <c r="C392" s="681"/>
      <c r="D392" s="681"/>
      <c r="E392" s="687"/>
      <c r="F392" s="678" t="str">
        <f t="shared" ca="1" si="13"/>
        <v/>
      </c>
      <c r="G392" s="681"/>
      <c r="H392" s="681"/>
    </row>
    <row r="393" spans="1:8" ht="13.8">
      <c r="A393" s="681"/>
      <c r="B393" s="681"/>
      <c r="C393" s="681"/>
      <c r="D393" s="681"/>
      <c r="E393" s="687"/>
      <c r="F393" s="678" t="str">
        <f t="shared" ca="1" si="13"/>
        <v/>
      </c>
      <c r="G393" s="681"/>
      <c r="H393" s="681"/>
    </row>
    <row r="394" spans="1:8" ht="13.8">
      <c r="A394" s="681"/>
      <c r="B394" s="681"/>
      <c r="C394" s="681"/>
      <c r="D394" s="681"/>
      <c r="E394" s="687"/>
      <c r="F394" s="678" t="str">
        <f t="shared" ca="1" si="13"/>
        <v/>
      </c>
      <c r="G394" s="681"/>
      <c r="H394" s="681"/>
    </row>
    <row r="395" spans="1:8" ht="13.8">
      <c r="A395" s="681"/>
      <c r="B395" s="681"/>
      <c r="C395" s="681"/>
      <c r="D395" s="681"/>
      <c r="E395" s="687"/>
      <c r="F395" s="678" t="str">
        <f t="shared" ca="1" si="13"/>
        <v/>
      </c>
      <c r="G395" s="681"/>
      <c r="H395" s="681"/>
    </row>
    <row r="396" spans="1:8" ht="13.8">
      <c r="A396" s="681"/>
      <c r="B396" s="681"/>
      <c r="C396" s="681"/>
      <c r="D396" s="681"/>
      <c r="E396" s="687"/>
      <c r="F396" s="678" t="str">
        <f t="shared" ca="1" si="13"/>
        <v/>
      </c>
      <c r="G396" s="681"/>
      <c r="H396" s="681"/>
    </row>
    <row r="397" spans="1:8" ht="13.8">
      <c r="A397" s="681"/>
      <c r="B397" s="681"/>
      <c r="C397" s="681"/>
      <c r="D397" s="681"/>
      <c r="E397" s="687"/>
      <c r="F397" s="678" t="str">
        <f t="shared" ca="1" si="13"/>
        <v/>
      </c>
      <c r="G397" s="681"/>
      <c r="H397" s="681"/>
    </row>
    <row r="398" spans="1:8" ht="13.8">
      <c r="A398" s="681"/>
      <c r="B398" s="681"/>
      <c r="C398" s="681"/>
      <c r="D398" s="681"/>
      <c r="E398" s="687"/>
      <c r="F398" s="678" t="str">
        <f t="shared" ca="1" si="13"/>
        <v/>
      </c>
      <c r="G398" s="681"/>
      <c r="H398" s="681"/>
    </row>
    <row r="399" spans="1:8" ht="13.8">
      <c r="A399" s="681"/>
      <c r="B399" s="681"/>
      <c r="C399" s="681"/>
      <c r="D399" s="681"/>
      <c r="E399" s="687"/>
      <c r="F399" s="678" t="str">
        <f t="shared" ca="1" si="13"/>
        <v/>
      </c>
      <c r="G399" s="681"/>
      <c r="H399" s="681"/>
    </row>
    <row r="400" spans="1:8" ht="13.8">
      <c r="A400" s="681"/>
      <c r="B400" s="681"/>
      <c r="C400" s="681"/>
      <c r="D400" s="681"/>
      <c r="E400" s="687"/>
      <c r="F400" s="678" t="str">
        <f t="shared" ca="1" si="13"/>
        <v/>
      </c>
      <c r="G400" s="681"/>
      <c r="H400" s="681"/>
    </row>
    <row r="401" spans="1:8" ht="13.8">
      <c r="A401" s="681"/>
      <c r="B401" s="681"/>
      <c r="C401" s="681"/>
      <c r="D401" s="681"/>
      <c r="E401" s="687"/>
      <c r="F401" s="678" t="str">
        <f t="shared" ca="1" si="13"/>
        <v/>
      </c>
      <c r="G401" s="681"/>
      <c r="H401" s="681"/>
    </row>
    <row r="402" spans="1:8" ht="13.8">
      <c r="A402" s="681"/>
      <c r="B402" s="681"/>
      <c r="C402" s="681"/>
      <c r="D402" s="681"/>
      <c r="E402" s="687"/>
      <c r="F402" s="678" t="str">
        <f t="shared" ca="1" si="13"/>
        <v/>
      </c>
      <c r="G402" s="681"/>
      <c r="H402" s="681"/>
    </row>
    <row r="403" spans="1:8" ht="13.8">
      <c r="A403" s="681"/>
      <c r="B403" s="681"/>
      <c r="C403" s="681"/>
      <c r="D403" s="681"/>
      <c r="E403" s="687"/>
      <c r="F403" s="678" t="str">
        <f t="shared" ca="1" si="13"/>
        <v/>
      </c>
      <c r="G403" s="681"/>
      <c r="H403" s="681"/>
    </row>
    <row r="404" spans="1:8" ht="13.8">
      <c r="A404" s="681"/>
      <c r="B404" s="681"/>
      <c r="C404" s="681"/>
      <c r="D404" s="681"/>
      <c r="E404" s="687"/>
      <c r="F404" s="678" t="str">
        <f t="shared" ca="1" si="13"/>
        <v/>
      </c>
      <c r="G404" s="681"/>
      <c r="H404" s="681"/>
    </row>
    <row r="405" spans="1:8" ht="13.8">
      <c r="A405" s="681"/>
      <c r="B405" s="681"/>
      <c r="C405" s="681"/>
      <c r="D405" s="681"/>
      <c r="E405" s="687"/>
      <c r="F405" s="678" t="str">
        <f t="shared" ca="1" si="13"/>
        <v/>
      </c>
      <c r="G405" s="681"/>
      <c r="H405" s="681"/>
    </row>
    <row r="406" spans="1:8" ht="13.8">
      <c r="A406" s="681"/>
      <c r="B406" s="681"/>
      <c r="C406" s="681"/>
      <c r="D406" s="681"/>
      <c r="E406" s="687"/>
      <c r="F406" s="678" t="str">
        <f t="shared" ca="1" si="13"/>
        <v/>
      </c>
      <c r="G406" s="681"/>
      <c r="H406" s="681"/>
    </row>
    <row r="407" spans="1:8" ht="13.8">
      <c r="A407" s="681"/>
      <c r="B407" s="681"/>
      <c r="C407" s="681"/>
      <c r="D407" s="681"/>
      <c r="E407" s="687"/>
      <c r="F407" s="678" t="str">
        <f t="shared" ca="1" si="13"/>
        <v/>
      </c>
      <c r="G407" s="681"/>
      <c r="H407" s="681"/>
    </row>
    <row r="408" spans="1:8" ht="13.8">
      <c r="A408" s="681"/>
      <c r="B408" s="681"/>
      <c r="C408" s="681"/>
      <c r="D408" s="681"/>
      <c r="E408" s="687"/>
      <c r="F408" s="678" t="str">
        <f t="shared" ca="1" si="13"/>
        <v/>
      </c>
      <c r="G408" s="681"/>
      <c r="H408" s="681"/>
    </row>
    <row r="409" spans="1:8" ht="13.8">
      <c r="A409" s="681"/>
      <c r="B409" s="681"/>
      <c r="C409" s="681"/>
      <c r="D409" s="681"/>
      <c r="E409" s="687"/>
      <c r="F409" s="678" t="str">
        <f t="shared" ca="1" si="13"/>
        <v/>
      </c>
      <c r="G409" s="681"/>
      <c r="H409" s="681"/>
    </row>
    <row r="410" spans="1:8" ht="13.8">
      <c r="A410" s="681"/>
      <c r="B410" s="681"/>
      <c r="C410" s="681"/>
      <c r="D410" s="681"/>
      <c r="E410" s="687"/>
      <c r="F410" s="678" t="str">
        <f t="shared" ca="1" si="13"/>
        <v/>
      </c>
      <c r="G410" s="681"/>
      <c r="H410" s="681"/>
    </row>
    <row r="411" spans="1:8" ht="13.8">
      <c r="A411" s="681"/>
      <c r="B411" s="681"/>
      <c r="C411" s="681"/>
      <c r="D411" s="681"/>
      <c r="E411" s="687"/>
      <c r="F411" s="678" t="str">
        <f t="shared" ca="1" si="13"/>
        <v/>
      </c>
      <c r="G411" s="681"/>
      <c r="H411" s="681"/>
    </row>
    <row r="412" spans="1:8" ht="13.8">
      <c r="A412" s="681"/>
      <c r="B412" s="681"/>
      <c r="C412" s="681"/>
      <c r="D412" s="681"/>
      <c r="E412" s="687"/>
      <c r="F412" s="678" t="str">
        <f t="shared" ca="1" si="13"/>
        <v/>
      </c>
      <c r="G412" s="681"/>
      <c r="H412" s="681"/>
    </row>
    <row r="413" spans="1:8" ht="13.8">
      <c r="A413" s="681"/>
      <c r="B413" s="681"/>
      <c r="C413" s="681"/>
      <c r="D413" s="681"/>
      <c r="E413" s="687"/>
      <c r="F413" s="678" t="str">
        <f t="shared" ca="1" si="13"/>
        <v/>
      </c>
      <c r="G413" s="681"/>
      <c r="H413" s="681"/>
    </row>
    <row r="414" spans="1:8" ht="13.8">
      <c r="A414" s="681"/>
      <c r="B414" s="681"/>
      <c r="C414" s="681"/>
      <c r="D414" s="681"/>
      <c r="E414" s="687"/>
      <c r="F414" s="678" t="str">
        <f t="shared" ca="1" si="13"/>
        <v/>
      </c>
      <c r="G414" s="681"/>
      <c r="H414" s="681"/>
    </row>
    <row r="415" spans="1:8" ht="13.8">
      <c r="A415" s="681"/>
      <c r="B415" s="681"/>
      <c r="C415" s="681"/>
      <c r="D415" s="681"/>
      <c r="E415" s="687"/>
      <c r="F415" s="678" t="str">
        <f t="shared" ca="1" si="13"/>
        <v/>
      </c>
      <c r="G415" s="681"/>
      <c r="H415" s="681"/>
    </row>
    <row r="416" spans="1:8" ht="13.8">
      <c r="A416" s="681"/>
      <c r="B416" s="681"/>
      <c r="C416" s="681"/>
      <c r="D416" s="681"/>
      <c r="E416" s="687"/>
      <c r="F416" s="678" t="str">
        <f t="shared" ca="1" si="13"/>
        <v/>
      </c>
      <c r="G416" s="681"/>
      <c r="H416" s="681"/>
    </row>
    <row r="417" spans="1:8" ht="13.8">
      <c r="A417" s="681"/>
      <c r="B417" s="681"/>
      <c r="C417" s="681"/>
      <c r="D417" s="681"/>
      <c r="E417" s="687"/>
      <c r="F417" s="678" t="str">
        <f t="shared" ca="1" si="13"/>
        <v/>
      </c>
      <c r="G417" s="681"/>
      <c r="H417" s="681"/>
    </row>
    <row r="418" spans="1:8" ht="13.8">
      <c r="A418" s="681"/>
      <c r="B418" s="681"/>
      <c r="C418" s="681"/>
      <c r="D418" s="681"/>
      <c r="E418" s="687"/>
      <c r="F418" s="678" t="str">
        <f t="shared" ca="1" si="13"/>
        <v/>
      </c>
      <c r="G418" s="681"/>
      <c r="H418" s="681"/>
    </row>
    <row r="419" spans="1:8" ht="13.8">
      <c r="A419" s="681"/>
      <c r="B419" s="681"/>
      <c r="C419" s="681"/>
      <c r="D419" s="681"/>
      <c r="E419" s="687"/>
      <c r="F419" s="678" t="str">
        <f t="shared" ca="1" si="13"/>
        <v/>
      </c>
      <c r="G419" s="681"/>
      <c r="H419" s="681"/>
    </row>
    <row r="420" spans="1:8" ht="13.8">
      <c r="A420" s="681"/>
      <c r="B420" s="681"/>
      <c r="C420" s="681"/>
      <c r="D420" s="681"/>
      <c r="E420" s="687"/>
      <c r="F420" s="678" t="str">
        <f t="shared" ca="1" si="13"/>
        <v/>
      </c>
      <c r="G420" s="681"/>
      <c r="H420" s="681"/>
    </row>
    <row r="421" spans="1:8" ht="13.8">
      <c r="A421" s="681"/>
      <c r="B421" s="681"/>
      <c r="C421" s="681"/>
      <c r="D421" s="681"/>
      <c r="E421" s="687"/>
      <c r="F421" s="678" t="str">
        <f t="shared" ca="1" si="13"/>
        <v/>
      </c>
      <c r="G421" s="681"/>
      <c r="H421" s="681"/>
    </row>
    <row r="422" spans="1:8" ht="13.8">
      <c r="A422" s="681"/>
      <c r="B422" s="681"/>
      <c r="C422" s="681"/>
      <c r="D422" s="681"/>
      <c r="E422" s="687"/>
      <c r="F422" s="678" t="str">
        <f t="shared" ca="1" si="13"/>
        <v/>
      </c>
      <c r="G422" s="681"/>
      <c r="H422" s="681"/>
    </row>
    <row r="423" spans="1:8" ht="13.8">
      <c r="A423" s="681"/>
      <c r="B423" s="681"/>
      <c r="C423" s="681"/>
      <c r="D423" s="681"/>
      <c r="E423" s="687"/>
      <c r="F423" s="678" t="str">
        <f t="shared" ca="1" si="13"/>
        <v/>
      </c>
      <c r="G423" s="681"/>
      <c r="H423" s="681"/>
    </row>
    <row r="424" spans="1:8" ht="13.8">
      <c r="A424" s="681"/>
      <c r="B424" s="681"/>
      <c r="C424" s="681"/>
      <c r="D424" s="681"/>
      <c r="E424" s="687"/>
      <c r="F424" s="678" t="str">
        <f t="shared" ca="1" si="13"/>
        <v/>
      </c>
      <c r="G424" s="681"/>
      <c r="H424" s="681"/>
    </row>
    <row r="425" spans="1:8" ht="13.8">
      <c r="A425" s="681"/>
      <c r="B425" s="681"/>
      <c r="C425" s="681"/>
      <c r="D425" s="681"/>
      <c r="E425" s="687"/>
      <c r="F425" s="678" t="str">
        <f t="shared" ca="1" si="13"/>
        <v/>
      </c>
      <c r="G425" s="681"/>
      <c r="H425" s="681"/>
    </row>
    <row r="426" spans="1:8" ht="13.8">
      <c r="A426" s="681"/>
      <c r="B426" s="681"/>
      <c r="C426" s="681"/>
      <c r="D426" s="681"/>
      <c r="E426" s="687"/>
      <c r="F426" s="678" t="str">
        <f t="shared" ca="1" si="13"/>
        <v/>
      </c>
      <c r="G426" s="681"/>
      <c r="H426" s="681"/>
    </row>
    <row r="427" spans="1:8" ht="13.8">
      <c r="A427" s="681"/>
      <c r="B427" s="681"/>
      <c r="C427" s="681"/>
      <c r="D427" s="681"/>
      <c r="E427" s="687"/>
      <c r="F427" s="678" t="str">
        <f t="shared" ca="1" si="13"/>
        <v/>
      </c>
      <c r="G427" s="681"/>
      <c r="H427" s="681"/>
    </row>
    <row r="428" spans="1:8" ht="13.8">
      <c r="A428" s="681"/>
      <c r="B428" s="681"/>
      <c r="C428" s="681"/>
      <c r="D428" s="681"/>
      <c r="E428" s="687"/>
      <c r="F428" s="678" t="str">
        <f t="shared" ca="1" si="13"/>
        <v/>
      </c>
      <c r="G428" s="681"/>
      <c r="H428" s="681"/>
    </row>
    <row r="429" spans="1:8" ht="13.8">
      <c r="A429" s="681"/>
      <c r="B429" s="681"/>
      <c r="C429" s="681"/>
      <c r="D429" s="681"/>
      <c r="E429" s="687"/>
      <c r="F429" s="678" t="str">
        <f t="shared" ca="1" si="13"/>
        <v/>
      </c>
      <c r="G429" s="681"/>
      <c r="H429" s="681"/>
    </row>
    <row r="430" spans="1:8" ht="13.8">
      <c r="A430" s="681"/>
      <c r="B430" s="681"/>
      <c r="C430" s="681"/>
      <c r="D430" s="681"/>
      <c r="E430" s="687"/>
      <c r="F430" s="678" t="str">
        <f t="shared" ca="1" si="13"/>
        <v/>
      </c>
      <c r="G430" s="681"/>
      <c r="H430" s="681"/>
    </row>
    <row r="431" spans="1:8" ht="13.8">
      <c r="A431" s="681"/>
      <c r="B431" s="681"/>
      <c r="C431" s="681"/>
      <c r="D431" s="681"/>
      <c r="E431" s="687"/>
      <c r="F431" s="678" t="str">
        <f t="shared" ca="1" si="13"/>
        <v/>
      </c>
      <c r="G431" s="681"/>
      <c r="H431" s="681"/>
    </row>
    <row r="432" spans="1:8" ht="13.8">
      <c r="A432" s="681"/>
      <c r="B432" s="681"/>
      <c r="C432" s="681"/>
      <c r="D432" s="681"/>
      <c r="E432" s="687"/>
      <c r="F432" s="678" t="str">
        <f t="shared" ca="1" si="13"/>
        <v/>
      </c>
      <c r="G432" s="681"/>
      <c r="H432" s="681"/>
    </row>
    <row r="433" spans="1:8" ht="13.8">
      <c r="A433" s="681"/>
      <c r="B433" s="681"/>
      <c r="C433" s="681"/>
      <c r="D433" s="681"/>
      <c r="E433" s="687"/>
      <c r="F433" s="678" t="str">
        <f t="shared" ca="1" si="13"/>
        <v/>
      </c>
      <c r="G433" s="681"/>
      <c r="H433" s="681"/>
    </row>
    <row r="434" spans="1:8" ht="13.8">
      <c r="A434" s="681"/>
      <c r="B434" s="681"/>
      <c r="C434" s="681"/>
      <c r="D434" s="681"/>
      <c r="E434" s="687"/>
      <c r="F434" s="678" t="str">
        <f t="shared" ca="1" si="13"/>
        <v/>
      </c>
      <c r="G434" s="681"/>
      <c r="H434" s="681"/>
    </row>
    <row r="435" spans="1:8" ht="13.8">
      <c r="A435" s="681"/>
      <c r="B435" s="681"/>
      <c r="C435" s="681"/>
      <c r="D435" s="681"/>
      <c r="E435" s="687"/>
      <c r="F435" s="678" t="str">
        <f t="shared" ca="1" si="13"/>
        <v/>
      </c>
      <c r="G435" s="681"/>
      <c r="H435" s="681"/>
    </row>
    <row r="436" spans="1:8" ht="13.8">
      <c r="A436" s="681"/>
      <c r="B436" s="681"/>
      <c r="C436" s="681"/>
      <c r="D436" s="681"/>
      <c r="E436" s="687"/>
      <c r="F436" s="678" t="str">
        <f t="shared" ca="1" si="13"/>
        <v/>
      </c>
      <c r="G436" s="681"/>
      <c r="H436" s="681"/>
    </row>
    <row r="437" spans="1:8" ht="13.8">
      <c r="A437" s="681"/>
      <c r="B437" s="681"/>
      <c r="C437" s="681"/>
      <c r="D437" s="681"/>
      <c r="E437" s="687"/>
      <c r="F437" s="678" t="str">
        <f t="shared" ca="1" si="13"/>
        <v/>
      </c>
      <c r="G437" s="681"/>
      <c r="H437" s="681"/>
    </row>
    <row r="438" spans="1:8" ht="13.8">
      <c r="A438" s="681"/>
      <c r="B438" s="681"/>
      <c r="C438" s="681"/>
      <c r="D438" s="681"/>
      <c r="E438" s="687"/>
      <c r="F438" s="678" t="str">
        <f t="shared" ca="1" si="13"/>
        <v/>
      </c>
      <c r="G438" s="681"/>
      <c r="H438" s="681"/>
    </row>
    <row r="439" spans="1:8" ht="13.8">
      <c r="A439" s="681"/>
      <c r="B439" s="681"/>
      <c r="C439" s="681"/>
      <c r="D439" s="681"/>
      <c r="E439" s="687"/>
      <c r="F439" s="678" t="str">
        <f t="shared" ca="1" si="13"/>
        <v/>
      </c>
      <c r="G439" s="681"/>
      <c r="H439" s="681"/>
    </row>
    <row r="440" spans="1:8" ht="13.8">
      <c r="A440" s="681"/>
      <c r="B440" s="681"/>
      <c r="C440" s="681"/>
      <c r="D440" s="681"/>
      <c r="E440" s="687"/>
      <c r="F440" s="678" t="str">
        <f t="shared" ca="1" si="13"/>
        <v/>
      </c>
      <c r="G440" s="681"/>
      <c r="H440" s="681"/>
    </row>
    <row r="441" spans="1:8" ht="13.8">
      <c r="A441" s="681"/>
      <c r="B441" s="681"/>
      <c r="C441" s="681"/>
      <c r="D441" s="681"/>
      <c r="E441" s="687"/>
      <c r="F441" s="678" t="str">
        <f t="shared" ca="1" si="13"/>
        <v/>
      </c>
      <c r="G441" s="681"/>
      <c r="H441" s="681"/>
    </row>
    <row r="442" spans="1:8" ht="13.8">
      <c r="A442" s="681"/>
      <c r="B442" s="681"/>
      <c r="C442" s="681"/>
      <c r="D442" s="681"/>
      <c r="E442" s="687"/>
      <c r="F442" s="678" t="str">
        <f t="shared" ca="1" si="13"/>
        <v/>
      </c>
      <c r="G442" s="681"/>
      <c r="H442" s="681"/>
    </row>
    <row r="443" spans="1:8" ht="13.8">
      <c r="A443" s="681"/>
      <c r="B443" s="681"/>
      <c r="C443" s="681"/>
      <c r="D443" s="681"/>
      <c r="E443" s="687"/>
      <c r="F443" s="678" t="str">
        <f t="shared" ca="1" si="13"/>
        <v/>
      </c>
      <c r="G443" s="681"/>
      <c r="H443" s="681"/>
    </row>
    <row r="444" spans="1:8" ht="13.8">
      <c r="A444" s="681"/>
      <c r="B444" s="681"/>
      <c r="C444" s="681"/>
      <c r="D444" s="681"/>
      <c r="E444" s="687"/>
      <c r="F444" s="678" t="str">
        <f t="shared" ca="1" si="13"/>
        <v/>
      </c>
      <c r="G444" s="681"/>
      <c r="H444" s="681"/>
    </row>
    <row r="445" spans="1:8" ht="13.8">
      <c r="A445" s="681"/>
      <c r="B445" s="681"/>
      <c r="C445" s="681"/>
      <c r="D445" s="681"/>
      <c r="E445" s="687"/>
      <c r="F445" s="678" t="str">
        <f t="shared" ca="1" si="13"/>
        <v/>
      </c>
      <c r="G445" s="681"/>
      <c r="H445" s="681"/>
    </row>
    <row r="446" spans="1:8" ht="13.8">
      <c r="A446" s="681"/>
      <c r="B446" s="681"/>
      <c r="C446" s="681"/>
      <c r="D446" s="681"/>
      <c r="E446" s="687"/>
      <c r="F446" s="678" t="str">
        <f t="shared" ca="1" si="13"/>
        <v/>
      </c>
      <c r="G446" s="681"/>
      <c r="H446" s="681"/>
    </row>
    <row r="447" spans="1:8" ht="13.8">
      <c r="A447" s="681"/>
      <c r="B447" s="681"/>
      <c r="C447" s="681"/>
      <c r="D447" s="681"/>
      <c r="E447" s="687"/>
      <c r="F447" s="678" t="str">
        <f t="shared" ca="1" si="13"/>
        <v/>
      </c>
      <c r="G447" s="681"/>
      <c r="H447" s="681"/>
    </row>
    <row r="448" spans="1:8" ht="13.8">
      <c r="A448" s="681"/>
      <c r="B448" s="681"/>
      <c r="C448" s="681"/>
      <c r="D448" s="681"/>
      <c r="E448" s="687"/>
      <c r="F448" s="678" t="str">
        <f t="shared" ca="1" si="13"/>
        <v/>
      </c>
      <c r="G448" s="681"/>
      <c r="H448" s="681"/>
    </row>
    <row r="449" spans="1:8" ht="13.8">
      <c r="A449" s="681"/>
      <c r="B449" s="681"/>
      <c r="C449" s="681"/>
      <c r="D449" s="681"/>
      <c r="E449" s="687"/>
      <c r="F449" s="678" t="str">
        <f t="shared" ca="1" si="13"/>
        <v/>
      </c>
      <c r="G449" s="681"/>
      <c r="H449" s="681"/>
    </row>
    <row r="450" spans="1:8" ht="13.8">
      <c r="A450" s="681"/>
      <c r="B450" s="681"/>
      <c r="C450" s="681"/>
      <c r="D450" s="681"/>
      <c r="E450" s="687"/>
      <c r="F450" s="678" t="str">
        <f t="shared" ref="F450:F513" ca="1" si="14">IF(A450="","",IF(A450="gesloten","gesloten",DATEDIF(E450,NOW(),"d")))</f>
        <v/>
      </c>
      <c r="G450" s="681"/>
      <c r="H450" s="681"/>
    </row>
    <row r="451" spans="1:8" ht="13.8">
      <c r="A451" s="681"/>
      <c r="B451" s="681"/>
      <c r="C451" s="681"/>
      <c r="D451" s="681"/>
      <c r="E451" s="687"/>
      <c r="F451" s="678" t="str">
        <f t="shared" ca="1" si="14"/>
        <v/>
      </c>
      <c r="G451" s="681"/>
      <c r="H451" s="681"/>
    </row>
    <row r="452" spans="1:8" ht="13.8">
      <c r="A452" s="681"/>
      <c r="B452" s="681"/>
      <c r="C452" s="681"/>
      <c r="D452" s="681"/>
      <c r="E452" s="687"/>
      <c r="F452" s="678" t="str">
        <f t="shared" ca="1" si="14"/>
        <v/>
      </c>
      <c r="G452" s="681"/>
      <c r="H452" s="681"/>
    </row>
    <row r="453" spans="1:8" ht="13.8">
      <c r="A453" s="681"/>
      <c r="B453" s="681"/>
      <c r="C453" s="681"/>
      <c r="D453" s="681"/>
      <c r="E453" s="687"/>
      <c r="F453" s="678" t="str">
        <f t="shared" ca="1" si="14"/>
        <v/>
      </c>
      <c r="G453" s="681"/>
      <c r="H453" s="681"/>
    </row>
    <row r="454" spans="1:8" ht="13.8">
      <c r="A454" s="681"/>
      <c r="B454" s="681"/>
      <c r="C454" s="681"/>
      <c r="D454" s="681"/>
      <c r="E454" s="687"/>
      <c r="F454" s="678" t="str">
        <f t="shared" ca="1" si="14"/>
        <v/>
      </c>
      <c r="G454" s="681"/>
      <c r="H454" s="681"/>
    </row>
    <row r="455" spans="1:8" ht="13.8">
      <c r="A455" s="681"/>
      <c r="B455" s="681"/>
      <c r="C455" s="681"/>
      <c r="D455" s="681"/>
      <c r="E455" s="687"/>
      <c r="F455" s="678" t="str">
        <f t="shared" ca="1" si="14"/>
        <v/>
      </c>
      <c r="G455" s="681"/>
      <c r="H455" s="681"/>
    </row>
    <row r="456" spans="1:8" ht="13.8">
      <c r="A456" s="681"/>
      <c r="B456" s="681"/>
      <c r="C456" s="681"/>
      <c r="D456" s="681"/>
      <c r="E456" s="687"/>
      <c r="F456" s="678" t="str">
        <f t="shared" ca="1" si="14"/>
        <v/>
      </c>
      <c r="G456" s="681"/>
      <c r="H456" s="681"/>
    </row>
    <row r="457" spans="1:8" ht="13.8">
      <c r="A457" s="681"/>
      <c r="B457" s="681"/>
      <c r="C457" s="681"/>
      <c r="D457" s="681"/>
      <c r="E457" s="687"/>
      <c r="F457" s="678" t="str">
        <f t="shared" ca="1" si="14"/>
        <v/>
      </c>
      <c r="G457" s="681"/>
      <c r="H457" s="681"/>
    </row>
    <row r="458" spans="1:8" ht="13.8">
      <c r="A458" s="681"/>
      <c r="B458" s="681"/>
      <c r="C458" s="681"/>
      <c r="D458" s="681"/>
      <c r="E458" s="687"/>
      <c r="F458" s="678" t="str">
        <f t="shared" ca="1" si="14"/>
        <v/>
      </c>
      <c r="G458" s="681"/>
      <c r="H458" s="681"/>
    </row>
    <row r="459" spans="1:8" ht="13.8">
      <c r="A459" s="681"/>
      <c r="B459" s="681"/>
      <c r="C459" s="681"/>
      <c r="D459" s="681"/>
      <c r="E459" s="687"/>
      <c r="F459" s="678" t="str">
        <f t="shared" ca="1" si="14"/>
        <v/>
      </c>
      <c r="G459" s="681"/>
      <c r="H459" s="681"/>
    </row>
    <row r="460" spans="1:8" ht="13.8">
      <c r="A460" s="681"/>
      <c r="B460" s="681"/>
      <c r="C460" s="681"/>
      <c r="D460" s="681"/>
      <c r="E460" s="687"/>
      <c r="F460" s="678" t="str">
        <f t="shared" ca="1" si="14"/>
        <v/>
      </c>
      <c r="G460" s="681"/>
      <c r="H460" s="681"/>
    </row>
    <row r="461" spans="1:8" ht="13.8">
      <c r="A461" s="681"/>
      <c r="B461" s="681"/>
      <c r="C461" s="681"/>
      <c r="D461" s="681"/>
      <c r="E461" s="687"/>
      <c r="F461" s="678" t="str">
        <f t="shared" ca="1" si="14"/>
        <v/>
      </c>
      <c r="G461" s="681"/>
      <c r="H461" s="681"/>
    </row>
    <row r="462" spans="1:8" ht="13.8">
      <c r="A462" s="681"/>
      <c r="B462" s="681"/>
      <c r="C462" s="681"/>
      <c r="D462" s="681"/>
      <c r="E462" s="687"/>
      <c r="F462" s="678" t="str">
        <f t="shared" ca="1" si="14"/>
        <v/>
      </c>
      <c r="G462" s="681"/>
      <c r="H462" s="681"/>
    </row>
    <row r="463" spans="1:8" ht="13.8">
      <c r="A463" s="681"/>
      <c r="B463" s="681"/>
      <c r="C463" s="681"/>
      <c r="D463" s="681"/>
      <c r="E463" s="687"/>
      <c r="F463" s="678" t="str">
        <f t="shared" ca="1" si="14"/>
        <v/>
      </c>
      <c r="G463" s="681"/>
      <c r="H463" s="681"/>
    </row>
    <row r="464" spans="1:8" ht="13.8">
      <c r="A464" s="681"/>
      <c r="B464" s="681"/>
      <c r="C464" s="681"/>
      <c r="D464" s="681"/>
      <c r="E464" s="687"/>
      <c r="F464" s="678" t="str">
        <f t="shared" ca="1" si="14"/>
        <v/>
      </c>
      <c r="G464" s="681"/>
      <c r="H464" s="681"/>
    </row>
    <row r="465" spans="1:8" ht="13.8">
      <c r="A465" s="681"/>
      <c r="B465" s="681"/>
      <c r="C465" s="681"/>
      <c r="D465" s="681"/>
      <c r="E465" s="687"/>
      <c r="F465" s="678" t="str">
        <f t="shared" ca="1" si="14"/>
        <v/>
      </c>
      <c r="G465" s="681"/>
      <c r="H465" s="681"/>
    </row>
    <row r="466" spans="1:8" ht="13.8">
      <c r="A466" s="681"/>
      <c r="B466" s="681"/>
      <c r="C466" s="681"/>
      <c r="D466" s="681"/>
      <c r="E466" s="687"/>
      <c r="F466" s="678" t="str">
        <f t="shared" ca="1" si="14"/>
        <v/>
      </c>
      <c r="G466" s="681"/>
      <c r="H466" s="681"/>
    </row>
    <row r="467" spans="1:8" ht="13.8">
      <c r="A467" s="681"/>
      <c r="B467" s="681"/>
      <c r="C467" s="681"/>
      <c r="D467" s="681"/>
      <c r="E467" s="687"/>
      <c r="F467" s="678" t="str">
        <f t="shared" ca="1" si="14"/>
        <v/>
      </c>
      <c r="G467" s="681"/>
      <c r="H467" s="681"/>
    </row>
    <row r="468" spans="1:8" ht="13.8">
      <c r="A468" s="681"/>
      <c r="B468" s="681"/>
      <c r="C468" s="681"/>
      <c r="D468" s="681"/>
      <c r="E468" s="687"/>
      <c r="F468" s="678" t="str">
        <f t="shared" ca="1" si="14"/>
        <v/>
      </c>
      <c r="G468" s="681"/>
      <c r="H468" s="681"/>
    </row>
    <row r="469" spans="1:8" ht="13.8">
      <c r="A469" s="681"/>
      <c r="B469" s="681"/>
      <c r="C469" s="681"/>
      <c r="D469" s="681"/>
      <c r="E469" s="687"/>
      <c r="F469" s="678" t="str">
        <f t="shared" ca="1" si="14"/>
        <v/>
      </c>
      <c r="G469" s="681"/>
      <c r="H469" s="681"/>
    </row>
    <row r="470" spans="1:8" ht="13.8">
      <c r="A470" s="681"/>
      <c r="B470" s="681"/>
      <c r="C470" s="681"/>
      <c r="D470" s="681"/>
      <c r="E470" s="687"/>
      <c r="F470" s="678" t="str">
        <f t="shared" ca="1" si="14"/>
        <v/>
      </c>
      <c r="G470" s="681"/>
      <c r="H470" s="681"/>
    </row>
    <row r="471" spans="1:8" ht="13.8">
      <c r="A471" s="681"/>
      <c r="B471" s="681"/>
      <c r="C471" s="681"/>
      <c r="D471" s="681"/>
      <c r="E471" s="687"/>
      <c r="F471" s="678" t="str">
        <f t="shared" ca="1" si="14"/>
        <v/>
      </c>
      <c r="G471" s="681"/>
      <c r="H471" s="681"/>
    </row>
    <row r="472" spans="1:8" ht="13.8">
      <c r="A472" s="681"/>
      <c r="B472" s="681"/>
      <c r="C472" s="681"/>
      <c r="D472" s="681"/>
      <c r="E472" s="687"/>
      <c r="F472" s="678" t="str">
        <f t="shared" ca="1" si="14"/>
        <v/>
      </c>
      <c r="G472" s="681"/>
      <c r="H472" s="681"/>
    </row>
    <row r="473" spans="1:8" ht="13.8">
      <c r="A473" s="681"/>
      <c r="B473" s="681"/>
      <c r="C473" s="681"/>
      <c r="D473" s="681"/>
      <c r="E473" s="687"/>
      <c r="F473" s="678" t="str">
        <f t="shared" ca="1" si="14"/>
        <v/>
      </c>
      <c r="G473" s="681"/>
      <c r="H473" s="681"/>
    </row>
    <row r="474" spans="1:8" ht="13.8">
      <c r="A474" s="681"/>
      <c r="B474" s="681"/>
      <c r="C474" s="681"/>
      <c r="D474" s="681"/>
      <c r="E474" s="687"/>
      <c r="F474" s="678" t="str">
        <f t="shared" ca="1" si="14"/>
        <v/>
      </c>
      <c r="G474" s="681"/>
      <c r="H474" s="681"/>
    </row>
    <row r="475" spans="1:8" ht="13.8">
      <c r="A475" s="681"/>
      <c r="B475" s="681"/>
      <c r="C475" s="681"/>
      <c r="D475" s="681"/>
      <c r="E475" s="687"/>
      <c r="F475" s="678" t="str">
        <f t="shared" ca="1" si="14"/>
        <v/>
      </c>
      <c r="G475" s="681"/>
      <c r="H475" s="681"/>
    </row>
    <row r="476" spans="1:8" ht="13.8">
      <c r="A476" s="681"/>
      <c r="B476" s="681"/>
      <c r="C476" s="681"/>
      <c r="D476" s="681"/>
      <c r="E476" s="687"/>
      <c r="F476" s="678" t="str">
        <f t="shared" ca="1" si="14"/>
        <v/>
      </c>
      <c r="G476" s="681"/>
      <c r="H476" s="681"/>
    </row>
    <row r="477" spans="1:8" ht="13.8">
      <c r="A477" s="681"/>
      <c r="B477" s="681"/>
      <c r="C477" s="681"/>
      <c r="D477" s="681"/>
      <c r="E477" s="687"/>
      <c r="F477" s="678" t="str">
        <f t="shared" ca="1" si="14"/>
        <v/>
      </c>
      <c r="G477" s="681"/>
      <c r="H477" s="681"/>
    </row>
    <row r="478" spans="1:8" ht="13.8">
      <c r="A478" s="681"/>
      <c r="B478" s="681"/>
      <c r="C478" s="681"/>
      <c r="D478" s="681"/>
      <c r="E478" s="687"/>
      <c r="F478" s="678" t="str">
        <f t="shared" ca="1" si="14"/>
        <v/>
      </c>
      <c r="G478" s="681"/>
      <c r="H478" s="681"/>
    </row>
    <row r="479" spans="1:8" ht="13.8">
      <c r="A479" s="681"/>
      <c r="B479" s="681"/>
      <c r="C479" s="681"/>
      <c r="D479" s="681"/>
      <c r="E479" s="687"/>
      <c r="F479" s="678" t="str">
        <f t="shared" ca="1" si="14"/>
        <v/>
      </c>
      <c r="G479" s="681"/>
      <c r="H479" s="681"/>
    </row>
    <row r="480" spans="1:8" ht="13.8">
      <c r="A480" s="681"/>
      <c r="B480" s="681"/>
      <c r="C480" s="681"/>
      <c r="D480" s="681"/>
      <c r="E480" s="687"/>
      <c r="F480" s="678" t="str">
        <f t="shared" ca="1" si="14"/>
        <v/>
      </c>
      <c r="G480" s="681"/>
      <c r="H480" s="681"/>
    </row>
    <row r="481" spans="1:8" ht="13.8">
      <c r="A481" s="681"/>
      <c r="B481" s="681"/>
      <c r="C481" s="681"/>
      <c r="D481" s="681"/>
      <c r="E481" s="687"/>
      <c r="F481" s="678" t="str">
        <f t="shared" ca="1" si="14"/>
        <v/>
      </c>
      <c r="G481" s="681"/>
      <c r="H481" s="681"/>
    </row>
    <row r="482" spans="1:8" ht="13.8">
      <c r="A482" s="681"/>
      <c r="B482" s="681"/>
      <c r="C482" s="681"/>
      <c r="D482" s="681"/>
      <c r="E482" s="687"/>
      <c r="F482" s="678" t="str">
        <f t="shared" ca="1" si="14"/>
        <v/>
      </c>
      <c r="G482" s="681"/>
      <c r="H482" s="681"/>
    </row>
    <row r="483" spans="1:8" ht="13.8">
      <c r="A483" s="681"/>
      <c r="B483" s="681"/>
      <c r="C483" s="681"/>
      <c r="D483" s="681"/>
      <c r="E483" s="687"/>
      <c r="F483" s="678" t="str">
        <f t="shared" ca="1" si="14"/>
        <v/>
      </c>
      <c r="G483" s="681"/>
      <c r="H483" s="681"/>
    </row>
    <row r="484" spans="1:8" ht="13.8">
      <c r="A484" s="681"/>
      <c r="B484" s="681"/>
      <c r="C484" s="681"/>
      <c r="D484" s="681"/>
      <c r="E484" s="687"/>
      <c r="F484" s="678" t="str">
        <f t="shared" ca="1" si="14"/>
        <v/>
      </c>
      <c r="G484" s="681"/>
      <c r="H484" s="681"/>
    </row>
    <row r="485" spans="1:8" ht="13.8">
      <c r="A485" s="681"/>
      <c r="B485" s="681"/>
      <c r="C485" s="681"/>
      <c r="D485" s="681"/>
      <c r="E485" s="687"/>
      <c r="F485" s="678" t="str">
        <f t="shared" ca="1" si="14"/>
        <v/>
      </c>
      <c r="G485" s="681"/>
      <c r="H485" s="681"/>
    </row>
    <row r="486" spans="1:8" ht="13.8">
      <c r="A486" s="681"/>
      <c r="B486" s="681"/>
      <c r="C486" s="681"/>
      <c r="D486" s="681"/>
      <c r="E486" s="687"/>
      <c r="F486" s="678" t="str">
        <f t="shared" ca="1" si="14"/>
        <v/>
      </c>
      <c r="G486" s="681"/>
      <c r="H486" s="681"/>
    </row>
    <row r="487" spans="1:8" ht="13.8">
      <c r="A487" s="681"/>
      <c r="B487" s="681"/>
      <c r="C487" s="681"/>
      <c r="D487" s="681"/>
      <c r="E487" s="687"/>
      <c r="F487" s="678" t="str">
        <f t="shared" ca="1" si="14"/>
        <v/>
      </c>
      <c r="G487" s="681"/>
      <c r="H487" s="681"/>
    </row>
    <row r="488" spans="1:8" ht="13.8">
      <c r="A488" s="681"/>
      <c r="B488" s="681"/>
      <c r="C488" s="681"/>
      <c r="D488" s="681"/>
      <c r="E488" s="687"/>
      <c r="F488" s="678" t="str">
        <f t="shared" ca="1" si="14"/>
        <v/>
      </c>
      <c r="G488" s="681"/>
      <c r="H488" s="681"/>
    </row>
    <row r="489" spans="1:8" ht="13.8">
      <c r="A489" s="681"/>
      <c r="B489" s="681"/>
      <c r="C489" s="681"/>
      <c r="D489" s="681"/>
      <c r="E489" s="687"/>
      <c r="F489" s="678" t="str">
        <f t="shared" ca="1" si="14"/>
        <v/>
      </c>
      <c r="G489" s="681"/>
      <c r="H489" s="681"/>
    </row>
    <row r="490" spans="1:8" ht="13.8">
      <c r="A490" s="681"/>
      <c r="B490" s="681"/>
      <c r="C490" s="681"/>
      <c r="D490" s="681"/>
      <c r="E490" s="687"/>
      <c r="F490" s="678" t="str">
        <f t="shared" ca="1" si="14"/>
        <v/>
      </c>
      <c r="G490" s="681"/>
      <c r="H490" s="681"/>
    </row>
    <row r="491" spans="1:8" ht="13.8">
      <c r="A491" s="681"/>
      <c r="B491" s="681"/>
      <c r="C491" s="681"/>
      <c r="D491" s="681"/>
      <c r="E491" s="687"/>
      <c r="F491" s="678" t="str">
        <f t="shared" ca="1" si="14"/>
        <v/>
      </c>
      <c r="G491" s="681"/>
      <c r="H491" s="681"/>
    </row>
    <row r="492" spans="1:8" ht="13.8">
      <c r="A492" s="681"/>
      <c r="B492" s="681"/>
      <c r="C492" s="681"/>
      <c r="D492" s="681"/>
      <c r="E492" s="687"/>
      <c r="F492" s="678" t="str">
        <f t="shared" ca="1" si="14"/>
        <v/>
      </c>
      <c r="G492" s="681"/>
      <c r="H492" s="681"/>
    </row>
    <row r="493" spans="1:8" ht="13.8">
      <c r="A493" s="681"/>
      <c r="B493" s="681"/>
      <c r="C493" s="681"/>
      <c r="D493" s="681"/>
      <c r="E493" s="687"/>
      <c r="F493" s="678" t="str">
        <f t="shared" ca="1" si="14"/>
        <v/>
      </c>
      <c r="G493" s="681"/>
      <c r="H493" s="681"/>
    </row>
    <row r="494" spans="1:8" ht="13.8">
      <c r="A494" s="681"/>
      <c r="B494" s="681"/>
      <c r="C494" s="681"/>
      <c r="D494" s="681"/>
      <c r="E494" s="687"/>
      <c r="F494" s="678" t="str">
        <f t="shared" ca="1" si="14"/>
        <v/>
      </c>
      <c r="G494" s="681"/>
      <c r="H494" s="681"/>
    </row>
    <row r="495" spans="1:8" ht="13.8">
      <c r="A495" s="681"/>
      <c r="B495" s="681"/>
      <c r="C495" s="681"/>
      <c r="D495" s="681"/>
      <c r="E495" s="687"/>
      <c r="F495" s="678" t="str">
        <f t="shared" ca="1" si="14"/>
        <v/>
      </c>
      <c r="G495" s="681"/>
      <c r="H495" s="681"/>
    </row>
    <row r="496" spans="1:8" ht="13.8">
      <c r="A496" s="681"/>
      <c r="B496" s="681"/>
      <c r="C496" s="681"/>
      <c r="D496" s="681"/>
      <c r="E496" s="687"/>
      <c r="F496" s="678" t="str">
        <f t="shared" ca="1" si="14"/>
        <v/>
      </c>
      <c r="G496" s="681"/>
      <c r="H496" s="681"/>
    </row>
    <row r="497" spans="1:8" ht="13.8">
      <c r="A497" s="681"/>
      <c r="B497" s="681"/>
      <c r="C497" s="681"/>
      <c r="D497" s="681"/>
      <c r="E497" s="687"/>
      <c r="F497" s="678" t="str">
        <f t="shared" ca="1" si="14"/>
        <v/>
      </c>
      <c r="G497" s="681"/>
      <c r="H497" s="681"/>
    </row>
    <row r="498" spans="1:8" ht="13.8">
      <c r="A498" s="681"/>
      <c r="B498" s="681"/>
      <c r="C498" s="681"/>
      <c r="D498" s="681"/>
      <c r="E498" s="687"/>
      <c r="F498" s="678" t="str">
        <f t="shared" ca="1" si="14"/>
        <v/>
      </c>
      <c r="G498" s="681"/>
      <c r="H498" s="681"/>
    </row>
    <row r="499" spans="1:8" ht="13.8">
      <c r="A499" s="681"/>
      <c r="B499" s="681"/>
      <c r="C499" s="681"/>
      <c r="D499" s="681"/>
      <c r="E499" s="687"/>
      <c r="F499" s="678" t="str">
        <f t="shared" ca="1" si="14"/>
        <v/>
      </c>
      <c r="G499" s="681"/>
      <c r="H499" s="681"/>
    </row>
    <row r="500" spans="1:8" ht="13.8">
      <c r="A500" s="681"/>
      <c r="B500" s="681"/>
      <c r="C500" s="681"/>
      <c r="D500" s="681"/>
      <c r="E500" s="687"/>
      <c r="F500" s="678" t="str">
        <f t="shared" ca="1" si="14"/>
        <v/>
      </c>
      <c r="G500" s="681"/>
      <c r="H500" s="681"/>
    </row>
    <row r="501" spans="1:8" ht="13.8">
      <c r="A501" s="681"/>
      <c r="B501" s="681"/>
      <c r="C501" s="681"/>
      <c r="D501" s="681"/>
      <c r="E501" s="687"/>
      <c r="F501" s="678" t="str">
        <f t="shared" ca="1" si="14"/>
        <v/>
      </c>
      <c r="G501" s="681"/>
      <c r="H501" s="681"/>
    </row>
    <row r="502" spans="1:8" ht="13.8">
      <c r="A502" s="681"/>
      <c r="B502" s="681"/>
      <c r="C502" s="681"/>
      <c r="D502" s="681"/>
      <c r="E502" s="687"/>
      <c r="F502" s="678" t="str">
        <f t="shared" ca="1" si="14"/>
        <v/>
      </c>
      <c r="G502" s="681"/>
      <c r="H502" s="681"/>
    </row>
    <row r="503" spans="1:8" ht="13.8">
      <c r="A503" s="681"/>
      <c r="B503" s="681"/>
      <c r="C503" s="681"/>
      <c r="D503" s="681"/>
      <c r="E503" s="687"/>
      <c r="F503" s="678" t="str">
        <f t="shared" ca="1" si="14"/>
        <v/>
      </c>
      <c r="G503" s="681"/>
      <c r="H503" s="681"/>
    </row>
    <row r="504" spans="1:8" ht="13.8">
      <c r="A504" s="681"/>
      <c r="B504" s="681"/>
      <c r="C504" s="681"/>
      <c r="D504" s="681"/>
      <c r="E504" s="687"/>
      <c r="F504" s="678" t="str">
        <f t="shared" ca="1" si="14"/>
        <v/>
      </c>
      <c r="G504" s="681"/>
      <c r="H504" s="681"/>
    </row>
    <row r="505" spans="1:8" ht="13.8">
      <c r="A505" s="681"/>
      <c r="B505" s="681"/>
      <c r="C505" s="681"/>
      <c r="D505" s="681"/>
      <c r="E505" s="687"/>
      <c r="F505" s="678" t="str">
        <f t="shared" ca="1" si="14"/>
        <v/>
      </c>
      <c r="G505" s="681"/>
      <c r="H505" s="681"/>
    </row>
    <row r="506" spans="1:8" ht="13.8">
      <c r="A506" s="681"/>
      <c r="B506" s="681"/>
      <c r="C506" s="681"/>
      <c r="D506" s="681"/>
      <c r="E506" s="687"/>
      <c r="F506" s="678" t="str">
        <f t="shared" ca="1" si="14"/>
        <v/>
      </c>
      <c r="G506" s="681"/>
      <c r="H506" s="681"/>
    </row>
    <row r="507" spans="1:8" ht="13.8">
      <c r="A507" s="681"/>
      <c r="B507" s="681"/>
      <c r="C507" s="681"/>
      <c r="D507" s="681"/>
      <c r="E507" s="687"/>
      <c r="F507" s="678" t="str">
        <f t="shared" ca="1" si="14"/>
        <v/>
      </c>
      <c r="G507" s="681"/>
      <c r="H507" s="681"/>
    </row>
    <row r="508" spans="1:8" ht="13.8">
      <c r="A508" s="681"/>
      <c r="B508" s="681"/>
      <c r="C508" s="681"/>
      <c r="D508" s="681"/>
      <c r="E508" s="687"/>
      <c r="F508" s="678" t="str">
        <f t="shared" ca="1" si="14"/>
        <v/>
      </c>
      <c r="G508" s="681"/>
      <c r="H508" s="681"/>
    </row>
    <row r="509" spans="1:8" ht="13.8">
      <c r="A509" s="681"/>
      <c r="B509" s="681"/>
      <c r="C509" s="681"/>
      <c r="D509" s="681"/>
      <c r="E509" s="687"/>
      <c r="F509" s="678" t="str">
        <f t="shared" ca="1" si="14"/>
        <v/>
      </c>
      <c r="G509" s="681"/>
      <c r="H509" s="681"/>
    </row>
    <row r="510" spans="1:8" ht="13.8">
      <c r="A510" s="681"/>
      <c r="B510" s="681"/>
      <c r="C510" s="681"/>
      <c r="D510" s="681"/>
      <c r="E510" s="687"/>
      <c r="F510" s="678" t="str">
        <f t="shared" ca="1" si="14"/>
        <v/>
      </c>
      <c r="G510" s="681"/>
      <c r="H510" s="681"/>
    </row>
    <row r="511" spans="1:8" ht="13.8">
      <c r="A511" s="681"/>
      <c r="B511" s="681"/>
      <c r="C511" s="681"/>
      <c r="D511" s="681"/>
      <c r="E511" s="687"/>
      <c r="F511" s="678" t="str">
        <f t="shared" ca="1" si="14"/>
        <v/>
      </c>
      <c r="G511" s="681"/>
      <c r="H511" s="681"/>
    </row>
    <row r="512" spans="1:8" ht="13.8">
      <c r="A512" s="681"/>
      <c r="B512" s="681"/>
      <c r="C512" s="681"/>
      <c r="D512" s="681"/>
      <c r="E512" s="687"/>
      <c r="F512" s="678" t="str">
        <f t="shared" ca="1" si="14"/>
        <v/>
      </c>
      <c r="G512" s="681"/>
      <c r="H512" s="681"/>
    </row>
    <row r="513" spans="1:8" ht="13.8">
      <c r="A513" s="681"/>
      <c r="B513" s="681"/>
      <c r="C513" s="681"/>
      <c r="D513" s="681"/>
      <c r="E513" s="687"/>
      <c r="F513" s="678" t="str">
        <f t="shared" ca="1" si="14"/>
        <v/>
      </c>
      <c r="G513" s="681"/>
      <c r="H513" s="681"/>
    </row>
    <row r="514" spans="1:8" ht="13.8">
      <c r="A514" s="681"/>
      <c r="B514" s="681"/>
      <c r="C514" s="681"/>
      <c r="D514" s="681"/>
      <c r="E514" s="687"/>
      <c r="F514" s="678" t="str">
        <f t="shared" ref="F514:F530" ca="1" si="15">IF(A514="","",IF(A514="gesloten","gesloten",DATEDIF(E514,NOW(),"d")))</f>
        <v/>
      </c>
      <c r="G514" s="681"/>
      <c r="H514" s="681"/>
    </row>
    <row r="515" spans="1:8" ht="13.8">
      <c r="A515" s="681"/>
      <c r="B515" s="681"/>
      <c r="C515" s="681"/>
      <c r="D515" s="681"/>
      <c r="E515" s="687"/>
      <c r="F515" s="678" t="str">
        <f t="shared" ca="1" si="15"/>
        <v/>
      </c>
      <c r="G515" s="681"/>
      <c r="H515" s="681"/>
    </row>
    <row r="516" spans="1:8" ht="13.8">
      <c r="A516" s="681"/>
      <c r="B516" s="681"/>
      <c r="C516" s="681"/>
      <c r="D516" s="681"/>
      <c r="E516" s="687"/>
      <c r="F516" s="678" t="str">
        <f t="shared" ca="1" si="15"/>
        <v/>
      </c>
      <c r="G516" s="681"/>
      <c r="H516" s="681"/>
    </row>
    <row r="517" spans="1:8" ht="13.8">
      <c r="A517" s="681"/>
      <c r="B517" s="681"/>
      <c r="C517" s="681"/>
      <c r="D517" s="681"/>
      <c r="E517" s="687"/>
      <c r="F517" s="678" t="str">
        <f t="shared" ca="1" si="15"/>
        <v/>
      </c>
      <c r="G517" s="681"/>
      <c r="H517" s="681"/>
    </row>
    <row r="518" spans="1:8" ht="13.8">
      <c r="A518" s="681"/>
      <c r="B518" s="681"/>
      <c r="C518" s="681"/>
      <c r="D518" s="681"/>
      <c r="E518" s="687"/>
      <c r="F518" s="678" t="str">
        <f t="shared" ca="1" si="15"/>
        <v/>
      </c>
      <c r="G518" s="681"/>
      <c r="H518" s="681"/>
    </row>
    <row r="519" spans="1:8" ht="13.8">
      <c r="A519" s="681"/>
      <c r="B519" s="681"/>
      <c r="C519" s="681"/>
      <c r="D519" s="681"/>
      <c r="E519" s="687"/>
      <c r="F519" s="678" t="str">
        <f t="shared" ca="1" si="15"/>
        <v/>
      </c>
      <c r="G519" s="681"/>
      <c r="H519" s="681"/>
    </row>
    <row r="520" spans="1:8" ht="13.8">
      <c r="A520" s="681"/>
      <c r="B520" s="681"/>
      <c r="C520" s="681"/>
      <c r="D520" s="681"/>
      <c r="E520" s="687"/>
      <c r="F520" s="678" t="str">
        <f t="shared" ca="1" si="15"/>
        <v/>
      </c>
      <c r="G520" s="681"/>
      <c r="H520" s="681"/>
    </row>
    <row r="521" spans="1:8" ht="13.8">
      <c r="A521" s="681"/>
      <c r="B521" s="681"/>
      <c r="C521" s="681"/>
      <c r="D521" s="681"/>
      <c r="E521" s="687"/>
      <c r="F521" s="678" t="str">
        <f t="shared" ca="1" si="15"/>
        <v/>
      </c>
      <c r="G521" s="681"/>
      <c r="H521" s="681"/>
    </row>
    <row r="522" spans="1:8" ht="13.8">
      <c r="A522" s="681"/>
      <c r="B522" s="681"/>
      <c r="C522" s="681"/>
      <c r="D522" s="681"/>
      <c r="E522" s="687"/>
      <c r="F522" s="678" t="str">
        <f t="shared" ca="1" si="15"/>
        <v/>
      </c>
      <c r="G522" s="681"/>
      <c r="H522" s="681"/>
    </row>
    <row r="523" spans="1:8" ht="13.8">
      <c r="A523" s="681"/>
      <c r="B523" s="681"/>
      <c r="C523" s="681"/>
      <c r="D523" s="681"/>
      <c r="E523" s="687"/>
      <c r="F523" s="678" t="str">
        <f t="shared" ca="1" si="15"/>
        <v/>
      </c>
      <c r="G523" s="681"/>
      <c r="H523" s="681"/>
    </row>
    <row r="524" spans="1:8" ht="13.8">
      <c r="A524" s="681"/>
      <c r="B524" s="681"/>
      <c r="C524" s="681"/>
      <c r="D524" s="681"/>
      <c r="E524" s="687"/>
      <c r="F524" s="678" t="str">
        <f t="shared" ca="1" si="15"/>
        <v/>
      </c>
      <c r="G524" s="681"/>
      <c r="H524" s="681"/>
    </row>
    <row r="525" spans="1:8" ht="13.8">
      <c r="A525" s="681"/>
      <c r="B525" s="681"/>
      <c r="C525" s="681"/>
      <c r="D525" s="681"/>
      <c r="E525" s="687"/>
      <c r="F525" s="678" t="str">
        <f t="shared" ca="1" si="15"/>
        <v/>
      </c>
      <c r="G525" s="681"/>
      <c r="H525" s="681"/>
    </row>
    <row r="526" spans="1:8" ht="13.8">
      <c r="A526" s="681"/>
      <c r="B526" s="681"/>
      <c r="C526" s="681"/>
      <c r="D526" s="681"/>
      <c r="E526" s="687"/>
      <c r="F526" s="678" t="str">
        <f t="shared" ca="1" si="15"/>
        <v/>
      </c>
      <c r="G526" s="681"/>
      <c r="H526" s="681"/>
    </row>
    <row r="527" spans="1:8" ht="13.8">
      <c r="A527" s="681"/>
      <c r="B527" s="681"/>
      <c r="C527" s="681"/>
      <c r="D527" s="681"/>
      <c r="E527" s="687"/>
      <c r="F527" s="678" t="str">
        <f t="shared" ca="1" si="15"/>
        <v/>
      </c>
      <c r="G527" s="681"/>
      <c r="H527" s="681"/>
    </row>
    <row r="528" spans="1:8" ht="13.8">
      <c r="A528" s="681"/>
      <c r="B528" s="681"/>
      <c r="C528" s="681"/>
      <c r="D528" s="681"/>
      <c r="E528" s="687"/>
      <c r="F528" s="678" t="str">
        <f t="shared" ca="1" si="15"/>
        <v/>
      </c>
      <c r="G528" s="681"/>
      <c r="H528" s="681"/>
    </row>
    <row r="529" spans="1:8" ht="13.8">
      <c r="A529" s="681"/>
      <c r="B529" s="681"/>
      <c r="C529" s="681"/>
      <c r="D529" s="681"/>
      <c r="E529" s="687"/>
      <c r="F529" s="678" t="str">
        <f t="shared" ca="1" si="15"/>
        <v/>
      </c>
      <c r="G529" s="681"/>
      <c r="H529" s="681"/>
    </row>
    <row r="530" spans="1:8" ht="13.8">
      <c r="A530" s="681"/>
      <c r="B530" s="681"/>
      <c r="C530" s="681"/>
      <c r="D530" s="681"/>
      <c r="E530" s="687"/>
      <c r="F530" s="678" t="str">
        <f t="shared" ca="1" si="15"/>
        <v/>
      </c>
      <c r="G530" s="681"/>
      <c r="H530" s="681"/>
    </row>
    <row r="531" spans="1:8" ht="13.8">
      <c r="A531" s="681"/>
      <c r="B531" s="681"/>
      <c r="C531" s="681"/>
      <c r="D531" s="681"/>
      <c r="E531" s="687"/>
      <c r="F531" s="678" t="str">
        <f ca="1">IF(A531="","",IF(A531="gesloten","gesloten",DATEDIF(E531,NOW(),"d")))</f>
        <v/>
      </c>
      <c r="G531" s="681"/>
      <c r="H531" s="681"/>
    </row>
    <row r="532" spans="1:8" ht="13.8">
      <c r="A532" s="681"/>
      <c r="B532" s="681"/>
      <c r="C532" s="681"/>
      <c r="D532" s="681"/>
      <c r="E532" s="687"/>
      <c r="F532" s="678" t="str">
        <f ca="1">IF(A532="","",IF(A532="gesloten","gesloten",DATEDIF(E532,NOW(),"d")))</f>
        <v/>
      </c>
      <c r="G532" s="681"/>
      <c r="H532" s="681"/>
    </row>
    <row r="533" spans="1:8" ht="13.8">
      <c r="A533" s="681"/>
      <c r="B533" s="681"/>
      <c r="C533" s="681"/>
      <c r="D533" s="681"/>
      <c r="E533" s="687"/>
      <c r="F533" s="678" t="str">
        <f ca="1">IF(A533="","",IF(A533="gesloten","gesloten",DATEDIF(E533,NOW(),"d")))</f>
        <v/>
      </c>
      <c r="G533" s="681"/>
      <c r="H533" s="681"/>
    </row>
  </sheetData>
  <autoFilter ref="A1:H533" xr:uid="{00000000-0009-0000-0000-000005000000}">
    <sortState xmlns:xlrd2="http://schemas.microsoft.com/office/spreadsheetml/2017/richdata2" ref="A2:G535">
      <sortCondition ref="A1:A535"/>
    </sortState>
  </autoFilter>
  <phoneticPr fontId="0" type="noConversion"/>
  <conditionalFormatting sqref="A1:B2 A58:B59 A65:B68 A60:A61 A40:A57 A3:A37 B3:B57 A73:B75 A77:B1048576">
    <cfRule type="cellIs" dxfId="566" priority="13" stopIfTrue="1" operator="equal">
      <formula>"open"</formula>
    </cfRule>
  </conditionalFormatting>
  <conditionalFormatting sqref="A38:A39">
    <cfRule type="cellIs" dxfId="565" priority="12" stopIfTrue="1" operator="equal">
      <formula>"open"</formula>
    </cfRule>
  </conditionalFormatting>
  <conditionalFormatting sqref="A62:B62">
    <cfRule type="cellIs" dxfId="564" priority="11" stopIfTrue="1" operator="equal">
      <formula>"open"</formula>
    </cfRule>
  </conditionalFormatting>
  <conditionalFormatting sqref="B61">
    <cfRule type="cellIs" dxfId="563" priority="10" stopIfTrue="1" operator="equal">
      <formula>"open"</formula>
    </cfRule>
  </conditionalFormatting>
  <conditionalFormatting sqref="B60">
    <cfRule type="cellIs" dxfId="562" priority="9" stopIfTrue="1" operator="equal">
      <formula>"open"</formula>
    </cfRule>
  </conditionalFormatting>
  <conditionalFormatting sqref="A63:B63">
    <cfRule type="cellIs" dxfId="561" priority="8" stopIfTrue="1" operator="equal">
      <formula>"open"</formula>
    </cfRule>
  </conditionalFormatting>
  <conditionalFormatting sqref="A64:B64">
    <cfRule type="cellIs" dxfId="560" priority="7" stopIfTrue="1" operator="equal">
      <formula>"open"</formula>
    </cfRule>
  </conditionalFormatting>
  <conditionalFormatting sqref="A69:B69">
    <cfRule type="cellIs" dxfId="559" priority="6" stopIfTrue="1" operator="equal">
      <formula>"open"</formula>
    </cfRule>
  </conditionalFormatting>
  <conditionalFormatting sqref="A70:B70">
    <cfRule type="cellIs" dxfId="558" priority="5" stopIfTrue="1" operator="equal">
      <formula>"open"</formula>
    </cfRule>
  </conditionalFormatting>
  <conditionalFormatting sqref="A71:B71">
    <cfRule type="cellIs" dxfId="557" priority="4" stopIfTrue="1" operator="equal">
      <formula>"open"</formula>
    </cfRule>
  </conditionalFormatting>
  <conditionalFormatting sqref="A72">
    <cfRule type="cellIs" dxfId="556" priority="3" stopIfTrue="1" operator="equal">
      <formula>"open"</formula>
    </cfRule>
  </conditionalFormatting>
  <conditionalFormatting sqref="B72">
    <cfRule type="cellIs" dxfId="555" priority="2" stopIfTrue="1" operator="equal">
      <formula>"open"</formula>
    </cfRule>
  </conditionalFormatting>
  <conditionalFormatting sqref="A76:B76">
    <cfRule type="cellIs" dxfId="554" priority="1" stopIfTrue="1" operator="equal">
      <formula>"open"</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8">
    <tabColor indexed="10"/>
  </sheetPr>
  <dimension ref="A1:CA676"/>
  <sheetViews>
    <sheetView topLeftCell="A92" zoomScale="85" zoomScaleNormal="85" workbookViewId="0">
      <selection activeCell="A5" sqref="A5"/>
    </sheetView>
  </sheetViews>
  <sheetFormatPr defaultColWidth="9.109375" defaultRowHeight="13.2"/>
  <cols>
    <col min="1" max="1" width="8.5546875" style="201" customWidth="1"/>
    <col min="2" max="2" width="7.88671875" style="201" customWidth="1"/>
    <col min="3" max="3" width="21.109375" style="201" customWidth="1"/>
    <col min="4" max="4" width="65.33203125" style="201" customWidth="1"/>
    <col min="5" max="9" width="5.6640625" style="206" customWidth="1"/>
    <col min="10" max="10" width="5.109375" style="206" customWidth="1"/>
    <col min="11" max="15" width="5.6640625" style="206" customWidth="1"/>
    <col min="16" max="16" width="5.109375" style="206" customWidth="1"/>
    <col min="17" max="17" width="8.88671875" style="206" customWidth="1"/>
    <col min="18" max="18" width="14.5546875" style="206" customWidth="1"/>
    <col min="19" max="19" width="9.109375" style="206"/>
    <col min="20" max="22" width="18.88671875" style="206" customWidth="1"/>
    <col min="23" max="23" width="12.88671875" style="206" customWidth="1"/>
    <col min="24" max="24" width="11.6640625" style="206" customWidth="1"/>
    <col min="25" max="26" width="9.109375" style="206"/>
    <col min="27" max="27" width="12.44140625" style="206" customWidth="1"/>
    <col min="28" max="28" width="41.5546875" style="206" customWidth="1"/>
    <col min="29" max="29" width="29" style="206" customWidth="1"/>
    <col min="30" max="30" width="10.88671875" style="206" customWidth="1"/>
    <col min="31" max="31" width="11.44140625" style="206" customWidth="1"/>
    <col min="32" max="32" width="14.44140625" style="206" customWidth="1"/>
    <col min="33" max="33" width="9.109375" style="205"/>
    <col min="34" max="34" width="9.109375" style="204"/>
    <col min="35" max="35" width="9.109375" style="203"/>
    <col min="36" max="36" width="12.88671875" style="206" customWidth="1"/>
    <col min="37" max="37" width="9.109375" style="205"/>
    <col min="38" max="38" width="9.109375" style="204"/>
    <col min="39" max="39" width="9.109375" style="203"/>
    <col min="40" max="42" width="23.6640625" style="202" customWidth="1"/>
    <col min="43" max="43" width="23.44140625" style="202" customWidth="1"/>
    <col min="44" max="48" width="22.6640625" style="202" customWidth="1"/>
    <col min="49" max="49" width="25.33203125" style="202" customWidth="1"/>
    <col min="50" max="54" width="22.6640625" style="202" customWidth="1"/>
    <col min="55" max="16384" width="9.109375" style="201"/>
  </cols>
  <sheetData>
    <row r="1" spans="1:54">
      <c r="E1" s="901" t="s">
        <v>32</v>
      </c>
      <c r="F1" s="901"/>
      <c r="G1" s="901"/>
      <c r="H1" s="901"/>
      <c r="I1" s="901"/>
      <c r="J1" s="901"/>
      <c r="K1" s="901"/>
      <c r="L1" s="901"/>
      <c r="M1" s="901"/>
      <c r="N1" s="901"/>
      <c r="O1" s="901"/>
      <c r="P1" s="901"/>
      <c r="Q1" s="901" t="s">
        <v>33</v>
      </c>
      <c r="R1" s="901"/>
      <c r="S1" s="902"/>
      <c r="T1" s="900" t="s">
        <v>38</v>
      </c>
      <c r="U1" s="901"/>
      <c r="V1" s="901"/>
      <c r="W1" s="901"/>
      <c r="X1" s="902"/>
      <c r="Y1" s="901" t="s">
        <v>39</v>
      </c>
      <c r="Z1" s="901"/>
      <c r="AA1" s="900" t="s">
        <v>47</v>
      </c>
      <c r="AB1" s="901"/>
      <c r="AC1" s="902"/>
      <c r="AD1" s="900" t="s">
        <v>49</v>
      </c>
      <c r="AE1" s="901"/>
      <c r="AF1" s="901"/>
      <c r="AG1" s="901"/>
      <c r="AH1" s="901"/>
      <c r="AI1" s="902"/>
      <c r="AJ1" s="900" t="s">
        <v>55</v>
      </c>
      <c r="AK1" s="901"/>
      <c r="AL1" s="901"/>
      <c r="AM1" s="902"/>
      <c r="AN1" s="900" t="s">
        <v>59</v>
      </c>
      <c r="AO1" s="901"/>
      <c r="AP1" s="901"/>
      <c r="AQ1" s="901"/>
      <c r="AR1" s="901"/>
      <c r="AS1" s="901"/>
      <c r="AT1" s="901"/>
      <c r="AU1" s="901"/>
      <c r="AV1" s="901"/>
      <c r="AW1" s="902"/>
      <c r="AX1" s="900" t="s">
        <v>65</v>
      </c>
      <c r="AY1" s="901"/>
      <c r="AZ1" s="901"/>
      <c r="BA1" s="901"/>
      <c r="BB1" s="902"/>
    </row>
    <row r="2" spans="1:54">
      <c r="C2" s="201" t="s">
        <v>111</v>
      </c>
      <c r="S2" s="276"/>
      <c r="T2" s="280"/>
      <c r="X2" s="276"/>
      <c r="AA2" s="279" t="s">
        <v>108</v>
      </c>
      <c r="AC2" s="276"/>
      <c r="AD2" s="206" t="s">
        <v>109</v>
      </c>
      <c r="AE2" s="206" t="s">
        <v>120</v>
      </c>
      <c r="AF2" s="206" t="s">
        <v>110</v>
      </c>
      <c r="AG2" s="206" t="s">
        <v>112</v>
      </c>
      <c r="AH2" s="206" t="s">
        <v>113</v>
      </c>
      <c r="AI2" s="276" t="s">
        <v>114</v>
      </c>
      <c r="AJ2" s="206" t="s">
        <v>121</v>
      </c>
      <c r="AK2" s="206" t="s">
        <v>122</v>
      </c>
      <c r="AL2" s="206" t="s">
        <v>123</v>
      </c>
      <c r="AM2" s="206" t="s">
        <v>124</v>
      </c>
      <c r="AN2" s="280"/>
      <c r="AO2" s="206"/>
      <c r="AP2" s="206"/>
      <c r="AQ2" s="206"/>
      <c r="AR2" s="206"/>
      <c r="AS2" s="206"/>
      <c r="AT2" s="206"/>
      <c r="AU2" s="206"/>
      <c r="AV2" s="206"/>
      <c r="AW2" s="276"/>
      <c r="AX2" s="280"/>
      <c r="AY2" s="206"/>
      <c r="AZ2" s="206"/>
      <c r="BA2" s="206"/>
      <c r="BB2" s="276"/>
    </row>
    <row r="3" spans="1:54">
      <c r="E3" s="900" t="s">
        <v>24</v>
      </c>
      <c r="F3" s="901"/>
      <c r="G3" s="901"/>
      <c r="H3" s="901"/>
      <c r="I3" s="901"/>
      <c r="J3" s="276" t="s">
        <v>25</v>
      </c>
      <c r="K3" s="900" t="s">
        <v>29</v>
      </c>
      <c r="L3" s="901"/>
      <c r="M3" s="901"/>
      <c r="N3" s="901"/>
      <c r="O3" s="901"/>
      <c r="P3" s="276" t="s">
        <v>25</v>
      </c>
      <c r="Q3" s="206" t="s">
        <v>34</v>
      </c>
      <c r="R3" s="206" t="s">
        <v>23</v>
      </c>
      <c r="S3" s="276" t="s">
        <v>37</v>
      </c>
      <c r="T3" s="279" t="s">
        <v>71</v>
      </c>
      <c r="U3" s="900" t="s">
        <v>68</v>
      </c>
      <c r="V3" s="902"/>
      <c r="W3" s="279" t="s">
        <v>69</v>
      </c>
      <c r="X3" s="276" t="s">
        <v>70</v>
      </c>
      <c r="Y3" s="206" t="s">
        <v>40</v>
      </c>
      <c r="Z3" s="206" t="s">
        <v>41</v>
      </c>
      <c r="AA3" s="279"/>
      <c r="AB3" s="279"/>
      <c r="AC3" s="276"/>
      <c r="AG3" s="901" t="s">
        <v>4</v>
      </c>
      <c r="AH3" s="901"/>
      <c r="AI3" s="902"/>
      <c r="AK3" s="901" t="s">
        <v>4</v>
      </c>
      <c r="AL3" s="901"/>
      <c r="AM3" s="902"/>
      <c r="AN3" s="903" t="s">
        <v>86</v>
      </c>
      <c r="AO3" s="904"/>
      <c r="AP3" s="904"/>
      <c r="AQ3" s="904"/>
      <c r="AR3" s="905"/>
      <c r="AS3" s="904" t="s">
        <v>85</v>
      </c>
      <c r="AT3" s="904"/>
      <c r="AU3" s="904"/>
      <c r="AV3" s="904"/>
      <c r="AW3" s="905"/>
      <c r="AX3" s="295"/>
      <c r="BB3" s="277"/>
    </row>
    <row r="4" spans="1:54" ht="13.8" thickBot="1">
      <c r="A4" s="201">
        <v>1</v>
      </c>
      <c r="E4" s="280" t="s">
        <v>18</v>
      </c>
      <c r="F4" s="206" t="s">
        <v>19</v>
      </c>
      <c r="G4" s="206" t="s">
        <v>20</v>
      </c>
      <c r="H4" s="206" t="s">
        <v>21</v>
      </c>
      <c r="I4" s="206" t="s">
        <v>22</v>
      </c>
      <c r="J4" s="276" t="s">
        <v>15</v>
      </c>
      <c r="K4" s="280" t="s">
        <v>18</v>
      </c>
      <c r="L4" s="206" t="s">
        <v>19</v>
      </c>
      <c r="M4" s="206" t="s">
        <v>20</v>
      </c>
      <c r="N4" s="206" t="s">
        <v>21</v>
      </c>
      <c r="O4" s="206" t="s">
        <v>22</v>
      </c>
      <c r="P4" s="276" t="s">
        <v>15</v>
      </c>
      <c r="S4" s="276"/>
      <c r="T4" s="337">
        <v>0.7</v>
      </c>
      <c r="U4" s="338" t="s">
        <v>72</v>
      </c>
      <c r="V4" s="336" t="s">
        <v>73</v>
      </c>
      <c r="W4" s="337">
        <v>3.2</v>
      </c>
      <c r="X4" s="336" t="s">
        <v>74</v>
      </c>
      <c r="AA4" s="279" t="s">
        <v>77</v>
      </c>
      <c r="AB4" s="335" t="s">
        <v>78</v>
      </c>
      <c r="AC4" s="334" t="s">
        <v>105</v>
      </c>
      <c r="AD4" s="206" t="s">
        <v>50</v>
      </c>
      <c r="AE4" s="333" t="s">
        <v>51</v>
      </c>
      <c r="AF4" s="206" t="s">
        <v>58</v>
      </c>
      <c r="AG4" s="205" t="s">
        <v>54</v>
      </c>
      <c r="AH4" s="204" t="s">
        <v>52</v>
      </c>
      <c r="AI4" s="203" t="s">
        <v>53</v>
      </c>
      <c r="AJ4" s="206" t="s">
        <v>58</v>
      </c>
      <c r="AK4" s="205" t="s">
        <v>54</v>
      </c>
      <c r="AL4" s="204" t="s">
        <v>52</v>
      </c>
      <c r="AM4" s="203" t="s">
        <v>53</v>
      </c>
      <c r="AN4" s="295" t="s">
        <v>60</v>
      </c>
      <c r="AO4" s="202" t="s">
        <v>61</v>
      </c>
      <c r="AP4" s="202" t="s">
        <v>62</v>
      </c>
      <c r="AQ4" s="202" t="s">
        <v>63</v>
      </c>
      <c r="AR4" s="202" t="s">
        <v>64</v>
      </c>
      <c r="AS4" s="295" t="s">
        <v>60</v>
      </c>
      <c r="AT4" s="202" t="s">
        <v>61</v>
      </c>
      <c r="AU4" s="202" t="s">
        <v>62</v>
      </c>
      <c r="AV4" s="202" t="s">
        <v>63</v>
      </c>
      <c r="AW4" s="277" t="s">
        <v>64</v>
      </c>
      <c r="AX4" s="295" t="s">
        <v>60</v>
      </c>
      <c r="AY4" s="202" t="s">
        <v>61</v>
      </c>
      <c r="AZ4" s="202" t="s">
        <v>62</v>
      </c>
      <c r="BA4" s="202" t="s">
        <v>63</v>
      </c>
      <c r="BB4" s="277" t="s">
        <v>64</v>
      </c>
    </row>
    <row r="5" spans="1:54" s="318" customFormat="1" ht="13.8" thickTop="1">
      <c r="B5" s="318">
        <v>1</v>
      </c>
      <c r="C5" s="318" t="s">
        <v>9</v>
      </c>
      <c r="D5" s="318" t="s">
        <v>10</v>
      </c>
      <c r="E5" s="332">
        <v>0.9</v>
      </c>
      <c r="F5" s="326">
        <v>0.9</v>
      </c>
      <c r="G5" s="326">
        <v>0.9</v>
      </c>
      <c r="H5" s="326">
        <v>0.9</v>
      </c>
      <c r="I5" s="326">
        <v>0.9</v>
      </c>
      <c r="J5" s="331">
        <v>7</v>
      </c>
      <c r="K5" s="280">
        <v>0.7</v>
      </c>
      <c r="L5" s="206">
        <v>0.7</v>
      </c>
      <c r="M5" s="206">
        <v>0.7</v>
      </c>
      <c r="N5" s="206">
        <v>0.7</v>
      </c>
      <c r="O5" s="206">
        <v>0.7</v>
      </c>
      <c r="P5" s="331">
        <v>7</v>
      </c>
      <c r="Q5" s="326" t="s">
        <v>36</v>
      </c>
      <c r="R5" s="326">
        <v>6</v>
      </c>
      <c r="S5" s="331">
        <v>3</v>
      </c>
      <c r="T5" s="330" t="s">
        <v>36</v>
      </c>
      <c r="U5" s="280" t="s">
        <v>36</v>
      </c>
      <c r="V5" s="276" t="s">
        <v>36</v>
      </c>
      <c r="W5" s="279" t="s">
        <v>36</v>
      </c>
      <c r="X5" s="276" t="s">
        <v>36</v>
      </c>
      <c r="Y5" s="326">
        <v>10</v>
      </c>
      <c r="Z5" s="326">
        <v>0.5</v>
      </c>
      <c r="AA5" s="329" t="s">
        <v>80</v>
      </c>
      <c r="AB5" s="328" t="s">
        <v>79</v>
      </c>
      <c r="AC5" s="310" t="s">
        <v>35</v>
      </c>
      <c r="AD5" s="327">
        <v>0.55000000000000004</v>
      </c>
      <c r="AE5" s="315">
        <v>0.35</v>
      </c>
      <c r="AF5" s="326" t="s">
        <v>57</v>
      </c>
      <c r="AG5" s="324">
        <v>5</v>
      </c>
      <c r="AH5" s="323">
        <v>1.8</v>
      </c>
      <c r="AI5" s="322">
        <v>2.6</v>
      </c>
      <c r="AJ5" s="325" t="s">
        <v>57</v>
      </c>
      <c r="AK5" s="324">
        <v>5</v>
      </c>
      <c r="AL5" s="323">
        <v>1.8</v>
      </c>
      <c r="AM5" s="322">
        <v>2.6</v>
      </c>
      <c r="AN5" s="321">
        <v>125</v>
      </c>
      <c r="AO5" s="320">
        <v>125</v>
      </c>
      <c r="AP5" s="320">
        <v>125</v>
      </c>
      <c r="AQ5" s="320">
        <v>125</v>
      </c>
      <c r="AR5" s="320">
        <v>125</v>
      </c>
      <c r="AS5" s="321">
        <v>125</v>
      </c>
      <c r="AT5" s="320">
        <v>125</v>
      </c>
      <c r="AU5" s="320">
        <v>125</v>
      </c>
      <c r="AV5" s="320">
        <v>125</v>
      </c>
      <c r="AW5" s="319">
        <v>125</v>
      </c>
      <c r="AX5" s="321">
        <v>250</v>
      </c>
      <c r="AY5" s="320">
        <v>250</v>
      </c>
      <c r="AZ5" s="320">
        <v>250</v>
      </c>
      <c r="BA5" s="320">
        <v>250</v>
      </c>
      <c r="BB5" s="319">
        <v>250</v>
      </c>
    </row>
    <row r="6" spans="1:54">
      <c r="D6" s="201" t="s">
        <v>17</v>
      </c>
      <c r="E6" s="280">
        <v>0.8</v>
      </c>
      <c r="F6" s="206">
        <v>0.8</v>
      </c>
      <c r="G6" s="206">
        <v>0.8</v>
      </c>
      <c r="H6" s="206">
        <v>0.8</v>
      </c>
      <c r="I6" s="206">
        <v>0.8</v>
      </c>
      <c r="J6" s="276">
        <v>7</v>
      </c>
      <c r="K6" s="280">
        <v>0.8</v>
      </c>
      <c r="L6" s="206">
        <v>0.8</v>
      </c>
      <c r="M6" s="206">
        <v>0.8</v>
      </c>
      <c r="N6" s="206">
        <v>0.8</v>
      </c>
      <c r="O6" s="206">
        <v>0.8</v>
      </c>
      <c r="P6" s="276">
        <v>7</v>
      </c>
      <c r="Q6" s="206" t="s">
        <v>35</v>
      </c>
      <c r="R6" s="206" t="s">
        <v>98</v>
      </c>
      <c r="S6" s="276" t="s">
        <v>98</v>
      </c>
      <c r="T6" s="279" t="s">
        <v>35</v>
      </c>
      <c r="U6" s="280" t="s">
        <v>36</v>
      </c>
      <c r="V6" s="276" t="s">
        <v>36</v>
      </c>
      <c r="W6" s="279" t="s">
        <v>35</v>
      </c>
      <c r="X6" s="276" t="s">
        <v>35</v>
      </c>
      <c r="Y6" s="206">
        <v>8</v>
      </c>
      <c r="Z6" s="206">
        <v>0.5</v>
      </c>
      <c r="AA6" s="311" t="s">
        <v>35</v>
      </c>
      <c r="AB6" s="311" t="s">
        <v>35</v>
      </c>
      <c r="AC6" s="310" t="s">
        <v>35</v>
      </c>
      <c r="AD6" s="278">
        <v>0.6</v>
      </c>
      <c r="AE6" s="315">
        <v>0.35</v>
      </c>
      <c r="AF6" s="206" t="s">
        <v>56</v>
      </c>
      <c r="AG6" s="205">
        <v>4</v>
      </c>
      <c r="AH6" s="204">
        <v>1.6</v>
      </c>
      <c r="AI6" s="203">
        <v>2.6</v>
      </c>
      <c r="AJ6" s="300" t="s">
        <v>56</v>
      </c>
      <c r="AK6" s="205">
        <v>4</v>
      </c>
      <c r="AL6" s="204">
        <v>1.6</v>
      </c>
      <c r="AM6" s="203">
        <v>2.6</v>
      </c>
      <c r="AN6" s="302">
        <v>1</v>
      </c>
      <c r="AO6" s="317">
        <v>1</v>
      </c>
      <c r="AP6" s="317">
        <v>1</v>
      </c>
      <c r="AQ6" s="317">
        <v>1</v>
      </c>
      <c r="AR6" s="316">
        <v>1</v>
      </c>
      <c r="AS6" s="302">
        <v>1</v>
      </c>
      <c r="AT6" s="317">
        <v>1</v>
      </c>
      <c r="AU6" s="317">
        <v>1</v>
      </c>
      <c r="AV6" s="317">
        <v>1</v>
      </c>
      <c r="AW6" s="316">
        <v>1</v>
      </c>
      <c r="AX6" s="302">
        <v>1</v>
      </c>
      <c r="AY6" s="317">
        <v>1</v>
      </c>
      <c r="AZ6" s="317">
        <v>1</v>
      </c>
      <c r="BA6" s="317">
        <v>1</v>
      </c>
      <c r="BB6" s="316">
        <v>1</v>
      </c>
    </row>
    <row r="7" spans="1:54">
      <c r="D7" s="201" t="s">
        <v>12</v>
      </c>
      <c r="E7" s="280">
        <v>0.9</v>
      </c>
      <c r="F7" s="206">
        <v>0.9</v>
      </c>
      <c r="G7" s="206">
        <v>0.9</v>
      </c>
      <c r="H7" s="206">
        <v>0.9</v>
      </c>
      <c r="I7" s="206">
        <v>0.9</v>
      </c>
      <c r="J7" s="276">
        <v>7</v>
      </c>
      <c r="K7" s="280">
        <v>0.7</v>
      </c>
      <c r="L7" s="206">
        <v>0.7</v>
      </c>
      <c r="M7" s="206">
        <v>0.7</v>
      </c>
      <c r="N7" s="206">
        <v>0.7</v>
      </c>
      <c r="O7" s="206">
        <v>0.7</v>
      </c>
      <c r="P7" s="276">
        <v>7</v>
      </c>
      <c r="Q7" s="206" t="s">
        <v>36</v>
      </c>
      <c r="R7" s="206">
        <v>6</v>
      </c>
      <c r="S7" s="276">
        <v>3</v>
      </c>
      <c r="T7" s="279" t="s">
        <v>104</v>
      </c>
      <c r="U7" s="280" t="s">
        <v>36</v>
      </c>
      <c r="V7" s="276" t="s">
        <v>36</v>
      </c>
      <c r="W7" s="279" t="s">
        <v>36</v>
      </c>
      <c r="X7" s="276" t="s">
        <v>36</v>
      </c>
      <c r="Y7" s="206">
        <v>10</v>
      </c>
      <c r="Z7" s="206">
        <v>0.5</v>
      </c>
      <c r="AA7" s="311" t="s">
        <v>35</v>
      </c>
      <c r="AB7" s="311" t="s">
        <v>35</v>
      </c>
      <c r="AC7" s="310" t="s">
        <v>35</v>
      </c>
      <c r="AD7" s="278">
        <v>0.55000000000000004</v>
      </c>
      <c r="AE7" s="315">
        <v>0.35</v>
      </c>
      <c r="AF7" s="206" t="s">
        <v>57</v>
      </c>
      <c r="AG7" s="205">
        <v>5</v>
      </c>
      <c r="AH7" s="204">
        <v>1.8</v>
      </c>
      <c r="AI7" s="203">
        <v>2.6</v>
      </c>
      <c r="AJ7" s="300" t="s">
        <v>57</v>
      </c>
      <c r="AK7" s="205">
        <v>5</v>
      </c>
      <c r="AL7" s="204">
        <v>1.8</v>
      </c>
      <c r="AM7" s="203">
        <v>2.6</v>
      </c>
      <c r="AN7" s="302">
        <v>1</v>
      </c>
      <c r="AO7" s="317">
        <v>1</v>
      </c>
      <c r="AP7" s="317">
        <v>1</v>
      </c>
      <c r="AQ7" s="317">
        <v>1</v>
      </c>
      <c r="AR7" s="316">
        <v>1</v>
      </c>
      <c r="AS7" s="302">
        <v>1</v>
      </c>
      <c r="AT7" s="317">
        <v>1</v>
      </c>
      <c r="AU7" s="317">
        <v>1</v>
      </c>
      <c r="AV7" s="317">
        <v>1</v>
      </c>
      <c r="AW7" s="316">
        <v>1</v>
      </c>
      <c r="AX7" s="302">
        <v>1</v>
      </c>
      <c r="AY7" s="317">
        <v>1</v>
      </c>
      <c r="AZ7" s="317">
        <v>1</v>
      </c>
      <c r="BA7" s="317">
        <v>1</v>
      </c>
      <c r="BB7" s="316">
        <v>1</v>
      </c>
    </row>
    <row r="8" spans="1:54">
      <c r="D8" s="212" t="s">
        <v>67</v>
      </c>
      <c r="E8" s="314">
        <v>0.9</v>
      </c>
      <c r="F8" s="313">
        <v>0.9</v>
      </c>
      <c r="G8" s="313">
        <v>0.9</v>
      </c>
      <c r="H8" s="313">
        <v>0.9</v>
      </c>
      <c r="I8" s="313">
        <v>0.9</v>
      </c>
      <c r="J8" s="312">
        <v>7</v>
      </c>
      <c r="K8" s="314">
        <v>0.9</v>
      </c>
      <c r="L8" s="313">
        <v>0.9</v>
      </c>
      <c r="M8" s="313">
        <v>0.9</v>
      </c>
      <c r="N8" s="313">
        <v>0.9</v>
      </c>
      <c r="O8" s="313">
        <v>0.9</v>
      </c>
      <c r="P8" s="312">
        <v>7</v>
      </c>
      <c r="Q8" s="206" t="s">
        <v>36</v>
      </c>
      <c r="R8" s="206">
        <v>6</v>
      </c>
      <c r="S8" s="276">
        <v>3</v>
      </c>
      <c r="T8" s="279" t="s">
        <v>35</v>
      </c>
      <c r="U8" s="280" t="s">
        <v>36</v>
      </c>
      <c r="V8" s="276" t="s">
        <v>36</v>
      </c>
      <c r="W8" s="279" t="s">
        <v>36</v>
      </c>
      <c r="X8" s="276" t="s">
        <v>36</v>
      </c>
      <c r="Y8" s="206">
        <v>10</v>
      </c>
      <c r="Z8" s="206">
        <v>0.5</v>
      </c>
      <c r="AA8" s="311" t="s">
        <v>35</v>
      </c>
      <c r="AB8" s="311" t="s">
        <v>35</v>
      </c>
      <c r="AC8" s="310" t="s">
        <v>35</v>
      </c>
      <c r="AD8" s="278">
        <v>0.55000000000000004</v>
      </c>
      <c r="AE8" s="315">
        <v>0.35</v>
      </c>
      <c r="AF8" s="206" t="s">
        <v>57</v>
      </c>
      <c r="AG8" s="205">
        <v>5</v>
      </c>
      <c r="AH8" s="204">
        <v>1.8</v>
      </c>
      <c r="AI8" s="203">
        <v>2.6</v>
      </c>
      <c r="AJ8" s="300" t="s">
        <v>57</v>
      </c>
      <c r="AK8" s="205">
        <v>5</v>
      </c>
      <c r="AL8" s="204">
        <v>1.8</v>
      </c>
      <c r="AM8" s="203">
        <v>2.6</v>
      </c>
      <c r="AN8" s="299">
        <v>125</v>
      </c>
      <c r="AO8" s="275">
        <v>125</v>
      </c>
      <c r="AP8" s="275">
        <v>125</v>
      </c>
      <c r="AQ8" s="275">
        <v>125</v>
      </c>
      <c r="AR8" s="275">
        <v>125</v>
      </c>
      <c r="AS8" s="299">
        <v>125</v>
      </c>
      <c r="AT8" s="275">
        <v>125</v>
      </c>
      <c r="AU8" s="275">
        <v>125</v>
      </c>
      <c r="AV8" s="275">
        <v>125</v>
      </c>
      <c r="AW8" s="294">
        <v>125</v>
      </c>
      <c r="AX8" s="299">
        <v>250</v>
      </c>
      <c r="AY8" s="275">
        <v>250</v>
      </c>
      <c r="AZ8" s="275">
        <v>250</v>
      </c>
      <c r="BA8" s="275">
        <v>250</v>
      </c>
      <c r="BB8" s="294">
        <v>250</v>
      </c>
    </row>
    <row r="9" spans="1:54" ht="15.6">
      <c r="D9" s="212" t="s">
        <v>66</v>
      </c>
      <c r="E9" s="314">
        <v>0.9</v>
      </c>
      <c r="F9" s="313">
        <v>0.9</v>
      </c>
      <c r="G9" s="313">
        <v>0.9</v>
      </c>
      <c r="H9" s="313">
        <v>0.9</v>
      </c>
      <c r="I9" s="313">
        <v>0.9</v>
      </c>
      <c r="J9" s="312">
        <v>7</v>
      </c>
      <c r="K9" s="314">
        <v>0.9</v>
      </c>
      <c r="L9" s="313">
        <v>0.9</v>
      </c>
      <c r="M9" s="313">
        <v>0.9</v>
      </c>
      <c r="N9" s="313">
        <v>0.9</v>
      </c>
      <c r="O9" s="313">
        <v>0.9</v>
      </c>
      <c r="P9" s="312">
        <v>7</v>
      </c>
      <c r="Q9" s="206" t="s">
        <v>36</v>
      </c>
      <c r="R9" s="206">
        <v>6</v>
      </c>
      <c r="S9" s="276">
        <v>3</v>
      </c>
      <c r="T9" s="279" t="s">
        <v>35</v>
      </c>
      <c r="U9" s="280" t="s">
        <v>36</v>
      </c>
      <c r="V9" s="276" t="s">
        <v>36</v>
      </c>
      <c r="W9" s="279" t="s">
        <v>36</v>
      </c>
      <c r="X9" s="276" t="s">
        <v>36</v>
      </c>
      <c r="Y9" s="206">
        <v>10</v>
      </c>
      <c r="Z9" s="206">
        <v>0.5</v>
      </c>
      <c r="AA9" s="311" t="s">
        <v>80</v>
      </c>
      <c r="AB9" s="311" t="s">
        <v>35</v>
      </c>
      <c r="AC9" s="310" t="s">
        <v>35</v>
      </c>
      <c r="AD9" s="278">
        <v>0.55000000000000004</v>
      </c>
      <c r="AE9" s="278">
        <v>0.35</v>
      </c>
      <c r="AF9" s="206" t="s">
        <v>57</v>
      </c>
      <c r="AG9" s="205">
        <v>5</v>
      </c>
      <c r="AH9" s="204">
        <v>1.8</v>
      </c>
      <c r="AI9" s="203">
        <v>2.6</v>
      </c>
      <c r="AJ9" s="300" t="s">
        <v>57</v>
      </c>
      <c r="AK9" s="205">
        <v>5</v>
      </c>
      <c r="AL9" s="204">
        <v>1.8</v>
      </c>
      <c r="AM9" s="203">
        <v>2.6</v>
      </c>
      <c r="AN9" s="299">
        <v>125</v>
      </c>
      <c r="AO9" s="275">
        <v>125</v>
      </c>
      <c r="AP9" s="275">
        <v>125</v>
      </c>
      <c r="AQ9" s="275">
        <v>125</v>
      </c>
      <c r="AR9" s="275">
        <v>125</v>
      </c>
      <c r="AS9" s="299">
        <v>125</v>
      </c>
      <c r="AT9" s="275">
        <v>125</v>
      </c>
      <c r="AU9" s="275">
        <v>125</v>
      </c>
      <c r="AV9" s="275">
        <v>125</v>
      </c>
      <c r="AW9" s="294">
        <v>125</v>
      </c>
      <c r="AX9" s="299">
        <v>250</v>
      </c>
      <c r="AY9" s="275">
        <v>250</v>
      </c>
      <c r="AZ9" s="275">
        <v>250</v>
      </c>
      <c r="BA9" s="275">
        <v>250</v>
      </c>
      <c r="BB9" s="294">
        <v>250</v>
      </c>
    </row>
    <row r="10" spans="1:54" ht="15.6">
      <c r="D10" s="212" t="s">
        <v>82</v>
      </c>
      <c r="E10" s="314">
        <v>0.9</v>
      </c>
      <c r="F10" s="313">
        <v>0.9</v>
      </c>
      <c r="G10" s="313">
        <v>0.9</v>
      </c>
      <c r="H10" s="313">
        <v>0.9</v>
      </c>
      <c r="I10" s="313">
        <v>0.9</v>
      </c>
      <c r="J10" s="312">
        <v>7</v>
      </c>
      <c r="K10" s="314">
        <v>0.9</v>
      </c>
      <c r="L10" s="313">
        <v>0.9</v>
      </c>
      <c r="M10" s="313">
        <v>0.9</v>
      </c>
      <c r="N10" s="313">
        <v>0.9</v>
      </c>
      <c r="O10" s="313">
        <v>0.9</v>
      </c>
      <c r="P10" s="312">
        <v>7</v>
      </c>
      <c r="Q10" s="206" t="s">
        <v>36</v>
      </c>
      <c r="R10" s="206">
        <v>6</v>
      </c>
      <c r="S10" s="276">
        <v>3</v>
      </c>
      <c r="T10" s="279" t="s">
        <v>35</v>
      </c>
      <c r="U10" s="280" t="s">
        <v>36</v>
      </c>
      <c r="V10" s="276" t="s">
        <v>36</v>
      </c>
      <c r="W10" s="279" t="s">
        <v>36</v>
      </c>
      <c r="X10" s="276" t="s">
        <v>36</v>
      </c>
      <c r="Y10" s="206">
        <v>10</v>
      </c>
      <c r="Z10" s="206">
        <v>0.5</v>
      </c>
      <c r="AA10" s="311" t="s">
        <v>80</v>
      </c>
      <c r="AB10" s="311" t="s">
        <v>35</v>
      </c>
      <c r="AC10" s="310" t="s">
        <v>35</v>
      </c>
      <c r="AD10" s="278">
        <v>0.55000000000000004</v>
      </c>
      <c r="AE10" s="278">
        <v>0.35</v>
      </c>
      <c r="AF10" s="206" t="s">
        <v>57</v>
      </c>
      <c r="AG10" s="205">
        <v>5</v>
      </c>
      <c r="AH10" s="204">
        <v>1.8</v>
      </c>
      <c r="AI10" s="203">
        <v>2.6</v>
      </c>
      <c r="AJ10" s="300" t="s">
        <v>57</v>
      </c>
      <c r="AK10" s="205">
        <v>5</v>
      </c>
      <c r="AL10" s="204">
        <v>1.8</v>
      </c>
      <c r="AM10" s="203">
        <v>2.6</v>
      </c>
      <c r="AN10" s="299">
        <v>125</v>
      </c>
      <c r="AO10" s="275">
        <v>125</v>
      </c>
      <c r="AP10" s="275">
        <v>125</v>
      </c>
      <c r="AQ10" s="275">
        <v>125</v>
      </c>
      <c r="AR10" s="275">
        <v>125</v>
      </c>
      <c r="AS10" s="299">
        <v>125</v>
      </c>
      <c r="AT10" s="275">
        <v>125</v>
      </c>
      <c r="AU10" s="275">
        <v>125</v>
      </c>
      <c r="AV10" s="275">
        <v>125</v>
      </c>
      <c r="AW10" s="294">
        <v>125</v>
      </c>
      <c r="AX10" s="299">
        <v>250</v>
      </c>
      <c r="AY10" s="275">
        <v>250</v>
      </c>
      <c r="AZ10" s="275">
        <v>250</v>
      </c>
      <c r="BA10" s="275">
        <v>250</v>
      </c>
      <c r="BB10" s="294">
        <v>250</v>
      </c>
    </row>
    <row r="11" spans="1:54" ht="15.6">
      <c r="D11" s="212" t="s">
        <v>81</v>
      </c>
      <c r="E11" s="314">
        <v>0.9</v>
      </c>
      <c r="F11" s="313">
        <v>0.9</v>
      </c>
      <c r="G11" s="313">
        <v>0.9</v>
      </c>
      <c r="H11" s="313">
        <v>0.9</v>
      </c>
      <c r="I11" s="313">
        <v>0.9</v>
      </c>
      <c r="J11" s="312">
        <v>7</v>
      </c>
      <c r="K11" s="314">
        <v>0.9</v>
      </c>
      <c r="L11" s="313">
        <v>0.9</v>
      </c>
      <c r="M11" s="313">
        <v>0.9</v>
      </c>
      <c r="N11" s="313">
        <v>0.9</v>
      </c>
      <c r="O11" s="313">
        <v>0.9</v>
      </c>
      <c r="P11" s="312">
        <v>7</v>
      </c>
      <c r="Q11" s="206" t="s">
        <v>36</v>
      </c>
      <c r="R11" s="206">
        <v>6</v>
      </c>
      <c r="S11" s="276">
        <v>3</v>
      </c>
      <c r="T11" s="279" t="s">
        <v>36</v>
      </c>
      <c r="U11" s="280" t="s">
        <v>36</v>
      </c>
      <c r="V11" s="276" t="s">
        <v>36</v>
      </c>
      <c r="W11" s="279" t="s">
        <v>36</v>
      </c>
      <c r="X11" s="276" t="s">
        <v>36</v>
      </c>
      <c r="Y11" s="206">
        <v>10</v>
      </c>
      <c r="Z11" s="206">
        <v>0.5</v>
      </c>
      <c r="AA11" s="311" t="s">
        <v>35</v>
      </c>
      <c r="AB11" s="311" t="s">
        <v>35</v>
      </c>
      <c r="AC11" s="310" t="s">
        <v>35</v>
      </c>
      <c r="AD11" s="278">
        <v>0.55000000000000004</v>
      </c>
      <c r="AE11" s="278" t="s">
        <v>35</v>
      </c>
      <c r="AF11" s="206" t="s">
        <v>57</v>
      </c>
      <c r="AG11" s="205">
        <v>5</v>
      </c>
      <c r="AH11" s="204">
        <v>1.8</v>
      </c>
      <c r="AI11" s="203">
        <v>2.6</v>
      </c>
      <c r="AJ11" s="300" t="s">
        <v>57</v>
      </c>
      <c r="AK11" s="205">
        <v>5</v>
      </c>
      <c r="AL11" s="204">
        <v>1.8</v>
      </c>
      <c r="AM11" s="203">
        <v>2.6</v>
      </c>
      <c r="AN11" s="309">
        <v>1</v>
      </c>
      <c r="AO11" s="309">
        <v>1</v>
      </c>
      <c r="AP11" s="309">
        <v>1</v>
      </c>
      <c r="AQ11" s="309">
        <v>1</v>
      </c>
      <c r="AR11" s="309">
        <v>1</v>
      </c>
      <c r="AS11" s="309">
        <v>1</v>
      </c>
      <c r="AT11" s="309">
        <v>1</v>
      </c>
      <c r="AU11" s="309">
        <v>1</v>
      </c>
      <c r="AV11" s="309">
        <v>1</v>
      </c>
      <c r="AW11" s="308">
        <v>1</v>
      </c>
      <c r="AX11" s="307">
        <v>1</v>
      </c>
      <c r="AY11" s="307">
        <v>1</v>
      </c>
      <c r="AZ11" s="307">
        <v>1</v>
      </c>
      <c r="BA11" s="307">
        <v>1</v>
      </c>
      <c r="BB11" s="306">
        <v>1</v>
      </c>
    </row>
    <row r="12" spans="1:54" s="210" customFormat="1">
      <c r="E12" s="287"/>
      <c r="F12" s="287"/>
      <c r="G12" s="287"/>
      <c r="H12" s="287"/>
      <c r="I12" s="287"/>
      <c r="J12" s="289"/>
      <c r="K12" s="287"/>
      <c r="L12" s="287"/>
      <c r="M12" s="287"/>
      <c r="N12" s="287"/>
      <c r="O12" s="287"/>
      <c r="P12" s="289"/>
      <c r="Q12" s="287"/>
      <c r="R12" s="287"/>
      <c r="S12" s="289"/>
      <c r="T12" s="291"/>
      <c r="U12" s="292"/>
      <c r="V12" s="289"/>
      <c r="W12" s="291"/>
      <c r="X12" s="287"/>
      <c r="Y12" s="287"/>
      <c r="Z12" s="289"/>
      <c r="AA12" s="291"/>
      <c r="AB12" s="291"/>
      <c r="AC12" s="289"/>
      <c r="AD12" s="288"/>
      <c r="AE12" s="288"/>
      <c r="AF12" s="287"/>
      <c r="AG12" s="286"/>
      <c r="AH12" s="285"/>
      <c r="AI12" s="284"/>
      <c r="AJ12" s="287"/>
      <c r="AK12" s="286"/>
      <c r="AL12" s="285"/>
      <c r="AM12" s="284"/>
      <c r="AN12" s="281"/>
      <c r="AO12" s="281"/>
      <c r="AP12" s="281"/>
      <c r="AQ12" s="281"/>
      <c r="AR12" s="281"/>
      <c r="AS12" s="281"/>
      <c r="AT12" s="281"/>
      <c r="AU12" s="281"/>
      <c r="AV12" s="281"/>
      <c r="AW12" s="281"/>
      <c r="AX12" s="281"/>
      <c r="AY12" s="281"/>
      <c r="AZ12" s="281"/>
      <c r="BA12" s="281"/>
      <c r="BB12" s="281"/>
    </row>
    <row r="13" spans="1:54">
      <c r="C13" s="201" t="s">
        <v>11</v>
      </c>
      <c r="D13" s="201" t="s">
        <v>42</v>
      </c>
      <c r="E13" s="280">
        <v>8</v>
      </c>
      <c r="F13" s="206">
        <v>3.2</v>
      </c>
      <c r="G13" s="206">
        <v>1.3</v>
      </c>
      <c r="H13" s="206" t="s">
        <v>28</v>
      </c>
      <c r="I13" s="206" t="s">
        <v>28</v>
      </c>
      <c r="J13" s="276">
        <v>7</v>
      </c>
      <c r="K13" s="280">
        <v>6.4</v>
      </c>
      <c r="L13" s="206">
        <v>2.5</v>
      </c>
      <c r="M13" s="206">
        <v>1</v>
      </c>
      <c r="N13" s="206" t="s">
        <v>28</v>
      </c>
      <c r="O13" s="206" t="s">
        <v>28</v>
      </c>
      <c r="P13" s="276">
        <v>7</v>
      </c>
      <c r="Q13" s="206" t="s">
        <v>36</v>
      </c>
      <c r="R13" s="206">
        <v>6</v>
      </c>
      <c r="S13" s="276">
        <v>3</v>
      </c>
      <c r="T13" s="279" t="s">
        <v>35</v>
      </c>
      <c r="U13" s="280" t="s">
        <v>36</v>
      </c>
      <c r="V13" s="276" t="s">
        <v>36</v>
      </c>
      <c r="W13" s="279" t="s">
        <v>36</v>
      </c>
      <c r="X13" s="276" t="s">
        <v>36</v>
      </c>
      <c r="Y13" s="206">
        <v>5</v>
      </c>
      <c r="Z13" s="276">
        <v>0.5</v>
      </c>
      <c r="AA13" s="279" t="s">
        <v>35</v>
      </c>
      <c r="AB13" s="279" t="s">
        <v>35</v>
      </c>
      <c r="AC13" s="276">
        <v>400</v>
      </c>
      <c r="AD13" s="278">
        <v>0.55000000000000004</v>
      </c>
      <c r="AE13" s="278">
        <v>0.4</v>
      </c>
      <c r="AF13" s="206" t="s">
        <v>35</v>
      </c>
      <c r="AG13" s="205">
        <v>5</v>
      </c>
      <c r="AH13" s="204">
        <v>1.8</v>
      </c>
      <c r="AI13" s="203">
        <v>2.6</v>
      </c>
      <c r="AJ13" s="275">
        <v>10</v>
      </c>
      <c r="AK13" s="205">
        <v>5</v>
      </c>
      <c r="AL13" s="204">
        <v>1.8</v>
      </c>
      <c r="AM13" s="203">
        <v>2.6</v>
      </c>
      <c r="AN13" s="299">
        <v>60</v>
      </c>
      <c r="AO13" s="205">
        <v>60</v>
      </c>
      <c r="AP13" s="205">
        <v>150</v>
      </c>
      <c r="AQ13" s="202" t="s">
        <v>28</v>
      </c>
      <c r="AR13" s="202" t="s">
        <v>28</v>
      </c>
      <c r="AS13" s="299">
        <v>30</v>
      </c>
      <c r="AT13" s="205">
        <v>30</v>
      </c>
      <c r="AU13" s="205">
        <v>75</v>
      </c>
      <c r="AV13" s="202" t="s">
        <v>28</v>
      </c>
      <c r="AW13" s="277" t="s">
        <v>28</v>
      </c>
      <c r="AX13" s="295"/>
      <c r="BB13" s="277"/>
    </row>
    <row r="14" spans="1:54">
      <c r="D14" s="201" t="s">
        <v>84</v>
      </c>
      <c r="E14" s="280">
        <v>8</v>
      </c>
      <c r="F14" s="206">
        <v>3.2</v>
      </c>
      <c r="G14" s="206">
        <v>1.3</v>
      </c>
      <c r="H14" s="206" t="s">
        <v>28</v>
      </c>
      <c r="I14" s="206" t="s">
        <v>28</v>
      </c>
      <c r="J14" s="276">
        <v>7</v>
      </c>
      <c r="K14" s="280">
        <v>6.4</v>
      </c>
      <c r="L14" s="206">
        <v>2.5</v>
      </c>
      <c r="M14" s="206">
        <v>1</v>
      </c>
      <c r="N14" s="206" t="s">
        <v>28</v>
      </c>
      <c r="O14" s="206" t="s">
        <v>28</v>
      </c>
      <c r="P14" s="276">
        <v>7</v>
      </c>
      <c r="Q14" s="206" t="s">
        <v>36</v>
      </c>
      <c r="R14" s="206">
        <v>6</v>
      </c>
      <c r="S14" s="276">
        <v>3</v>
      </c>
      <c r="T14" s="279" t="s">
        <v>35</v>
      </c>
      <c r="U14" s="280" t="s">
        <v>36</v>
      </c>
      <c r="V14" s="276" t="s">
        <v>36</v>
      </c>
      <c r="W14" s="279" t="s">
        <v>36</v>
      </c>
      <c r="X14" s="276" t="s">
        <v>36</v>
      </c>
      <c r="Y14" s="206" t="s">
        <v>35</v>
      </c>
      <c r="Z14" s="206" t="s">
        <v>35</v>
      </c>
      <c r="AA14" s="279" t="s">
        <v>35</v>
      </c>
      <c r="AB14" s="279" t="s">
        <v>35</v>
      </c>
      <c r="AC14" s="276">
        <v>400</v>
      </c>
      <c r="AD14" s="278">
        <v>0.55000000000000004</v>
      </c>
      <c r="AE14" s="278">
        <v>0.4</v>
      </c>
      <c r="AF14" s="206" t="s">
        <v>35</v>
      </c>
      <c r="AG14" s="205">
        <v>10</v>
      </c>
      <c r="AH14" s="204">
        <v>1.8</v>
      </c>
      <c r="AI14" s="203">
        <v>2.6</v>
      </c>
      <c r="AJ14" s="275">
        <v>5</v>
      </c>
      <c r="AK14" s="205">
        <v>5</v>
      </c>
      <c r="AL14" s="204">
        <v>1.8</v>
      </c>
      <c r="AM14" s="203">
        <v>2.6</v>
      </c>
      <c r="AN14" s="299">
        <v>60</v>
      </c>
      <c r="AO14" s="205">
        <v>60</v>
      </c>
      <c r="AP14" s="205">
        <v>150</v>
      </c>
      <c r="AQ14" s="202" t="s">
        <v>28</v>
      </c>
      <c r="AR14" s="202" t="s">
        <v>28</v>
      </c>
      <c r="AS14" s="299">
        <v>30</v>
      </c>
      <c r="AT14" s="205">
        <v>30</v>
      </c>
      <c r="AU14" s="205">
        <v>75</v>
      </c>
      <c r="AV14" s="202" t="s">
        <v>28</v>
      </c>
      <c r="AW14" s="277" t="s">
        <v>28</v>
      </c>
      <c r="AX14" s="295"/>
      <c r="BB14" s="277"/>
    </row>
    <row r="15" spans="1:54">
      <c r="D15" s="201" t="s">
        <v>43</v>
      </c>
      <c r="E15" s="280">
        <v>8</v>
      </c>
      <c r="F15" s="206">
        <v>3.2</v>
      </c>
      <c r="G15" s="206">
        <v>1.3</v>
      </c>
      <c r="H15" s="206" t="s">
        <v>28</v>
      </c>
      <c r="I15" s="206" t="s">
        <v>28</v>
      </c>
      <c r="J15" s="276">
        <v>7</v>
      </c>
      <c r="K15" s="280">
        <v>6.4</v>
      </c>
      <c r="L15" s="206">
        <v>2.5</v>
      </c>
      <c r="M15" s="206">
        <v>1</v>
      </c>
      <c r="N15" s="206" t="s">
        <v>28</v>
      </c>
      <c r="O15" s="206" t="s">
        <v>28</v>
      </c>
      <c r="P15" s="276">
        <v>7</v>
      </c>
      <c r="Q15" s="206" t="s">
        <v>36</v>
      </c>
      <c r="R15" s="206">
        <v>6</v>
      </c>
      <c r="S15" s="276">
        <v>3</v>
      </c>
      <c r="T15" s="279" t="s">
        <v>35</v>
      </c>
      <c r="U15" s="280" t="s">
        <v>36</v>
      </c>
      <c r="V15" s="276" t="s">
        <v>36</v>
      </c>
      <c r="W15" s="279" t="s">
        <v>36</v>
      </c>
      <c r="X15" s="276" t="s">
        <v>36</v>
      </c>
      <c r="Y15" s="206" t="s">
        <v>35</v>
      </c>
      <c r="Z15" s="206" t="s">
        <v>35</v>
      </c>
      <c r="AA15" s="279" t="s">
        <v>35</v>
      </c>
      <c r="AB15" s="279" t="s">
        <v>35</v>
      </c>
      <c r="AC15" s="276">
        <v>400</v>
      </c>
      <c r="AD15" s="278">
        <v>0.55000000000000004</v>
      </c>
      <c r="AE15" s="278">
        <v>0.4</v>
      </c>
      <c r="AF15" s="206" t="s">
        <v>35</v>
      </c>
      <c r="AG15" s="205">
        <v>5</v>
      </c>
      <c r="AH15" s="204">
        <v>1.8</v>
      </c>
      <c r="AI15" s="203">
        <v>2.6</v>
      </c>
      <c r="AJ15" s="275">
        <v>10</v>
      </c>
      <c r="AK15" s="205">
        <v>5</v>
      </c>
      <c r="AL15" s="204">
        <v>1.8</v>
      </c>
      <c r="AM15" s="203">
        <v>2.6</v>
      </c>
      <c r="AN15" s="299">
        <v>60</v>
      </c>
      <c r="AO15" s="205">
        <v>60</v>
      </c>
      <c r="AP15" s="205">
        <v>150</v>
      </c>
      <c r="AQ15" s="202" t="s">
        <v>28</v>
      </c>
      <c r="AR15" s="202" t="s">
        <v>28</v>
      </c>
      <c r="AS15" s="299">
        <v>30</v>
      </c>
      <c r="AT15" s="205">
        <v>30</v>
      </c>
      <c r="AU15" s="205">
        <v>75</v>
      </c>
      <c r="AV15" s="202" t="s">
        <v>28</v>
      </c>
      <c r="AW15" s="277" t="s">
        <v>28</v>
      </c>
      <c r="AX15" s="295"/>
      <c r="BB15" s="277"/>
    </row>
    <row r="16" spans="1:54">
      <c r="D16" s="201" t="s">
        <v>26</v>
      </c>
      <c r="E16" s="280">
        <v>4.8</v>
      </c>
      <c r="F16" s="206">
        <v>4.8</v>
      </c>
      <c r="G16" s="206">
        <v>4.8</v>
      </c>
      <c r="H16" s="206" t="s">
        <v>28</v>
      </c>
      <c r="I16" s="206" t="s">
        <v>28</v>
      </c>
      <c r="J16" s="276">
        <v>7</v>
      </c>
      <c r="K16" s="280">
        <v>3.8</v>
      </c>
      <c r="L16" s="206">
        <v>3.8</v>
      </c>
      <c r="M16" s="206">
        <v>3.8</v>
      </c>
      <c r="N16" s="206" t="s">
        <v>28</v>
      </c>
      <c r="O16" s="206" t="s">
        <v>28</v>
      </c>
      <c r="P16" s="276">
        <v>7</v>
      </c>
      <c r="Q16" s="206" t="s">
        <v>35</v>
      </c>
      <c r="R16" s="206" t="s">
        <v>98</v>
      </c>
      <c r="S16" s="276" t="s">
        <v>98</v>
      </c>
      <c r="T16" s="279" t="s">
        <v>35</v>
      </c>
      <c r="U16" s="280" t="s">
        <v>36</v>
      </c>
      <c r="V16" s="276" t="s">
        <v>36</v>
      </c>
      <c r="W16" s="279" t="s">
        <v>36</v>
      </c>
      <c r="X16" s="276" t="s">
        <v>36</v>
      </c>
      <c r="Y16" s="206" t="s">
        <v>35</v>
      </c>
      <c r="Z16" s="206" t="s">
        <v>35</v>
      </c>
      <c r="AA16" s="279" t="s">
        <v>35</v>
      </c>
      <c r="AB16" s="279" t="s">
        <v>35</v>
      </c>
      <c r="AC16" s="276">
        <v>150</v>
      </c>
      <c r="AD16" s="278">
        <v>0.55000000000000004</v>
      </c>
      <c r="AE16" s="278">
        <v>0.4</v>
      </c>
      <c r="AF16" s="275">
        <v>35</v>
      </c>
      <c r="AG16" s="205">
        <v>10</v>
      </c>
      <c r="AH16" s="204">
        <v>1.8</v>
      </c>
      <c r="AI16" s="203">
        <v>2.6</v>
      </c>
      <c r="AJ16" s="275">
        <v>35</v>
      </c>
      <c r="AK16" s="205">
        <v>10</v>
      </c>
      <c r="AL16" s="204">
        <v>1.8</v>
      </c>
      <c r="AM16" s="203">
        <v>2.6</v>
      </c>
      <c r="AN16" s="305">
        <v>2</v>
      </c>
      <c r="AO16" s="304">
        <v>2</v>
      </c>
      <c r="AP16" s="304">
        <v>2</v>
      </c>
      <c r="AQ16" s="304">
        <v>2</v>
      </c>
      <c r="AR16" s="303">
        <v>2</v>
      </c>
      <c r="AS16" s="305">
        <v>2</v>
      </c>
      <c r="AT16" s="304">
        <v>2</v>
      </c>
      <c r="AU16" s="304">
        <v>2</v>
      </c>
      <c r="AV16" s="304">
        <v>2</v>
      </c>
      <c r="AW16" s="303">
        <v>2</v>
      </c>
      <c r="AX16" s="295"/>
      <c r="BB16" s="277"/>
    </row>
    <row r="17" spans="3:54">
      <c r="D17" s="201" t="s">
        <v>27</v>
      </c>
      <c r="E17" s="280">
        <v>15</v>
      </c>
      <c r="F17" s="206">
        <v>6</v>
      </c>
      <c r="G17" s="206">
        <v>2.4</v>
      </c>
      <c r="H17" s="206" t="s">
        <v>28</v>
      </c>
      <c r="I17" s="206" t="s">
        <v>28</v>
      </c>
      <c r="J17" s="276">
        <v>7</v>
      </c>
      <c r="K17" s="280">
        <v>12</v>
      </c>
      <c r="L17" s="206">
        <v>4.8</v>
      </c>
      <c r="M17" s="206">
        <v>1.9</v>
      </c>
      <c r="N17" s="206" t="s">
        <v>28</v>
      </c>
      <c r="O17" s="206" t="s">
        <v>28</v>
      </c>
      <c r="P17" s="276">
        <v>7</v>
      </c>
      <c r="Q17" s="206" t="s">
        <v>35</v>
      </c>
      <c r="R17" s="206" t="s">
        <v>98</v>
      </c>
      <c r="S17" s="276" t="s">
        <v>98</v>
      </c>
      <c r="T17" s="279" t="s">
        <v>35</v>
      </c>
      <c r="U17" s="280" t="s">
        <v>36</v>
      </c>
      <c r="V17" s="276" t="s">
        <v>36</v>
      </c>
      <c r="W17" s="279" t="s">
        <v>36</v>
      </c>
      <c r="X17" s="276" t="s">
        <v>36</v>
      </c>
      <c r="Y17" s="206" t="s">
        <v>35</v>
      </c>
      <c r="Z17" s="206" t="s">
        <v>35</v>
      </c>
      <c r="AA17" s="279" t="s">
        <v>35</v>
      </c>
      <c r="AB17" s="279" t="s">
        <v>35</v>
      </c>
      <c r="AC17" s="276">
        <v>400</v>
      </c>
      <c r="AD17" s="278">
        <v>0.55000000000000004</v>
      </c>
      <c r="AE17" s="278">
        <v>0.4</v>
      </c>
      <c r="AF17" s="275" t="s">
        <v>35</v>
      </c>
      <c r="AG17" s="205">
        <v>10</v>
      </c>
      <c r="AH17" s="204">
        <v>1.8</v>
      </c>
      <c r="AI17" s="203">
        <v>2.6</v>
      </c>
      <c r="AJ17" s="275">
        <v>10</v>
      </c>
      <c r="AK17" s="205">
        <v>10</v>
      </c>
      <c r="AL17" s="204">
        <v>1.8</v>
      </c>
      <c r="AM17" s="203">
        <v>2.6</v>
      </c>
      <c r="AN17" s="305">
        <v>2</v>
      </c>
      <c r="AO17" s="304">
        <v>2</v>
      </c>
      <c r="AP17" s="304">
        <v>2</v>
      </c>
      <c r="AQ17" s="304">
        <v>2</v>
      </c>
      <c r="AR17" s="303">
        <v>2</v>
      </c>
      <c r="AS17" s="305">
        <v>2</v>
      </c>
      <c r="AT17" s="304">
        <v>2</v>
      </c>
      <c r="AU17" s="304">
        <v>2</v>
      </c>
      <c r="AV17" s="304">
        <v>2</v>
      </c>
      <c r="AW17" s="303">
        <v>2</v>
      </c>
      <c r="AX17" s="295"/>
      <c r="BB17" s="277"/>
    </row>
    <row r="18" spans="3:54">
      <c r="D18" s="201" t="s">
        <v>83</v>
      </c>
      <c r="E18" s="280">
        <v>4.8</v>
      </c>
      <c r="F18" s="206">
        <v>1.9</v>
      </c>
      <c r="G18" s="206" t="s">
        <v>28</v>
      </c>
      <c r="H18" s="206" t="s">
        <v>28</v>
      </c>
      <c r="I18" s="206" t="s">
        <v>28</v>
      </c>
      <c r="J18" s="276">
        <v>7</v>
      </c>
      <c r="K18" s="280">
        <v>3.8</v>
      </c>
      <c r="L18" s="206">
        <v>1.5</v>
      </c>
      <c r="M18" s="206" t="s">
        <v>28</v>
      </c>
      <c r="N18" s="206" t="s">
        <v>28</v>
      </c>
      <c r="O18" s="206" t="s">
        <v>28</v>
      </c>
      <c r="P18" s="276">
        <v>7</v>
      </c>
      <c r="Q18" s="206" t="s">
        <v>35</v>
      </c>
      <c r="R18" s="206" t="s">
        <v>98</v>
      </c>
      <c r="S18" s="276" t="s">
        <v>98</v>
      </c>
      <c r="T18" s="279" t="s">
        <v>35</v>
      </c>
      <c r="U18" s="280" t="s">
        <v>36</v>
      </c>
      <c r="V18" s="276" t="s">
        <v>36</v>
      </c>
      <c r="W18" s="279" t="s">
        <v>36</v>
      </c>
      <c r="X18" s="276" t="s">
        <v>36</v>
      </c>
      <c r="Y18" s="206" t="s">
        <v>35</v>
      </c>
      <c r="Z18" s="206" t="s">
        <v>35</v>
      </c>
      <c r="AA18" s="279" t="s">
        <v>35</v>
      </c>
      <c r="AB18" s="279" t="s">
        <v>35</v>
      </c>
      <c r="AC18" s="276">
        <v>400</v>
      </c>
      <c r="AD18" s="278">
        <v>0.55000000000000004</v>
      </c>
      <c r="AE18" s="278">
        <v>0.4</v>
      </c>
      <c r="AF18" s="275" t="s">
        <v>35</v>
      </c>
      <c r="AG18" s="205">
        <v>10</v>
      </c>
      <c r="AH18" s="204">
        <v>1.8</v>
      </c>
      <c r="AI18" s="203">
        <v>2.6</v>
      </c>
      <c r="AJ18" s="275">
        <v>10</v>
      </c>
      <c r="AK18" s="205">
        <v>10</v>
      </c>
      <c r="AL18" s="204">
        <v>1.8</v>
      </c>
      <c r="AM18" s="203">
        <v>2.6</v>
      </c>
      <c r="AN18" s="299">
        <v>60</v>
      </c>
      <c r="AO18" s="302">
        <v>60</v>
      </c>
      <c r="AP18" s="302" t="s">
        <v>28</v>
      </c>
      <c r="AQ18" s="302" t="s">
        <v>28</v>
      </c>
      <c r="AR18" s="302" t="s">
        <v>28</v>
      </c>
      <c r="AS18" s="302">
        <v>30</v>
      </c>
      <c r="AT18" s="302">
        <v>30</v>
      </c>
      <c r="AU18" s="302" t="s">
        <v>28</v>
      </c>
      <c r="AV18" s="302" t="s">
        <v>28</v>
      </c>
      <c r="AW18" s="302" t="s">
        <v>28</v>
      </c>
      <c r="AX18" s="295"/>
      <c r="BB18" s="277"/>
    </row>
    <row r="19" spans="3:54">
      <c r="D19" s="201" t="s">
        <v>46</v>
      </c>
      <c r="E19" s="280">
        <v>4.8</v>
      </c>
      <c r="F19" s="206">
        <v>1.9</v>
      </c>
      <c r="G19" s="206">
        <v>0.8</v>
      </c>
      <c r="H19" s="206" t="s">
        <v>28</v>
      </c>
      <c r="I19" s="206" t="s">
        <v>28</v>
      </c>
      <c r="J19" s="276">
        <v>7</v>
      </c>
      <c r="K19" s="280">
        <v>3.8</v>
      </c>
      <c r="L19" s="206">
        <v>1.5</v>
      </c>
      <c r="M19" s="206">
        <v>0.6</v>
      </c>
      <c r="N19" s="206" t="s">
        <v>28</v>
      </c>
      <c r="O19" s="206" t="s">
        <v>28</v>
      </c>
      <c r="P19" s="276">
        <v>7</v>
      </c>
      <c r="Q19" s="206" t="s">
        <v>35</v>
      </c>
      <c r="R19" s="206" t="s">
        <v>98</v>
      </c>
      <c r="S19" s="276" t="s">
        <v>98</v>
      </c>
      <c r="T19" s="279" t="s">
        <v>35</v>
      </c>
      <c r="U19" s="280" t="s">
        <v>36</v>
      </c>
      <c r="V19" s="276" t="s">
        <v>36</v>
      </c>
      <c r="W19" s="279" t="s">
        <v>36</v>
      </c>
      <c r="X19" s="276" t="s">
        <v>36</v>
      </c>
      <c r="Y19" s="206" t="s">
        <v>35</v>
      </c>
      <c r="Z19" s="206" t="s">
        <v>35</v>
      </c>
      <c r="AA19" s="279" t="s">
        <v>35</v>
      </c>
      <c r="AB19" s="279" t="s">
        <v>35</v>
      </c>
      <c r="AC19" s="276">
        <v>400</v>
      </c>
      <c r="AD19" s="278">
        <v>0.55000000000000004</v>
      </c>
      <c r="AE19" s="278">
        <v>0.4</v>
      </c>
      <c r="AF19" s="275" t="s">
        <v>35</v>
      </c>
      <c r="AG19" s="205">
        <v>10</v>
      </c>
      <c r="AH19" s="204">
        <v>1.8</v>
      </c>
      <c r="AI19" s="203">
        <v>2.6</v>
      </c>
      <c r="AJ19" s="275">
        <v>10</v>
      </c>
      <c r="AK19" s="205">
        <v>10</v>
      </c>
      <c r="AL19" s="204">
        <v>1.8</v>
      </c>
      <c r="AM19" s="203">
        <v>2.6</v>
      </c>
      <c r="AN19" s="302">
        <v>2</v>
      </c>
      <c r="AO19" s="302">
        <v>2</v>
      </c>
      <c r="AP19" s="302">
        <v>2</v>
      </c>
      <c r="AQ19" s="302">
        <v>2</v>
      </c>
      <c r="AR19" s="302">
        <v>2</v>
      </c>
      <c r="AS19" s="302">
        <v>2</v>
      </c>
      <c r="AT19" s="302">
        <v>2</v>
      </c>
      <c r="AU19" s="302">
        <v>2</v>
      </c>
      <c r="AV19" s="302">
        <v>2</v>
      </c>
      <c r="AW19" s="302">
        <v>2</v>
      </c>
      <c r="AX19" s="295"/>
      <c r="BB19" s="277"/>
    </row>
    <row r="20" spans="3:54" s="210" customFormat="1">
      <c r="E20" s="292"/>
      <c r="F20" s="287"/>
      <c r="G20" s="287"/>
      <c r="H20" s="287"/>
      <c r="I20" s="287"/>
      <c r="J20" s="289"/>
      <c r="K20" s="292"/>
      <c r="L20" s="287"/>
      <c r="M20" s="287"/>
      <c r="N20" s="287"/>
      <c r="O20" s="287"/>
      <c r="P20" s="289"/>
      <c r="Q20" s="287"/>
      <c r="R20" s="287"/>
      <c r="S20" s="289"/>
      <c r="T20" s="291"/>
      <c r="U20" s="292"/>
      <c r="V20" s="289"/>
      <c r="W20" s="291"/>
      <c r="X20" s="289"/>
      <c r="Y20" s="287"/>
      <c r="Z20" s="289"/>
      <c r="AA20" s="290"/>
      <c r="AB20" s="291"/>
      <c r="AC20" s="289"/>
      <c r="AD20" s="288"/>
      <c r="AE20" s="288"/>
      <c r="AF20" s="287"/>
      <c r="AG20" s="286"/>
      <c r="AH20" s="285"/>
      <c r="AI20" s="284"/>
      <c r="AJ20" s="282"/>
      <c r="AK20" s="286"/>
      <c r="AL20" s="285"/>
      <c r="AM20" s="284"/>
      <c r="AN20" s="297"/>
      <c r="AO20" s="281"/>
      <c r="AP20" s="281"/>
      <c r="AQ20" s="281"/>
      <c r="AR20" s="281"/>
      <c r="AS20" s="297"/>
      <c r="AT20" s="281"/>
      <c r="AU20" s="281"/>
      <c r="AV20" s="281"/>
      <c r="AW20" s="296"/>
      <c r="AX20" s="297"/>
      <c r="AY20" s="281"/>
      <c r="AZ20" s="281"/>
      <c r="BA20" s="281"/>
      <c r="BB20" s="296"/>
    </row>
    <row r="21" spans="3:54">
      <c r="C21" s="201" t="s">
        <v>13</v>
      </c>
      <c r="D21" s="301" t="s">
        <v>115</v>
      </c>
      <c r="E21" s="280">
        <v>8</v>
      </c>
      <c r="F21" s="206">
        <v>3.2</v>
      </c>
      <c r="G21" s="206">
        <v>1.3</v>
      </c>
      <c r="H21" s="206">
        <v>0.5</v>
      </c>
      <c r="I21" s="206" t="s">
        <v>28</v>
      </c>
      <c r="J21" s="276">
        <v>11</v>
      </c>
      <c r="K21" s="280">
        <v>6.4</v>
      </c>
      <c r="L21" s="206">
        <v>2.5</v>
      </c>
      <c r="M21" s="206">
        <v>1</v>
      </c>
      <c r="N21" s="206">
        <v>0.4</v>
      </c>
      <c r="O21" s="206" t="s">
        <v>28</v>
      </c>
      <c r="P21" s="276">
        <v>11</v>
      </c>
      <c r="Q21" s="206" t="s">
        <v>35</v>
      </c>
      <c r="R21" s="206" t="s">
        <v>98</v>
      </c>
      <c r="S21" s="276" t="s">
        <v>98</v>
      </c>
      <c r="T21" s="279" t="s">
        <v>35</v>
      </c>
      <c r="U21" s="280" t="s">
        <v>36</v>
      </c>
      <c r="V21" s="276" t="s">
        <v>36</v>
      </c>
      <c r="W21" s="279" t="s">
        <v>36</v>
      </c>
      <c r="X21" s="276" t="s">
        <v>36</v>
      </c>
      <c r="Y21" s="206" t="s">
        <v>35</v>
      </c>
      <c r="Z21" s="206" t="s">
        <v>35</v>
      </c>
      <c r="AA21" s="279" t="s">
        <v>35</v>
      </c>
      <c r="AB21" s="279" t="s">
        <v>35</v>
      </c>
      <c r="AC21" s="279" t="s">
        <v>35</v>
      </c>
      <c r="AD21" s="278">
        <v>0.55000000000000004</v>
      </c>
      <c r="AE21" s="278">
        <v>0.4</v>
      </c>
      <c r="AF21" s="206" t="s">
        <v>35</v>
      </c>
      <c r="AG21" s="216">
        <v>5</v>
      </c>
      <c r="AH21" s="204">
        <v>1.8</v>
      </c>
      <c r="AI21" s="203">
        <v>2.5</v>
      </c>
      <c r="AJ21" s="275">
        <v>4</v>
      </c>
      <c r="AK21" s="216">
        <v>5</v>
      </c>
      <c r="AL21" s="204">
        <v>1.8</v>
      </c>
      <c r="AM21" s="203">
        <v>2.5</v>
      </c>
      <c r="AN21" s="295" t="s">
        <v>35</v>
      </c>
      <c r="AO21" s="202" t="s">
        <v>35</v>
      </c>
      <c r="AP21" s="202" t="s">
        <v>35</v>
      </c>
      <c r="AQ21" s="202" t="s">
        <v>35</v>
      </c>
      <c r="AR21" s="202" t="s">
        <v>35</v>
      </c>
      <c r="AS21" s="295" t="s">
        <v>35</v>
      </c>
      <c r="AT21" s="202" t="s">
        <v>35</v>
      </c>
      <c r="AU21" s="202" t="s">
        <v>35</v>
      </c>
      <c r="AV21" s="202" t="s">
        <v>35</v>
      </c>
      <c r="AW21" s="277" t="s">
        <v>35</v>
      </c>
      <c r="AX21" s="295"/>
      <c r="BB21" s="277"/>
    </row>
    <row r="22" spans="3:54">
      <c r="D22" s="301" t="s">
        <v>116</v>
      </c>
      <c r="E22" s="280">
        <v>8</v>
      </c>
      <c r="F22" s="206">
        <v>3.2</v>
      </c>
      <c r="G22" s="206">
        <v>1.3</v>
      </c>
      <c r="H22" s="206">
        <v>0.5</v>
      </c>
      <c r="I22" s="206" t="s">
        <v>28</v>
      </c>
      <c r="J22" s="276">
        <v>7</v>
      </c>
      <c r="K22" s="280">
        <v>6.4</v>
      </c>
      <c r="L22" s="206">
        <v>2.5</v>
      </c>
      <c r="M22" s="206">
        <v>1</v>
      </c>
      <c r="N22" s="206">
        <v>0.4</v>
      </c>
      <c r="O22" s="206" t="s">
        <v>28</v>
      </c>
      <c r="P22" s="276">
        <v>7</v>
      </c>
      <c r="Q22" s="206" t="s">
        <v>35</v>
      </c>
      <c r="R22" s="206" t="s">
        <v>98</v>
      </c>
      <c r="S22" s="276" t="s">
        <v>98</v>
      </c>
      <c r="T22" s="279" t="s">
        <v>35</v>
      </c>
      <c r="U22" s="280" t="s">
        <v>36</v>
      </c>
      <c r="V22" s="276" t="s">
        <v>36</v>
      </c>
      <c r="W22" s="279" t="s">
        <v>36</v>
      </c>
      <c r="X22" s="276" t="s">
        <v>36</v>
      </c>
      <c r="Y22" s="206" t="s">
        <v>35</v>
      </c>
      <c r="Z22" s="206" t="s">
        <v>35</v>
      </c>
      <c r="AA22" s="279" t="s">
        <v>35</v>
      </c>
      <c r="AB22" s="279" t="s">
        <v>35</v>
      </c>
      <c r="AC22" s="279" t="s">
        <v>35</v>
      </c>
      <c r="AD22" s="278">
        <v>0.55000000000000004</v>
      </c>
      <c r="AE22" s="278">
        <v>0.4</v>
      </c>
      <c r="AF22" s="206" t="s">
        <v>35</v>
      </c>
      <c r="AG22" s="216">
        <v>5</v>
      </c>
      <c r="AH22" s="204">
        <v>1.8</v>
      </c>
      <c r="AI22" s="203">
        <v>2.5</v>
      </c>
      <c r="AJ22" s="275">
        <v>4</v>
      </c>
      <c r="AK22" s="216">
        <v>5</v>
      </c>
      <c r="AL22" s="204">
        <v>1.8</v>
      </c>
      <c r="AM22" s="203">
        <v>2.5</v>
      </c>
      <c r="AN22" s="295" t="s">
        <v>35</v>
      </c>
      <c r="AO22" s="202" t="s">
        <v>35</v>
      </c>
      <c r="AP22" s="202" t="s">
        <v>35</v>
      </c>
      <c r="AQ22" s="202" t="s">
        <v>35</v>
      </c>
      <c r="AR22" s="202" t="s">
        <v>35</v>
      </c>
      <c r="AS22" s="295" t="s">
        <v>35</v>
      </c>
      <c r="AT22" s="202" t="s">
        <v>35</v>
      </c>
      <c r="AU22" s="202" t="s">
        <v>35</v>
      </c>
      <c r="AV22" s="202" t="s">
        <v>35</v>
      </c>
      <c r="AW22" s="277" t="s">
        <v>35</v>
      </c>
      <c r="AX22" s="295"/>
      <c r="BB22" s="277"/>
    </row>
    <row r="23" spans="3:54">
      <c r="D23" s="209" t="s">
        <v>106</v>
      </c>
      <c r="E23" s="280"/>
      <c r="J23" s="276"/>
      <c r="K23" s="280"/>
      <c r="O23" s="206" t="s">
        <v>28</v>
      </c>
      <c r="P23" s="276"/>
      <c r="Q23" s="206" t="s">
        <v>35</v>
      </c>
      <c r="R23" s="206" t="s">
        <v>98</v>
      </c>
      <c r="S23" s="276" t="s">
        <v>98</v>
      </c>
      <c r="T23" s="279" t="s">
        <v>35</v>
      </c>
      <c r="U23" s="280" t="s">
        <v>36</v>
      </c>
      <c r="V23" s="276" t="s">
        <v>36</v>
      </c>
      <c r="W23" s="279" t="s">
        <v>36</v>
      </c>
      <c r="X23" s="276" t="s">
        <v>36</v>
      </c>
      <c r="Y23" s="206" t="s">
        <v>35</v>
      </c>
      <c r="Z23" s="206" t="s">
        <v>35</v>
      </c>
      <c r="AA23" s="279" t="s">
        <v>35</v>
      </c>
      <c r="AB23" s="279" t="s">
        <v>35</v>
      </c>
      <c r="AC23" s="279" t="s">
        <v>35</v>
      </c>
      <c r="AD23" s="278">
        <v>0.55000000000000004</v>
      </c>
      <c r="AE23" s="278" t="s">
        <v>35</v>
      </c>
      <c r="AF23" s="206" t="s">
        <v>35</v>
      </c>
      <c r="AG23" s="205">
        <v>4</v>
      </c>
      <c r="AH23" s="204">
        <v>1.8</v>
      </c>
      <c r="AI23" s="203">
        <v>2.5</v>
      </c>
      <c r="AJ23" s="275">
        <v>4</v>
      </c>
      <c r="AK23" s="216">
        <v>4</v>
      </c>
      <c r="AL23" s="204">
        <v>1.8</v>
      </c>
      <c r="AM23" s="203">
        <v>2.5</v>
      </c>
      <c r="AN23" s="295" t="s">
        <v>35</v>
      </c>
      <c r="AO23" s="202" t="s">
        <v>35</v>
      </c>
      <c r="AP23" s="202" t="s">
        <v>35</v>
      </c>
      <c r="AQ23" s="202" t="s">
        <v>35</v>
      </c>
      <c r="AR23" s="202" t="s">
        <v>35</v>
      </c>
      <c r="AS23" s="295" t="s">
        <v>35</v>
      </c>
      <c r="AT23" s="202" t="s">
        <v>35</v>
      </c>
      <c r="AU23" s="202" t="s">
        <v>35</v>
      </c>
      <c r="AV23" s="202" t="s">
        <v>35</v>
      </c>
      <c r="AW23" s="277" t="s">
        <v>35</v>
      </c>
      <c r="AX23" s="295"/>
      <c r="BB23" s="277"/>
    </row>
    <row r="24" spans="3:54">
      <c r="D24" s="209" t="s">
        <v>44</v>
      </c>
      <c r="E24" s="280">
        <v>15</v>
      </c>
      <c r="F24" s="206">
        <v>6</v>
      </c>
      <c r="G24" s="206">
        <v>2.4</v>
      </c>
      <c r="H24" s="206">
        <v>1</v>
      </c>
      <c r="I24" s="206" t="s">
        <v>28</v>
      </c>
      <c r="J24" s="276">
        <v>11</v>
      </c>
      <c r="K24" s="280">
        <v>12</v>
      </c>
      <c r="L24" s="206">
        <v>4.8</v>
      </c>
      <c r="M24" s="206">
        <v>1.9</v>
      </c>
      <c r="N24" s="206">
        <v>0.8</v>
      </c>
      <c r="O24" s="206" t="s">
        <v>28</v>
      </c>
      <c r="P24" s="276">
        <v>11</v>
      </c>
      <c r="Q24" s="206" t="s">
        <v>35</v>
      </c>
      <c r="R24" s="206" t="s">
        <v>98</v>
      </c>
      <c r="S24" s="276" t="s">
        <v>98</v>
      </c>
      <c r="T24" s="279" t="s">
        <v>35</v>
      </c>
      <c r="U24" s="280" t="s">
        <v>36</v>
      </c>
      <c r="V24" s="276" t="s">
        <v>36</v>
      </c>
      <c r="W24" s="279" t="s">
        <v>36</v>
      </c>
      <c r="X24" s="276" t="s">
        <v>36</v>
      </c>
      <c r="Y24" s="206">
        <v>3</v>
      </c>
      <c r="Z24" s="276">
        <v>0.15</v>
      </c>
      <c r="AA24" s="279" t="s">
        <v>35</v>
      </c>
      <c r="AB24" s="279" t="s">
        <v>35</v>
      </c>
      <c r="AC24" s="279">
        <v>400</v>
      </c>
      <c r="AD24" s="278">
        <v>0.55000000000000004</v>
      </c>
      <c r="AE24" s="278">
        <v>0.4</v>
      </c>
      <c r="AF24" s="206" t="s">
        <v>35</v>
      </c>
      <c r="AG24" s="216">
        <v>5</v>
      </c>
      <c r="AH24" s="204">
        <v>1.8</v>
      </c>
      <c r="AI24" s="203">
        <v>2.5</v>
      </c>
      <c r="AJ24" s="275">
        <v>4</v>
      </c>
      <c r="AK24" s="205">
        <v>6</v>
      </c>
      <c r="AL24" s="204">
        <v>1.8</v>
      </c>
      <c r="AM24" s="203">
        <v>2.5</v>
      </c>
      <c r="AN24" s="299">
        <v>360</v>
      </c>
      <c r="AO24" s="205">
        <v>360</v>
      </c>
      <c r="AP24" s="205">
        <v>360</v>
      </c>
      <c r="AQ24" s="205">
        <v>360</v>
      </c>
      <c r="AR24" s="205" t="s">
        <v>28</v>
      </c>
      <c r="AS24" s="299">
        <v>180</v>
      </c>
      <c r="AT24" s="205">
        <v>180</v>
      </c>
      <c r="AU24" s="205">
        <v>180</v>
      </c>
      <c r="AV24" s="205">
        <v>180</v>
      </c>
      <c r="AW24" s="205" t="s">
        <v>28</v>
      </c>
      <c r="AX24" s="295"/>
      <c r="BB24" s="277"/>
    </row>
    <row r="25" spans="3:54">
      <c r="D25" s="209" t="s">
        <v>107</v>
      </c>
      <c r="E25" s="280">
        <v>15</v>
      </c>
      <c r="F25" s="206">
        <v>6</v>
      </c>
      <c r="G25" s="206">
        <v>2.4</v>
      </c>
      <c r="H25" s="206">
        <v>1</v>
      </c>
      <c r="I25" s="206" t="s">
        <v>28</v>
      </c>
      <c r="J25" s="276">
        <v>11</v>
      </c>
      <c r="K25" s="280">
        <v>12</v>
      </c>
      <c r="L25" s="206">
        <v>4.8</v>
      </c>
      <c r="M25" s="206">
        <v>1.9</v>
      </c>
      <c r="N25" s="206">
        <v>0.8</v>
      </c>
      <c r="O25" s="206" t="s">
        <v>28</v>
      </c>
      <c r="P25" s="276">
        <v>11</v>
      </c>
      <c r="Q25" s="206" t="s">
        <v>35</v>
      </c>
      <c r="R25" s="206" t="s">
        <v>98</v>
      </c>
      <c r="S25" s="276" t="s">
        <v>98</v>
      </c>
      <c r="T25" s="279" t="s">
        <v>35</v>
      </c>
      <c r="U25" s="280" t="s">
        <v>36</v>
      </c>
      <c r="V25" s="276" t="s">
        <v>36</v>
      </c>
      <c r="W25" s="279" t="s">
        <v>36</v>
      </c>
      <c r="X25" s="276" t="s">
        <v>36</v>
      </c>
      <c r="Y25" s="206">
        <v>3</v>
      </c>
      <c r="Z25" s="276">
        <v>0.15</v>
      </c>
      <c r="AA25" s="279" t="s">
        <v>35</v>
      </c>
      <c r="AB25" s="279" t="s">
        <v>35</v>
      </c>
      <c r="AC25" s="279">
        <v>400</v>
      </c>
      <c r="AD25" s="278">
        <v>0.55000000000000004</v>
      </c>
      <c r="AE25" s="278">
        <v>0.4</v>
      </c>
      <c r="AF25" s="206" t="s">
        <v>35</v>
      </c>
      <c r="AG25" s="205">
        <v>6</v>
      </c>
      <c r="AH25" s="204">
        <v>1.8</v>
      </c>
      <c r="AI25" s="203">
        <v>2.5</v>
      </c>
      <c r="AJ25" s="275">
        <v>4</v>
      </c>
      <c r="AK25" s="205">
        <v>6</v>
      </c>
      <c r="AL25" s="204">
        <v>1.8</v>
      </c>
      <c r="AM25" s="203">
        <v>2.5</v>
      </c>
      <c r="AN25" s="299">
        <v>360</v>
      </c>
      <c r="AO25" s="205">
        <v>360</v>
      </c>
      <c r="AP25" s="205">
        <v>360</v>
      </c>
      <c r="AQ25" s="205">
        <v>360</v>
      </c>
      <c r="AR25" s="205" t="s">
        <v>28</v>
      </c>
      <c r="AS25" s="299">
        <v>180</v>
      </c>
      <c r="AT25" s="205">
        <v>180</v>
      </c>
      <c r="AU25" s="205">
        <v>180</v>
      </c>
      <c r="AV25" s="205">
        <v>180</v>
      </c>
      <c r="AW25" s="205" t="s">
        <v>28</v>
      </c>
      <c r="AX25" s="295"/>
      <c r="BB25" s="277"/>
    </row>
    <row r="26" spans="3:54">
      <c r="D26" s="209" t="s">
        <v>45</v>
      </c>
      <c r="E26" s="280">
        <v>15</v>
      </c>
      <c r="F26" s="206">
        <v>6</v>
      </c>
      <c r="G26" s="206">
        <v>2.4</v>
      </c>
      <c r="H26" s="206">
        <v>1</v>
      </c>
      <c r="I26" s="206" t="s">
        <v>28</v>
      </c>
      <c r="J26" s="276">
        <v>7</v>
      </c>
      <c r="K26" s="280">
        <v>12</v>
      </c>
      <c r="L26" s="206">
        <v>4.8</v>
      </c>
      <c r="M26" s="206">
        <v>1.9</v>
      </c>
      <c r="N26" s="206">
        <v>0.8</v>
      </c>
      <c r="O26" s="206" t="s">
        <v>28</v>
      </c>
      <c r="P26" s="276">
        <v>7</v>
      </c>
      <c r="Q26" s="206" t="s">
        <v>35</v>
      </c>
      <c r="R26" s="206" t="s">
        <v>98</v>
      </c>
      <c r="S26" s="276" t="s">
        <v>98</v>
      </c>
      <c r="T26" s="279" t="s">
        <v>35</v>
      </c>
      <c r="U26" s="280" t="s">
        <v>36</v>
      </c>
      <c r="V26" s="276" t="s">
        <v>36</v>
      </c>
      <c r="W26" s="279" t="s">
        <v>36</v>
      </c>
      <c r="X26" s="276" t="s">
        <v>36</v>
      </c>
      <c r="Y26" s="206">
        <v>3</v>
      </c>
      <c r="Z26" s="276">
        <v>0.15</v>
      </c>
      <c r="AA26" s="279" t="s">
        <v>35</v>
      </c>
      <c r="AB26" s="279" t="s">
        <v>35</v>
      </c>
      <c r="AC26" s="279">
        <v>400</v>
      </c>
      <c r="AD26" s="278">
        <v>0.55000000000000004</v>
      </c>
      <c r="AE26" s="278">
        <v>0.4</v>
      </c>
      <c r="AF26" s="206" t="s">
        <v>35</v>
      </c>
      <c r="AG26" s="205">
        <v>5</v>
      </c>
      <c r="AH26" s="204">
        <v>1.8</v>
      </c>
      <c r="AI26" s="203">
        <v>2.5</v>
      </c>
      <c r="AJ26" s="275">
        <v>4</v>
      </c>
      <c r="AK26" s="205">
        <v>5</v>
      </c>
      <c r="AL26" s="204">
        <v>1.8</v>
      </c>
      <c r="AM26" s="203">
        <v>2.5</v>
      </c>
      <c r="AN26" s="295" t="s">
        <v>35</v>
      </c>
      <c r="AO26" s="202" t="s">
        <v>35</v>
      </c>
      <c r="AP26" s="202" t="s">
        <v>35</v>
      </c>
      <c r="AQ26" s="202" t="s">
        <v>35</v>
      </c>
      <c r="AR26" s="202" t="s">
        <v>35</v>
      </c>
      <c r="AS26" s="295" t="s">
        <v>35</v>
      </c>
      <c r="AT26" s="202" t="s">
        <v>35</v>
      </c>
      <c r="AU26" s="202" t="s">
        <v>35</v>
      </c>
      <c r="AV26" s="202" t="s">
        <v>35</v>
      </c>
      <c r="AW26" s="277" t="s">
        <v>35</v>
      </c>
      <c r="AX26" s="295"/>
      <c r="BB26" s="277"/>
    </row>
    <row r="27" spans="3:54">
      <c r="D27" s="209" t="s">
        <v>125</v>
      </c>
      <c r="E27" s="280"/>
      <c r="J27" s="276"/>
      <c r="K27" s="280"/>
      <c r="P27" s="276"/>
      <c r="S27" s="276"/>
      <c r="T27" s="279"/>
      <c r="U27" s="280"/>
      <c r="V27" s="276"/>
      <c r="W27" s="279"/>
      <c r="X27" s="276"/>
      <c r="AA27" s="279"/>
      <c r="AB27" s="279"/>
      <c r="AC27" s="279"/>
      <c r="AD27" s="278"/>
      <c r="AE27" s="278"/>
      <c r="AJ27" s="275">
        <v>4</v>
      </c>
      <c r="AK27" s="205">
        <v>4</v>
      </c>
      <c r="AL27" s="204">
        <v>1.8</v>
      </c>
      <c r="AM27" s="203">
        <v>2.5</v>
      </c>
      <c r="AN27" s="295" t="s">
        <v>35</v>
      </c>
      <c r="AO27" s="202" t="s">
        <v>35</v>
      </c>
      <c r="AP27" s="202" t="s">
        <v>35</v>
      </c>
      <c r="AQ27" s="202" t="s">
        <v>35</v>
      </c>
      <c r="AR27" s="202" t="s">
        <v>35</v>
      </c>
      <c r="AS27" s="295" t="s">
        <v>35</v>
      </c>
      <c r="AT27" s="202" t="s">
        <v>35</v>
      </c>
      <c r="AU27" s="202" t="s">
        <v>35</v>
      </c>
      <c r="AV27" s="202" t="s">
        <v>35</v>
      </c>
      <c r="AW27" s="277" t="s">
        <v>35</v>
      </c>
      <c r="AX27" s="295"/>
      <c r="BB27" s="277"/>
    </row>
    <row r="28" spans="3:54">
      <c r="D28" s="209" t="s">
        <v>87</v>
      </c>
      <c r="E28" s="280">
        <v>8</v>
      </c>
      <c r="F28" s="206">
        <v>3.2</v>
      </c>
      <c r="G28" s="206">
        <v>1.3</v>
      </c>
      <c r="H28" s="206" t="s">
        <v>28</v>
      </c>
      <c r="I28" s="206" t="s">
        <v>28</v>
      </c>
      <c r="J28" s="276">
        <v>7</v>
      </c>
      <c r="K28" s="280">
        <v>6.4</v>
      </c>
      <c r="L28" s="206">
        <v>2.5</v>
      </c>
      <c r="M28" s="206">
        <v>1</v>
      </c>
      <c r="N28" s="206" t="s">
        <v>28</v>
      </c>
      <c r="O28" s="206" t="s">
        <v>28</v>
      </c>
      <c r="P28" s="276">
        <v>7</v>
      </c>
      <c r="Q28" s="206" t="s">
        <v>35</v>
      </c>
      <c r="R28" s="206" t="s">
        <v>98</v>
      </c>
      <c r="S28" s="276" t="s">
        <v>98</v>
      </c>
      <c r="T28" s="279" t="s">
        <v>35</v>
      </c>
      <c r="U28" s="280" t="s">
        <v>36</v>
      </c>
      <c r="V28" s="276" t="s">
        <v>36</v>
      </c>
      <c r="W28" s="279" t="s">
        <v>36</v>
      </c>
      <c r="X28" s="276" t="s">
        <v>36</v>
      </c>
      <c r="Y28" s="206" t="s">
        <v>35</v>
      </c>
      <c r="Z28" s="206" t="s">
        <v>35</v>
      </c>
      <c r="AA28" s="279" t="s">
        <v>35</v>
      </c>
      <c r="AB28" s="279" t="s">
        <v>35</v>
      </c>
      <c r="AC28" s="279" t="s">
        <v>35</v>
      </c>
      <c r="AD28" s="278">
        <v>0.55000000000000004</v>
      </c>
      <c r="AE28" s="278">
        <v>0.4</v>
      </c>
      <c r="AF28" s="206" t="s">
        <v>35</v>
      </c>
      <c r="AG28" s="205">
        <v>5</v>
      </c>
      <c r="AH28" s="204">
        <v>1.8</v>
      </c>
      <c r="AI28" s="203">
        <v>2.5</v>
      </c>
      <c r="AJ28" s="275">
        <v>4</v>
      </c>
      <c r="AK28" s="205">
        <v>5</v>
      </c>
      <c r="AL28" s="204">
        <v>1.8</v>
      </c>
      <c r="AM28" s="203">
        <v>2.5</v>
      </c>
      <c r="AN28" s="295" t="s">
        <v>35</v>
      </c>
      <c r="AO28" s="202" t="s">
        <v>35</v>
      </c>
      <c r="AP28" s="202" t="s">
        <v>35</v>
      </c>
      <c r="AQ28" s="202" t="s">
        <v>35</v>
      </c>
      <c r="AR28" s="202" t="s">
        <v>35</v>
      </c>
      <c r="AS28" s="295" t="s">
        <v>35</v>
      </c>
      <c r="AT28" s="202" t="s">
        <v>35</v>
      </c>
      <c r="AU28" s="202" t="s">
        <v>35</v>
      </c>
      <c r="AV28" s="202" t="s">
        <v>35</v>
      </c>
      <c r="AW28" s="277" t="s">
        <v>35</v>
      </c>
      <c r="AX28" s="295"/>
      <c r="BB28" s="277"/>
    </row>
    <row r="29" spans="3:54">
      <c r="D29" s="201" t="s">
        <v>27</v>
      </c>
      <c r="E29" s="280">
        <v>15</v>
      </c>
      <c r="F29" s="206">
        <v>6</v>
      </c>
      <c r="G29" s="206">
        <v>2.4</v>
      </c>
      <c r="H29" s="206">
        <v>1</v>
      </c>
      <c r="I29" s="206" t="s">
        <v>28</v>
      </c>
      <c r="J29" s="276">
        <v>7</v>
      </c>
      <c r="K29" s="280">
        <v>12</v>
      </c>
      <c r="L29" s="206">
        <v>4.8</v>
      </c>
      <c r="M29" s="206">
        <v>1.9</v>
      </c>
      <c r="N29" s="206">
        <v>1</v>
      </c>
      <c r="O29" s="206" t="s">
        <v>28</v>
      </c>
      <c r="P29" s="276">
        <v>7</v>
      </c>
      <c r="Q29" s="206" t="s">
        <v>35</v>
      </c>
      <c r="R29" s="206" t="s">
        <v>98</v>
      </c>
      <c r="S29" s="276" t="s">
        <v>98</v>
      </c>
      <c r="T29" s="279" t="s">
        <v>35</v>
      </c>
      <c r="U29" s="280" t="s">
        <v>36</v>
      </c>
      <c r="V29" s="276" t="s">
        <v>36</v>
      </c>
      <c r="W29" s="279" t="s">
        <v>36</v>
      </c>
      <c r="X29" s="276" t="s">
        <v>36</v>
      </c>
      <c r="Y29" s="206" t="s">
        <v>35</v>
      </c>
      <c r="Z29" s="206" t="s">
        <v>35</v>
      </c>
      <c r="AA29" s="279" t="s">
        <v>35</v>
      </c>
      <c r="AB29" s="279" t="s">
        <v>35</v>
      </c>
      <c r="AC29" s="279" t="s">
        <v>35</v>
      </c>
      <c r="AD29" s="278">
        <v>0.55000000000000004</v>
      </c>
      <c r="AE29" s="278">
        <v>0.4</v>
      </c>
      <c r="AF29" s="206" t="s">
        <v>35</v>
      </c>
      <c r="AG29" s="205">
        <v>5</v>
      </c>
      <c r="AH29" s="204">
        <v>1.8</v>
      </c>
      <c r="AI29" s="203">
        <v>2.5</v>
      </c>
      <c r="AJ29" s="275">
        <v>4</v>
      </c>
      <c r="AK29" s="205">
        <v>5</v>
      </c>
      <c r="AL29" s="204">
        <v>1.8</v>
      </c>
      <c r="AM29" s="203">
        <v>2.5</v>
      </c>
      <c r="AN29" s="295" t="s">
        <v>35</v>
      </c>
      <c r="AO29" s="202" t="s">
        <v>35</v>
      </c>
      <c r="AP29" s="202" t="s">
        <v>35</v>
      </c>
      <c r="AQ29" s="202" t="s">
        <v>35</v>
      </c>
      <c r="AR29" s="202" t="s">
        <v>35</v>
      </c>
      <c r="AS29" s="295" t="s">
        <v>35</v>
      </c>
      <c r="AT29" s="202" t="s">
        <v>35</v>
      </c>
      <c r="AU29" s="202" t="s">
        <v>35</v>
      </c>
      <c r="AV29" s="202" t="s">
        <v>35</v>
      </c>
      <c r="AW29" s="277" t="s">
        <v>35</v>
      </c>
      <c r="AX29" s="295"/>
      <c r="BB29" s="277"/>
    </row>
    <row r="30" spans="3:54">
      <c r="D30" s="209" t="s">
        <v>46</v>
      </c>
      <c r="E30" s="280">
        <v>8</v>
      </c>
      <c r="F30" s="206">
        <v>3.2</v>
      </c>
      <c r="G30" s="206">
        <v>1.3</v>
      </c>
      <c r="H30" s="206">
        <v>0.5</v>
      </c>
      <c r="I30" s="206" t="s">
        <v>28</v>
      </c>
      <c r="J30" s="276">
        <v>7</v>
      </c>
      <c r="K30" s="280">
        <v>6.4</v>
      </c>
      <c r="L30" s="206">
        <v>2.5</v>
      </c>
      <c r="M30" s="206">
        <v>1</v>
      </c>
      <c r="N30" s="206">
        <v>0.4</v>
      </c>
      <c r="O30" s="206" t="s">
        <v>28</v>
      </c>
      <c r="P30" s="276">
        <v>7</v>
      </c>
      <c r="Q30" s="206" t="s">
        <v>35</v>
      </c>
      <c r="R30" s="206" t="s">
        <v>98</v>
      </c>
      <c r="S30" s="276" t="s">
        <v>98</v>
      </c>
      <c r="T30" s="279" t="s">
        <v>35</v>
      </c>
      <c r="U30" s="280" t="s">
        <v>36</v>
      </c>
      <c r="V30" s="276" t="s">
        <v>36</v>
      </c>
      <c r="W30" s="279" t="s">
        <v>36</v>
      </c>
      <c r="X30" s="276" t="s">
        <v>36</v>
      </c>
      <c r="Y30" s="206" t="s">
        <v>35</v>
      </c>
      <c r="Z30" s="206" t="s">
        <v>35</v>
      </c>
      <c r="AA30" s="279" t="s">
        <v>35</v>
      </c>
      <c r="AB30" s="279" t="s">
        <v>35</v>
      </c>
      <c r="AC30" s="279" t="s">
        <v>35</v>
      </c>
      <c r="AD30" s="278">
        <v>0.55000000000000004</v>
      </c>
      <c r="AE30" s="278">
        <v>0.4</v>
      </c>
      <c r="AF30" s="206" t="s">
        <v>35</v>
      </c>
      <c r="AG30" s="205">
        <v>5</v>
      </c>
      <c r="AH30" s="204">
        <v>1.8</v>
      </c>
      <c r="AI30" s="203">
        <v>2.5</v>
      </c>
      <c r="AJ30" s="275">
        <v>4</v>
      </c>
      <c r="AK30" s="205">
        <v>5</v>
      </c>
      <c r="AL30" s="204">
        <v>1.8</v>
      </c>
      <c r="AM30" s="203">
        <v>2.5</v>
      </c>
      <c r="AN30" s="295" t="s">
        <v>35</v>
      </c>
      <c r="AO30" s="202" t="s">
        <v>35</v>
      </c>
      <c r="AP30" s="202" t="s">
        <v>35</v>
      </c>
      <c r="AQ30" s="202" t="s">
        <v>35</v>
      </c>
      <c r="AR30" s="202" t="s">
        <v>35</v>
      </c>
      <c r="AS30" s="295" t="s">
        <v>35</v>
      </c>
      <c r="AT30" s="202" t="s">
        <v>35</v>
      </c>
      <c r="AU30" s="202" t="s">
        <v>35</v>
      </c>
      <c r="AV30" s="202" t="s">
        <v>35</v>
      </c>
      <c r="AW30" s="277" t="s">
        <v>35</v>
      </c>
      <c r="AX30" s="295"/>
      <c r="BB30" s="277"/>
    </row>
    <row r="31" spans="3:54" s="210" customFormat="1">
      <c r="E31" s="292"/>
      <c r="F31" s="287"/>
      <c r="G31" s="287"/>
      <c r="H31" s="287"/>
      <c r="I31" s="287"/>
      <c r="J31" s="289"/>
      <c r="K31" s="292"/>
      <c r="L31" s="287"/>
      <c r="M31" s="287"/>
      <c r="N31" s="287"/>
      <c r="O31" s="287"/>
      <c r="P31" s="289"/>
      <c r="Q31" s="287"/>
      <c r="R31" s="287"/>
      <c r="S31" s="289"/>
      <c r="T31" s="291"/>
      <c r="U31" s="292"/>
      <c r="V31" s="289"/>
      <c r="W31" s="291"/>
      <c r="X31" s="289"/>
      <c r="Y31" s="287"/>
      <c r="Z31" s="289"/>
      <c r="AA31" s="290"/>
      <c r="AB31" s="291"/>
      <c r="AC31" s="291"/>
      <c r="AD31" s="288"/>
      <c r="AE31" s="288"/>
      <c r="AF31" s="287"/>
      <c r="AG31" s="286"/>
      <c r="AH31" s="285"/>
      <c r="AI31" s="284"/>
      <c r="AJ31" s="282"/>
      <c r="AK31" s="286"/>
      <c r="AL31" s="285"/>
      <c r="AM31" s="284"/>
      <c r="AN31" s="297"/>
      <c r="AO31" s="281"/>
      <c r="AP31" s="281"/>
      <c r="AQ31" s="281"/>
      <c r="AR31" s="281"/>
      <c r="AS31" s="297"/>
      <c r="AT31" s="281"/>
      <c r="AU31" s="281"/>
      <c r="AV31" s="281"/>
      <c r="AW31" s="296"/>
      <c r="AX31" s="297"/>
      <c r="AY31" s="281"/>
      <c r="AZ31" s="281"/>
      <c r="BA31" s="281"/>
      <c r="BB31" s="296"/>
    </row>
    <row r="32" spans="3:54">
      <c r="C32" s="201" t="s">
        <v>14</v>
      </c>
      <c r="D32" s="209" t="s">
        <v>88</v>
      </c>
      <c r="E32" s="280">
        <v>4.8</v>
      </c>
      <c r="F32" s="206">
        <v>1.9</v>
      </c>
      <c r="G32" s="206">
        <v>1.3</v>
      </c>
      <c r="H32" s="206" t="s">
        <v>28</v>
      </c>
      <c r="I32" s="206" t="s">
        <v>28</v>
      </c>
      <c r="J32" s="276">
        <v>13</v>
      </c>
      <c r="K32" s="280">
        <v>3.8</v>
      </c>
      <c r="L32" s="206">
        <v>1.5</v>
      </c>
      <c r="M32" s="206">
        <v>1</v>
      </c>
      <c r="N32" s="206" t="s">
        <v>28</v>
      </c>
      <c r="O32" s="206" t="s">
        <v>28</v>
      </c>
      <c r="P32" s="276">
        <v>10</v>
      </c>
      <c r="Q32" s="206" t="s">
        <v>35</v>
      </c>
      <c r="R32" s="206" t="s">
        <v>98</v>
      </c>
      <c r="S32" s="276" t="s">
        <v>98</v>
      </c>
      <c r="T32" s="279" t="s">
        <v>35</v>
      </c>
      <c r="U32" s="280" t="s">
        <v>36</v>
      </c>
      <c r="V32" s="276" t="s">
        <v>36</v>
      </c>
      <c r="W32" s="279" t="s">
        <v>36</v>
      </c>
      <c r="X32" s="276" t="s">
        <v>36</v>
      </c>
      <c r="Y32" s="206" t="s">
        <v>35</v>
      </c>
      <c r="Z32" s="206" t="s">
        <v>35</v>
      </c>
      <c r="AA32" s="279" t="s">
        <v>35</v>
      </c>
      <c r="AB32" s="279" t="s">
        <v>35</v>
      </c>
      <c r="AC32" s="279">
        <v>400</v>
      </c>
      <c r="AD32" s="278">
        <v>0.55000000000000004</v>
      </c>
      <c r="AE32" s="278">
        <v>0.4</v>
      </c>
      <c r="AF32" s="206" t="s">
        <v>35</v>
      </c>
      <c r="AG32" s="205">
        <v>10</v>
      </c>
      <c r="AH32" s="204">
        <v>1.8</v>
      </c>
      <c r="AI32" s="203">
        <v>2.6</v>
      </c>
      <c r="AJ32" s="275">
        <v>5</v>
      </c>
      <c r="AK32" s="205">
        <v>10</v>
      </c>
      <c r="AL32" s="204">
        <v>1.8</v>
      </c>
      <c r="AM32" s="203">
        <v>2.6</v>
      </c>
      <c r="AN32" s="299">
        <v>360</v>
      </c>
      <c r="AO32" s="205">
        <v>360</v>
      </c>
      <c r="AP32" s="205">
        <v>360</v>
      </c>
      <c r="AQ32" s="205">
        <v>360</v>
      </c>
      <c r="AR32" s="205" t="s">
        <v>28</v>
      </c>
      <c r="AS32" s="299">
        <v>180</v>
      </c>
      <c r="AT32" s="205">
        <v>180</v>
      </c>
      <c r="AU32" s="205">
        <v>180</v>
      </c>
      <c r="AV32" s="205">
        <v>180</v>
      </c>
      <c r="AW32" s="205" t="s">
        <v>28</v>
      </c>
      <c r="AX32" s="295"/>
      <c r="BB32" s="277"/>
    </row>
    <row r="33" spans="3:54">
      <c r="D33" s="201" t="s">
        <v>27</v>
      </c>
      <c r="E33" s="280">
        <v>15</v>
      </c>
      <c r="F33" s="206">
        <v>6</v>
      </c>
      <c r="G33" s="206">
        <v>2.4</v>
      </c>
      <c r="H33" s="206">
        <v>1</v>
      </c>
      <c r="I33" s="206" t="s">
        <v>28</v>
      </c>
      <c r="J33" s="276">
        <v>13</v>
      </c>
      <c r="K33" s="280">
        <v>12</v>
      </c>
      <c r="L33" s="206">
        <v>4.8</v>
      </c>
      <c r="M33" s="206">
        <v>1.9</v>
      </c>
      <c r="N33" s="206">
        <v>1</v>
      </c>
      <c r="O33" s="206" t="s">
        <v>28</v>
      </c>
      <c r="P33" s="276">
        <v>10</v>
      </c>
      <c r="Q33" s="206" t="s">
        <v>35</v>
      </c>
      <c r="R33" s="206" t="s">
        <v>98</v>
      </c>
      <c r="S33" s="276" t="s">
        <v>98</v>
      </c>
      <c r="T33" s="279" t="s">
        <v>35</v>
      </c>
      <c r="U33" s="280" t="s">
        <v>36</v>
      </c>
      <c r="V33" s="276" t="s">
        <v>36</v>
      </c>
      <c r="W33" s="279" t="s">
        <v>36</v>
      </c>
      <c r="X33" s="276" t="s">
        <v>36</v>
      </c>
      <c r="Y33" s="206" t="s">
        <v>35</v>
      </c>
      <c r="Z33" s="206" t="s">
        <v>35</v>
      </c>
      <c r="AA33" s="279" t="s">
        <v>35</v>
      </c>
      <c r="AB33" s="279" t="s">
        <v>35</v>
      </c>
      <c r="AC33" s="279">
        <v>400</v>
      </c>
      <c r="AD33" s="278">
        <v>0.55000000000000004</v>
      </c>
      <c r="AE33" s="278">
        <v>0.4</v>
      </c>
      <c r="AF33" s="206" t="s">
        <v>35</v>
      </c>
      <c r="AG33" s="205">
        <v>10</v>
      </c>
      <c r="AH33" s="204">
        <v>1.8</v>
      </c>
      <c r="AI33" s="203">
        <v>2.6</v>
      </c>
      <c r="AJ33" s="275">
        <v>5</v>
      </c>
      <c r="AK33" s="205">
        <v>10</v>
      </c>
      <c r="AL33" s="204">
        <v>1.8</v>
      </c>
      <c r="AM33" s="203">
        <v>2.6</v>
      </c>
      <c r="AN33" s="299">
        <v>360</v>
      </c>
      <c r="AO33" s="205">
        <v>360</v>
      </c>
      <c r="AP33" s="205">
        <v>360</v>
      </c>
      <c r="AQ33" s="205">
        <v>360</v>
      </c>
      <c r="AR33" s="205" t="s">
        <v>28</v>
      </c>
      <c r="AS33" s="299">
        <v>180</v>
      </c>
      <c r="AT33" s="205">
        <v>180</v>
      </c>
      <c r="AU33" s="205">
        <v>180</v>
      </c>
      <c r="AV33" s="205">
        <v>180</v>
      </c>
      <c r="AW33" s="205" t="s">
        <v>28</v>
      </c>
      <c r="AX33" s="295"/>
      <c r="BB33" s="277"/>
    </row>
    <row r="34" spans="3:54">
      <c r="D34" s="209" t="s">
        <v>89</v>
      </c>
      <c r="E34" s="280">
        <v>15</v>
      </c>
      <c r="F34" s="206">
        <v>6</v>
      </c>
      <c r="G34" s="206">
        <v>2.4</v>
      </c>
      <c r="H34" s="206">
        <v>1</v>
      </c>
      <c r="I34" s="206" t="s">
        <v>28</v>
      </c>
      <c r="J34" s="276">
        <v>13</v>
      </c>
      <c r="K34" s="280">
        <v>12</v>
      </c>
      <c r="L34" s="206">
        <v>4.8</v>
      </c>
      <c r="M34" s="206">
        <v>1.9</v>
      </c>
      <c r="N34" s="206">
        <v>0.8</v>
      </c>
      <c r="O34" s="206" t="s">
        <v>28</v>
      </c>
      <c r="P34" s="276">
        <v>10</v>
      </c>
      <c r="Q34" s="206" t="s">
        <v>35</v>
      </c>
      <c r="R34" s="206" t="s">
        <v>98</v>
      </c>
      <c r="S34" s="276" t="s">
        <v>98</v>
      </c>
      <c r="T34" s="279" t="s">
        <v>35</v>
      </c>
      <c r="U34" s="280" t="s">
        <v>36</v>
      </c>
      <c r="V34" s="276" t="s">
        <v>36</v>
      </c>
      <c r="W34" s="279" t="s">
        <v>36</v>
      </c>
      <c r="X34" s="276" t="s">
        <v>36</v>
      </c>
      <c r="Y34" s="206">
        <v>5</v>
      </c>
      <c r="Z34" s="276">
        <v>0.5</v>
      </c>
      <c r="AA34" s="279" t="s">
        <v>35</v>
      </c>
      <c r="AB34" s="279" t="s">
        <v>35</v>
      </c>
      <c r="AC34" s="279">
        <v>400</v>
      </c>
      <c r="AD34" s="278">
        <v>0.55000000000000004</v>
      </c>
      <c r="AE34" s="278">
        <v>0.4</v>
      </c>
      <c r="AF34" s="206" t="s">
        <v>35</v>
      </c>
      <c r="AG34" s="205">
        <v>10</v>
      </c>
      <c r="AH34" s="204">
        <v>1.8</v>
      </c>
      <c r="AI34" s="203">
        <v>2.6</v>
      </c>
      <c r="AJ34" s="275">
        <v>5</v>
      </c>
      <c r="AK34" s="205">
        <v>10</v>
      </c>
      <c r="AL34" s="204">
        <v>1.8</v>
      </c>
      <c r="AM34" s="203">
        <v>2.6</v>
      </c>
      <c r="AN34" s="299">
        <v>360</v>
      </c>
      <c r="AO34" s="205">
        <v>360</v>
      </c>
      <c r="AP34" s="205">
        <v>360</v>
      </c>
      <c r="AQ34" s="205">
        <v>360</v>
      </c>
      <c r="AR34" s="205" t="s">
        <v>28</v>
      </c>
      <c r="AS34" s="299">
        <v>180</v>
      </c>
      <c r="AT34" s="205">
        <v>180</v>
      </c>
      <c r="AU34" s="205">
        <v>180</v>
      </c>
      <c r="AV34" s="205">
        <v>180</v>
      </c>
      <c r="AW34" s="205" t="s">
        <v>28</v>
      </c>
      <c r="AX34" s="295"/>
      <c r="BB34" s="277"/>
    </row>
    <row r="35" spans="3:54">
      <c r="D35" s="209" t="s">
        <v>126</v>
      </c>
      <c r="E35" s="280"/>
      <c r="J35" s="276"/>
      <c r="K35" s="280"/>
      <c r="P35" s="276"/>
      <c r="S35" s="276"/>
      <c r="T35" s="279"/>
      <c r="U35" s="280"/>
      <c r="V35" s="276"/>
      <c r="W35" s="279"/>
      <c r="X35" s="276"/>
      <c r="AA35" s="279"/>
      <c r="AB35" s="279"/>
      <c r="AC35" s="279"/>
      <c r="AD35" s="278"/>
      <c r="AE35" s="278"/>
      <c r="AJ35" s="275"/>
      <c r="AK35" s="205">
        <v>5</v>
      </c>
      <c r="AL35" s="204">
        <v>1.8</v>
      </c>
      <c r="AM35" s="203">
        <v>2.6</v>
      </c>
      <c r="AN35" s="299">
        <v>360</v>
      </c>
      <c r="AO35" s="205">
        <v>360</v>
      </c>
      <c r="AP35" s="205">
        <v>360</v>
      </c>
      <c r="AQ35" s="205">
        <v>360</v>
      </c>
      <c r="AR35" s="205" t="s">
        <v>28</v>
      </c>
      <c r="AS35" s="299">
        <v>180</v>
      </c>
      <c r="AT35" s="205">
        <v>180</v>
      </c>
      <c r="AU35" s="205">
        <v>180</v>
      </c>
      <c r="AV35" s="205">
        <v>180</v>
      </c>
      <c r="AW35" s="205" t="s">
        <v>28</v>
      </c>
      <c r="AX35" s="295"/>
      <c r="BB35" s="277"/>
    </row>
    <row r="36" spans="3:54">
      <c r="D36" s="201" t="s">
        <v>46</v>
      </c>
      <c r="E36" s="280">
        <v>8</v>
      </c>
      <c r="F36" s="206">
        <v>3.2</v>
      </c>
      <c r="G36" s="206">
        <v>1.3</v>
      </c>
      <c r="H36" s="206">
        <v>0.5</v>
      </c>
      <c r="I36" s="206" t="s">
        <v>28</v>
      </c>
      <c r="J36" s="276">
        <v>13</v>
      </c>
      <c r="K36" s="280">
        <v>6.4</v>
      </c>
      <c r="L36" s="206">
        <v>2.5</v>
      </c>
      <c r="M36" s="206">
        <v>1</v>
      </c>
      <c r="N36" s="206">
        <v>0.8</v>
      </c>
      <c r="O36" s="206" t="s">
        <v>28</v>
      </c>
      <c r="P36" s="276">
        <v>10</v>
      </c>
      <c r="Q36" s="206" t="s">
        <v>35</v>
      </c>
      <c r="R36" s="206" t="s">
        <v>98</v>
      </c>
      <c r="S36" s="276" t="s">
        <v>98</v>
      </c>
      <c r="T36" s="279" t="s">
        <v>35</v>
      </c>
      <c r="U36" s="280" t="s">
        <v>36</v>
      </c>
      <c r="V36" s="276" t="s">
        <v>36</v>
      </c>
      <c r="W36" s="279" t="s">
        <v>36</v>
      </c>
      <c r="X36" s="276" t="s">
        <v>36</v>
      </c>
      <c r="Y36" s="206" t="s">
        <v>35</v>
      </c>
      <c r="Z36" s="206" t="s">
        <v>35</v>
      </c>
      <c r="AA36" s="279" t="s">
        <v>35</v>
      </c>
      <c r="AB36" s="279" t="s">
        <v>35</v>
      </c>
      <c r="AC36" s="279">
        <v>400</v>
      </c>
      <c r="AD36" s="278">
        <v>0.55000000000000004</v>
      </c>
      <c r="AE36" s="278">
        <v>0.4</v>
      </c>
      <c r="AF36" s="206" t="s">
        <v>35</v>
      </c>
      <c r="AG36" s="205">
        <v>10</v>
      </c>
      <c r="AH36" s="204">
        <v>1.8</v>
      </c>
      <c r="AI36" s="203">
        <v>2.6</v>
      </c>
      <c r="AJ36" s="275">
        <v>5</v>
      </c>
      <c r="AK36" s="205">
        <v>10</v>
      </c>
      <c r="AL36" s="204">
        <v>1.8</v>
      </c>
      <c r="AM36" s="203">
        <v>2.6</v>
      </c>
      <c r="AN36" s="299">
        <v>360</v>
      </c>
      <c r="AO36" s="205">
        <v>360</v>
      </c>
      <c r="AP36" s="205">
        <v>360</v>
      </c>
      <c r="AQ36" s="205">
        <v>360</v>
      </c>
      <c r="AR36" s="205" t="s">
        <v>28</v>
      </c>
      <c r="AS36" s="299">
        <v>180</v>
      </c>
      <c r="AT36" s="205">
        <v>180</v>
      </c>
      <c r="AU36" s="205">
        <v>180</v>
      </c>
      <c r="AV36" s="205">
        <v>180</v>
      </c>
      <c r="AW36" s="205" t="s">
        <v>28</v>
      </c>
      <c r="AX36" s="295"/>
      <c r="BB36" s="277"/>
    </row>
    <row r="37" spans="3:54" s="210" customFormat="1">
      <c r="E37" s="292"/>
      <c r="F37" s="287"/>
      <c r="G37" s="287"/>
      <c r="H37" s="287"/>
      <c r="I37" s="287"/>
      <c r="J37" s="289"/>
      <c r="K37" s="287"/>
      <c r="L37" s="287"/>
      <c r="M37" s="287"/>
      <c r="N37" s="287"/>
      <c r="O37" s="287"/>
      <c r="P37" s="289"/>
      <c r="Q37" s="287"/>
      <c r="R37" s="287"/>
      <c r="S37" s="289"/>
      <c r="T37" s="291"/>
      <c r="U37" s="292"/>
      <c r="V37" s="289"/>
      <c r="W37" s="291"/>
      <c r="X37" s="289"/>
      <c r="Y37" s="287"/>
      <c r="Z37" s="289"/>
      <c r="AA37" s="290"/>
      <c r="AB37" s="291"/>
      <c r="AC37" s="291"/>
      <c r="AD37" s="288"/>
      <c r="AE37" s="288"/>
      <c r="AF37" s="287"/>
      <c r="AG37" s="286"/>
      <c r="AH37" s="285"/>
      <c r="AI37" s="284"/>
      <c r="AJ37" s="282"/>
      <c r="AK37" s="286"/>
      <c r="AL37" s="285"/>
      <c r="AM37" s="284"/>
      <c r="AN37" s="297"/>
      <c r="AO37" s="281"/>
      <c r="AP37" s="281"/>
      <c r="AQ37" s="281"/>
      <c r="AR37" s="281"/>
      <c r="AS37" s="297"/>
      <c r="AT37" s="281"/>
      <c r="AU37" s="281"/>
      <c r="AV37" s="281"/>
      <c r="AW37" s="296"/>
      <c r="AX37" s="297"/>
      <c r="AY37" s="281"/>
      <c r="AZ37" s="281"/>
      <c r="BA37" s="281"/>
      <c r="BB37" s="296"/>
    </row>
    <row r="38" spans="3:54">
      <c r="C38" s="201" t="s">
        <v>30</v>
      </c>
      <c r="D38" s="201" t="s">
        <v>90</v>
      </c>
      <c r="E38" s="280"/>
      <c r="G38" s="206" t="s">
        <v>98</v>
      </c>
      <c r="H38" s="206" t="s">
        <v>98</v>
      </c>
      <c r="I38" s="206" t="s">
        <v>98</v>
      </c>
      <c r="J38" s="276" t="s">
        <v>98</v>
      </c>
      <c r="K38" s="206" t="s">
        <v>98</v>
      </c>
      <c r="L38" s="206" t="s">
        <v>98</v>
      </c>
      <c r="M38" s="206" t="s">
        <v>98</v>
      </c>
      <c r="N38" s="206" t="s">
        <v>98</v>
      </c>
      <c r="O38" s="206" t="s">
        <v>98</v>
      </c>
      <c r="P38" s="276" t="s">
        <v>98</v>
      </c>
      <c r="Q38" s="206" t="s">
        <v>35</v>
      </c>
      <c r="R38" s="206" t="s">
        <v>98</v>
      </c>
      <c r="S38" s="276" t="s">
        <v>98</v>
      </c>
      <c r="T38" s="279" t="s">
        <v>35</v>
      </c>
      <c r="U38" s="280" t="s">
        <v>36</v>
      </c>
      <c r="V38" s="276" t="s">
        <v>36</v>
      </c>
      <c r="W38" s="279" t="s">
        <v>36</v>
      </c>
      <c r="X38" s="276" t="s">
        <v>36</v>
      </c>
      <c r="Y38" s="206" t="s">
        <v>35</v>
      </c>
      <c r="Z38" s="206" t="s">
        <v>35</v>
      </c>
      <c r="AA38" s="279" t="s">
        <v>35</v>
      </c>
      <c r="AB38" s="279" t="s">
        <v>35</v>
      </c>
      <c r="AC38" s="279" t="s">
        <v>35</v>
      </c>
      <c r="AD38" s="278">
        <v>0.55000000000000004</v>
      </c>
      <c r="AE38" s="278" t="s">
        <v>35</v>
      </c>
      <c r="AF38" s="206" t="s">
        <v>35</v>
      </c>
      <c r="AG38" s="205">
        <v>5</v>
      </c>
      <c r="AH38" s="204">
        <v>1.8</v>
      </c>
      <c r="AI38" s="203">
        <v>2.6</v>
      </c>
      <c r="AJ38" s="275">
        <v>5</v>
      </c>
      <c r="AK38" s="205">
        <v>10</v>
      </c>
      <c r="AL38" s="204">
        <v>1.8</v>
      </c>
      <c r="AM38" s="203">
        <v>2.6</v>
      </c>
      <c r="AN38" s="295" t="s">
        <v>35</v>
      </c>
      <c r="AO38" s="202" t="s">
        <v>35</v>
      </c>
      <c r="AP38" s="202" t="s">
        <v>35</v>
      </c>
      <c r="AQ38" s="202" t="s">
        <v>35</v>
      </c>
      <c r="AR38" s="202" t="s">
        <v>35</v>
      </c>
      <c r="AS38" s="295" t="s">
        <v>35</v>
      </c>
      <c r="AT38" s="202" t="s">
        <v>35</v>
      </c>
      <c r="AU38" s="202" t="s">
        <v>35</v>
      </c>
      <c r="AV38" s="202" t="s">
        <v>35</v>
      </c>
      <c r="AW38" s="277" t="s">
        <v>35</v>
      </c>
      <c r="AX38" s="295"/>
      <c r="BB38" s="277"/>
    </row>
    <row r="39" spans="3:54">
      <c r="D39" s="201" t="s">
        <v>91</v>
      </c>
      <c r="E39" s="280">
        <v>15</v>
      </c>
      <c r="F39" s="206">
        <v>6</v>
      </c>
      <c r="G39" s="206">
        <v>2.4</v>
      </c>
      <c r="H39" s="206">
        <v>1</v>
      </c>
      <c r="I39" s="206">
        <v>1</v>
      </c>
      <c r="J39" s="276">
        <v>7</v>
      </c>
      <c r="K39" s="206">
        <v>12</v>
      </c>
      <c r="L39" s="206">
        <v>4.8</v>
      </c>
      <c r="M39" s="206">
        <v>1.9</v>
      </c>
      <c r="N39" s="206">
        <v>1</v>
      </c>
      <c r="O39" s="206">
        <v>1</v>
      </c>
      <c r="P39" s="276">
        <v>7</v>
      </c>
      <c r="Q39" s="206" t="s">
        <v>35</v>
      </c>
      <c r="R39" s="206" t="s">
        <v>98</v>
      </c>
      <c r="S39" s="276" t="s">
        <v>98</v>
      </c>
      <c r="T39" s="279" t="s">
        <v>35</v>
      </c>
      <c r="U39" s="280" t="s">
        <v>36</v>
      </c>
      <c r="V39" s="276" t="s">
        <v>36</v>
      </c>
      <c r="W39" s="279" t="s">
        <v>36</v>
      </c>
      <c r="X39" s="276" t="s">
        <v>36</v>
      </c>
      <c r="Y39" s="206" t="s">
        <v>35</v>
      </c>
      <c r="Z39" s="206" t="s">
        <v>35</v>
      </c>
      <c r="AA39" s="279" t="s">
        <v>35</v>
      </c>
      <c r="AB39" s="279" t="s">
        <v>35</v>
      </c>
      <c r="AC39" s="279">
        <v>400</v>
      </c>
      <c r="AD39" s="278">
        <v>0.55000000000000004</v>
      </c>
      <c r="AE39" s="278">
        <v>0.4</v>
      </c>
      <c r="AF39" s="206" t="s">
        <v>35</v>
      </c>
      <c r="AG39" s="205">
        <v>5</v>
      </c>
      <c r="AH39" s="204">
        <v>1.8</v>
      </c>
      <c r="AI39" s="203">
        <v>2.6</v>
      </c>
      <c r="AJ39" s="275">
        <v>5</v>
      </c>
      <c r="AK39" s="205">
        <v>10</v>
      </c>
      <c r="AL39" s="204">
        <v>1.8</v>
      </c>
      <c r="AM39" s="203">
        <v>2.6</v>
      </c>
      <c r="AN39" s="299">
        <v>60</v>
      </c>
      <c r="AO39" s="275">
        <v>60</v>
      </c>
      <c r="AP39" s="275">
        <v>150</v>
      </c>
      <c r="AQ39" s="275">
        <v>360</v>
      </c>
      <c r="AR39" s="275" t="s">
        <v>130</v>
      </c>
      <c r="AS39" s="299">
        <v>30</v>
      </c>
      <c r="AT39" s="275">
        <v>30</v>
      </c>
      <c r="AU39" s="275">
        <v>75</v>
      </c>
      <c r="AV39" s="275">
        <v>180</v>
      </c>
      <c r="AW39" s="277">
        <v>450</v>
      </c>
      <c r="AX39" s="295"/>
      <c r="BB39" s="277"/>
    </row>
    <row r="40" spans="3:54">
      <c r="D40" s="201" t="s">
        <v>92</v>
      </c>
      <c r="E40" s="280">
        <v>8</v>
      </c>
      <c r="F40" s="206">
        <v>3.2</v>
      </c>
      <c r="G40" s="206">
        <v>1.3</v>
      </c>
      <c r="H40" s="206">
        <v>0.5</v>
      </c>
      <c r="I40" s="206">
        <v>0.5</v>
      </c>
      <c r="J40" s="276">
        <v>7</v>
      </c>
      <c r="K40" s="206">
        <v>6.4</v>
      </c>
      <c r="L40" s="206">
        <v>2.5</v>
      </c>
      <c r="M40" s="206">
        <v>1</v>
      </c>
      <c r="N40" s="206">
        <v>0.4</v>
      </c>
      <c r="O40" s="206">
        <v>0.4</v>
      </c>
      <c r="P40" s="276">
        <v>7</v>
      </c>
      <c r="Q40" s="206" t="s">
        <v>35</v>
      </c>
      <c r="R40" s="206" t="s">
        <v>98</v>
      </c>
      <c r="S40" s="276" t="s">
        <v>98</v>
      </c>
      <c r="T40" s="279" t="s">
        <v>35</v>
      </c>
      <c r="U40" s="280" t="s">
        <v>36</v>
      </c>
      <c r="V40" s="276" t="s">
        <v>36</v>
      </c>
      <c r="W40" s="279" t="s">
        <v>36</v>
      </c>
      <c r="X40" s="276" t="s">
        <v>36</v>
      </c>
      <c r="Y40" s="206" t="s">
        <v>35</v>
      </c>
      <c r="Z40" s="206" t="s">
        <v>35</v>
      </c>
      <c r="AA40" s="279" t="s">
        <v>35</v>
      </c>
      <c r="AB40" s="279" t="s">
        <v>35</v>
      </c>
      <c r="AC40" s="279">
        <v>400</v>
      </c>
      <c r="AD40" s="278">
        <v>0.55000000000000004</v>
      </c>
      <c r="AE40" s="278">
        <v>0.4</v>
      </c>
      <c r="AF40" s="206" t="s">
        <v>35</v>
      </c>
      <c r="AG40" s="205">
        <v>5</v>
      </c>
      <c r="AH40" s="204">
        <v>1.8</v>
      </c>
      <c r="AI40" s="203">
        <v>2.6</v>
      </c>
      <c r="AJ40" s="275">
        <v>5</v>
      </c>
      <c r="AK40" s="205">
        <v>10</v>
      </c>
      <c r="AL40" s="204">
        <v>1.8</v>
      </c>
      <c r="AM40" s="203">
        <v>2.6</v>
      </c>
      <c r="AN40" s="299">
        <v>60</v>
      </c>
      <c r="AO40" s="275">
        <v>60</v>
      </c>
      <c r="AP40" s="275">
        <v>150</v>
      </c>
      <c r="AQ40" s="275">
        <v>360</v>
      </c>
      <c r="AR40" s="275" t="s">
        <v>130</v>
      </c>
      <c r="AS40" s="299">
        <v>30</v>
      </c>
      <c r="AT40" s="275">
        <v>30</v>
      </c>
      <c r="AU40" s="275">
        <v>75</v>
      </c>
      <c r="AV40" s="275">
        <v>180</v>
      </c>
      <c r="AW40" s="277">
        <v>450</v>
      </c>
      <c r="AX40" s="295"/>
      <c r="BB40" s="277"/>
    </row>
    <row r="41" spans="3:54" s="210" customFormat="1">
      <c r="E41" s="292"/>
      <c r="F41" s="287"/>
      <c r="G41" s="287"/>
      <c r="H41" s="287"/>
      <c r="I41" s="287"/>
      <c r="J41" s="289"/>
      <c r="K41" s="287"/>
      <c r="L41" s="287"/>
      <c r="M41" s="287"/>
      <c r="N41" s="287"/>
      <c r="O41" s="287"/>
      <c r="P41" s="289"/>
      <c r="Q41" s="287"/>
      <c r="R41" s="287"/>
      <c r="S41" s="289"/>
      <c r="T41" s="291" t="s">
        <v>35</v>
      </c>
      <c r="U41" s="292" t="s">
        <v>36</v>
      </c>
      <c r="V41" s="289" t="s">
        <v>36</v>
      </c>
      <c r="W41" s="291" t="s">
        <v>36</v>
      </c>
      <c r="X41" s="289" t="s">
        <v>36</v>
      </c>
      <c r="Y41" s="287"/>
      <c r="Z41" s="289"/>
      <c r="AA41" s="290"/>
      <c r="AB41" s="291"/>
      <c r="AC41" s="289"/>
      <c r="AD41" s="288"/>
      <c r="AE41" s="288"/>
      <c r="AF41" s="287"/>
      <c r="AG41" s="286"/>
      <c r="AH41" s="285"/>
      <c r="AI41" s="284"/>
      <c r="AJ41" s="282"/>
      <c r="AK41" s="286"/>
      <c r="AL41" s="285"/>
      <c r="AM41" s="284"/>
      <c r="AN41" s="298"/>
      <c r="AO41" s="282"/>
      <c r="AP41" s="282"/>
      <c r="AQ41" s="282"/>
      <c r="AR41" s="282"/>
      <c r="AS41" s="298"/>
      <c r="AT41" s="282"/>
      <c r="AU41" s="282"/>
      <c r="AV41" s="282"/>
      <c r="AW41" s="283"/>
      <c r="AX41" s="297"/>
      <c r="AY41" s="281"/>
      <c r="AZ41" s="281"/>
      <c r="BA41" s="281"/>
      <c r="BB41" s="296"/>
    </row>
    <row r="42" spans="3:54">
      <c r="C42" s="201" t="s">
        <v>31</v>
      </c>
      <c r="D42" s="252" t="s">
        <v>31</v>
      </c>
      <c r="E42" s="206">
        <v>1.3</v>
      </c>
      <c r="F42" s="206">
        <v>1.3</v>
      </c>
      <c r="G42" s="206">
        <v>1.3</v>
      </c>
      <c r="H42" s="206">
        <v>1.3</v>
      </c>
      <c r="I42" s="206" t="s">
        <v>28</v>
      </c>
      <c r="J42" s="276">
        <v>13</v>
      </c>
      <c r="K42" s="206">
        <v>1</v>
      </c>
      <c r="L42" s="206">
        <v>1</v>
      </c>
      <c r="M42" s="206">
        <v>1</v>
      </c>
      <c r="N42" s="206">
        <v>1</v>
      </c>
      <c r="O42" s="206" t="s">
        <v>28</v>
      </c>
      <c r="P42" s="276">
        <v>10</v>
      </c>
      <c r="Q42" s="206" t="s">
        <v>35</v>
      </c>
      <c r="R42" s="206" t="s">
        <v>98</v>
      </c>
      <c r="S42" s="276" t="s">
        <v>98</v>
      </c>
      <c r="T42" s="279" t="s">
        <v>35</v>
      </c>
      <c r="U42" s="280" t="s">
        <v>36</v>
      </c>
      <c r="V42" s="276" t="s">
        <v>36</v>
      </c>
      <c r="W42" s="279" t="s">
        <v>36</v>
      </c>
      <c r="X42" s="276" t="s">
        <v>36</v>
      </c>
      <c r="Y42" s="206">
        <v>2.5</v>
      </c>
      <c r="Z42" s="276">
        <v>0.5</v>
      </c>
      <c r="AA42" s="279" t="s">
        <v>35</v>
      </c>
      <c r="AB42" s="279" t="s">
        <v>35</v>
      </c>
      <c r="AC42" s="276">
        <v>400</v>
      </c>
      <c r="AD42" s="278">
        <v>0.55000000000000004</v>
      </c>
      <c r="AE42" s="278">
        <v>0.4</v>
      </c>
      <c r="AF42" s="300"/>
      <c r="AG42" s="205">
        <v>10</v>
      </c>
      <c r="AH42" s="204">
        <v>1.8</v>
      </c>
      <c r="AI42" s="203">
        <v>2.6</v>
      </c>
      <c r="AJ42" s="275">
        <v>10</v>
      </c>
      <c r="AK42" s="205">
        <v>10</v>
      </c>
      <c r="AL42" s="204">
        <v>1.8</v>
      </c>
      <c r="AM42" s="203">
        <v>2.6</v>
      </c>
      <c r="AN42" s="299">
        <v>60</v>
      </c>
      <c r="AO42" s="275">
        <v>60</v>
      </c>
      <c r="AP42" s="275">
        <v>150</v>
      </c>
      <c r="AQ42" s="275">
        <v>360</v>
      </c>
      <c r="AR42" s="275" t="s">
        <v>28</v>
      </c>
      <c r="AS42" s="299">
        <v>30</v>
      </c>
      <c r="AT42" s="275">
        <v>30</v>
      </c>
      <c r="AU42" s="275">
        <v>75</v>
      </c>
      <c r="AV42" s="275">
        <v>180</v>
      </c>
      <c r="AW42" s="277" t="s">
        <v>28</v>
      </c>
      <c r="AX42" s="295"/>
      <c r="BB42" s="277"/>
    </row>
    <row r="43" spans="3:54">
      <c r="D43" s="252"/>
      <c r="J43" s="276"/>
      <c r="P43" s="276"/>
      <c r="S43" s="276"/>
      <c r="T43" s="279" t="s">
        <v>35</v>
      </c>
      <c r="U43" s="280" t="s">
        <v>36</v>
      </c>
      <c r="V43" s="276" t="s">
        <v>36</v>
      </c>
      <c r="W43" s="279" t="s">
        <v>36</v>
      </c>
      <c r="X43" s="276" t="s">
        <v>36</v>
      </c>
      <c r="Z43" s="276"/>
      <c r="AA43" s="279" t="s">
        <v>35</v>
      </c>
      <c r="AB43" s="279" t="s">
        <v>35</v>
      </c>
      <c r="AC43" s="276"/>
      <c r="AD43" s="278"/>
      <c r="AE43" s="278"/>
      <c r="AJ43" s="275"/>
      <c r="AN43" s="299"/>
      <c r="AO43" s="275"/>
      <c r="AP43" s="275"/>
      <c r="AQ43" s="275"/>
      <c r="AR43" s="275"/>
      <c r="AS43" s="299"/>
      <c r="AT43" s="275"/>
      <c r="AU43" s="275"/>
      <c r="AV43" s="275"/>
      <c r="AW43" s="294"/>
      <c r="AX43" s="295"/>
      <c r="BB43" s="277"/>
    </row>
    <row r="44" spans="3:54" s="210" customFormat="1">
      <c r="D44" s="293"/>
      <c r="E44" s="287"/>
      <c r="F44" s="287"/>
      <c r="G44" s="287"/>
      <c r="H44" s="287"/>
      <c r="I44" s="287"/>
      <c r="J44" s="289"/>
      <c r="K44" s="287"/>
      <c r="L44" s="287"/>
      <c r="M44" s="287"/>
      <c r="N44" s="287"/>
      <c r="O44" s="287"/>
      <c r="P44" s="289"/>
      <c r="Q44" s="287"/>
      <c r="R44" s="287"/>
      <c r="S44" s="289"/>
      <c r="T44" s="291" t="s">
        <v>35</v>
      </c>
      <c r="U44" s="292" t="s">
        <v>36</v>
      </c>
      <c r="V44" s="289" t="s">
        <v>36</v>
      </c>
      <c r="W44" s="291" t="s">
        <v>36</v>
      </c>
      <c r="X44" s="289" t="s">
        <v>36</v>
      </c>
      <c r="Y44" s="287"/>
      <c r="Z44" s="289"/>
      <c r="AA44" s="290"/>
      <c r="AB44" s="290"/>
      <c r="AC44" s="289"/>
      <c r="AD44" s="288"/>
      <c r="AE44" s="288"/>
      <c r="AF44" s="287"/>
      <c r="AG44" s="286"/>
      <c r="AH44" s="285"/>
      <c r="AI44" s="284"/>
      <c r="AJ44" s="282"/>
      <c r="AK44" s="286"/>
      <c r="AL44" s="285"/>
      <c r="AM44" s="284"/>
      <c r="AN44" s="298"/>
      <c r="AO44" s="282"/>
      <c r="AP44" s="282"/>
      <c r="AQ44" s="282"/>
      <c r="AR44" s="282"/>
      <c r="AS44" s="298"/>
      <c r="AT44" s="282"/>
      <c r="AU44" s="282"/>
      <c r="AV44" s="282"/>
      <c r="AW44" s="283"/>
      <c r="AX44" s="297"/>
      <c r="AY44" s="281"/>
      <c r="AZ44" s="281"/>
      <c r="BA44" s="281"/>
      <c r="BB44" s="296"/>
    </row>
    <row r="45" spans="3:54">
      <c r="C45" s="201" t="s">
        <v>99</v>
      </c>
      <c r="D45" s="252" t="s">
        <v>76</v>
      </c>
      <c r="E45" s="206">
        <v>15</v>
      </c>
      <c r="F45" s="206">
        <v>6</v>
      </c>
      <c r="G45" s="206">
        <v>2.4</v>
      </c>
      <c r="H45" s="206">
        <v>1</v>
      </c>
      <c r="I45" s="206" t="s">
        <v>28</v>
      </c>
      <c r="J45" s="276">
        <v>7</v>
      </c>
      <c r="K45" s="206">
        <v>12</v>
      </c>
      <c r="L45" s="206">
        <v>4.8</v>
      </c>
      <c r="M45" s="206">
        <v>1.9</v>
      </c>
      <c r="N45" s="206">
        <v>0.8</v>
      </c>
      <c r="O45" s="206" t="s">
        <v>28</v>
      </c>
      <c r="P45" s="276">
        <v>7</v>
      </c>
      <c r="Q45" s="206" t="s">
        <v>35</v>
      </c>
      <c r="R45" s="206" t="s">
        <v>98</v>
      </c>
      <c r="S45" s="276" t="s">
        <v>98</v>
      </c>
      <c r="T45" s="279" t="s">
        <v>36</v>
      </c>
      <c r="U45" s="280" t="s">
        <v>36</v>
      </c>
      <c r="V45" s="276" t="s">
        <v>36</v>
      </c>
      <c r="W45" s="279" t="s">
        <v>36</v>
      </c>
      <c r="X45" s="276" t="s">
        <v>36</v>
      </c>
      <c r="Y45" s="206">
        <v>7</v>
      </c>
      <c r="Z45" s="276">
        <v>0.35</v>
      </c>
      <c r="AA45" s="279" t="s">
        <v>35</v>
      </c>
      <c r="AB45" s="279" t="s">
        <v>35</v>
      </c>
      <c r="AC45" s="276">
        <v>400</v>
      </c>
      <c r="AD45" s="278">
        <v>0.55000000000000004</v>
      </c>
      <c r="AE45" s="278">
        <v>0.4</v>
      </c>
      <c r="AF45" s="206" t="s">
        <v>35</v>
      </c>
      <c r="AG45" s="205">
        <v>5</v>
      </c>
      <c r="AH45" s="204">
        <v>1.8</v>
      </c>
      <c r="AI45" s="203">
        <v>2.6</v>
      </c>
      <c r="AJ45" s="275">
        <v>5</v>
      </c>
      <c r="AK45" s="205">
        <v>5</v>
      </c>
      <c r="AL45" s="204">
        <v>1.8</v>
      </c>
      <c r="AM45" s="203">
        <v>2.6</v>
      </c>
      <c r="AN45" s="295">
        <v>1</v>
      </c>
      <c r="AR45" s="277"/>
      <c r="AW45" s="277"/>
      <c r="AX45" s="295"/>
      <c r="BB45" s="277"/>
    </row>
    <row r="46" spans="3:54">
      <c r="D46" s="252" t="s">
        <v>127</v>
      </c>
      <c r="J46" s="276"/>
      <c r="P46" s="276"/>
      <c r="S46" s="276"/>
      <c r="T46" s="279"/>
      <c r="U46" s="280"/>
      <c r="V46" s="276"/>
      <c r="W46" s="279"/>
      <c r="X46" s="276"/>
      <c r="Z46" s="276"/>
      <c r="AA46" s="279"/>
      <c r="AB46" s="279"/>
      <c r="AC46" s="276">
        <v>400</v>
      </c>
      <c r="AD46" s="278"/>
      <c r="AE46" s="278"/>
      <c r="AG46" s="205">
        <v>14</v>
      </c>
      <c r="AH46" s="204">
        <v>3.2</v>
      </c>
      <c r="AI46" s="203">
        <v>2.6</v>
      </c>
      <c r="AJ46" s="275">
        <v>5</v>
      </c>
      <c r="AK46" s="205">
        <v>14</v>
      </c>
      <c r="AL46" s="204">
        <v>3.2</v>
      </c>
      <c r="AM46" s="203">
        <v>2.6</v>
      </c>
      <c r="AR46" s="277"/>
    </row>
    <row r="47" spans="3:54">
      <c r="D47" s="252" t="s">
        <v>75</v>
      </c>
      <c r="E47" s="206">
        <v>15</v>
      </c>
      <c r="F47" s="206">
        <v>6</v>
      </c>
      <c r="G47" s="206">
        <v>2.4</v>
      </c>
      <c r="H47" s="206">
        <v>1</v>
      </c>
      <c r="I47" s="206" t="s">
        <v>28</v>
      </c>
      <c r="J47" s="276">
        <v>7</v>
      </c>
      <c r="K47" s="206">
        <v>12</v>
      </c>
      <c r="L47" s="206">
        <v>4.8</v>
      </c>
      <c r="M47" s="206">
        <v>1.9</v>
      </c>
      <c r="N47" s="206">
        <v>0.8</v>
      </c>
      <c r="O47" s="206" t="s">
        <v>28</v>
      </c>
      <c r="P47" s="276">
        <v>7</v>
      </c>
      <c r="Q47" s="206" t="s">
        <v>35</v>
      </c>
      <c r="R47" s="206" t="s">
        <v>98</v>
      </c>
      <c r="S47" s="276" t="s">
        <v>98</v>
      </c>
      <c r="T47" s="279" t="s">
        <v>35</v>
      </c>
      <c r="U47" s="280" t="s">
        <v>35</v>
      </c>
      <c r="V47" s="276" t="s">
        <v>35</v>
      </c>
      <c r="W47" s="279" t="s">
        <v>35</v>
      </c>
      <c r="X47" s="276" t="s">
        <v>35</v>
      </c>
      <c r="Y47" s="206">
        <v>7</v>
      </c>
      <c r="Z47" s="276">
        <v>0.35</v>
      </c>
      <c r="AA47" s="279" t="s">
        <v>35</v>
      </c>
      <c r="AB47" s="279" t="s">
        <v>35</v>
      </c>
      <c r="AC47" s="276">
        <v>400</v>
      </c>
      <c r="AD47" s="278">
        <v>0.55000000000000004</v>
      </c>
      <c r="AE47" s="278">
        <v>0.4</v>
      </c>
      <c r="AF47" s="206" t="s">
        <v>35</v>
      </c>
      <c r="AG47" s="205">
        <v>4</v>
      </c>
      <c r="AH47" s="204">
        <v>1.5</v>
      </c>
      <c r="AI47" s="203">
        <v>2.1</v>
      </c>
      <c r="AJ47" s="275">
        <v>4</v>
      </c>
      <c r="AK47" s="205">
        <v>4</v>
      </c>
      <c r="AL47" s="204">
        <v>1.5</v>
      </c>
      <c r="AM47" s="203">
        <v>2.1</v>
      </c>
      <c r="AR47" s="277"/>
    </row>
    <row r="48" spans="3:54">
      <c r="D48" s="252" t="s">
        <v>128</v>
      </c>
      <c r="J48" s="276"/>
      <c r="P48" s="276"/>
      <c r="S48" s="276"/>
      <c r="T48" s="279"/>
      <c r="U48" s="280"/>
      <c r="V48" s="276"/>
      <c r="W48" s="279"/>
      <c r="X48" s="276"/>
      <c r="Z48" s="276"/>
      <c r="AA48" s="279"/>
      <c r="AB48" s="279"/>
      <c r="AC48" s="276">
        <v>400</v>
      </c>
      <c r="AD48" s="278"/>
      <c r="AE48" s="278"/>
      <c r="AG48" s="205">
        <v>14</v>
      </c>
      <c r="AH48" s="204">
        <v>3.2</v>
      </c>
      <c r="AI48" s="203">
        <v>2.6</v>
      </c>
      <c r="AJ48" s="275">
        <v>4</v>
      </c>
      <c r="AK48" s="205">
        <v>14</v>
      </c>
      <c r="AL48" s="204">
        <v>3.2</v>
      </c>
      <c r="AM48" s="203">
        <v>2.6</v>
      </c>
      <c r="AR48" s="277"/>
    </row>
    <row r="49" spans="3:54" s="210" customFormat="1">
      <c r="D49" s="293"/>
      <c r="E49" s="287"/>
      <c r="F49" s="287"/>
      <c r="G49" s="287"/>
      <c r="H49" s="287"/>
      <c r="I49" s="287"/>
      <c r="J49" s="289"/>
      <c r="K49" s="287"/>
      <c r="L49" s="287"/>
      <c r="M49" s="287"/>
      <c r="N49" s="287"/>
      <c r="O49" s="287"/>
      <c r="P49" s="289"/>
      <c r="Q49" s="287"/>
      <c r="R49" s="287"/>
      <c r="S49" s="289"/>
      <c r="T49" s="291"/>
      <c r="U49" s="292" t="s">
        <v>36</v>
      </c>
      <c r="V49" s="289" t="s">
        <v>36</v>
      </c>
      <c r="W49" s="291" t="s">
        <v>36</v>
      </c>
      <c r="X49" s="289" t="s">
        <v>36</v>
      </c>
      <c r="Y49" s="287"/>
      <c r="Z49" s="289"/>
      <c r="AA49" s="290"/>
      <c r="AB49" s="290"/>
      <c r="AC49" s="289"/>
      <c r="AD49" s="288"/>
      <c r="AE49" s="288"/>
      <c r="AF49" s="287"/>
      <c r="AG49" s="286"/>
      <c r="AH49" s="285"/>
      <c r="AI49" s="284"/>
      <c r="AJ49" s="282"/>
      <c r="AK49" s="286"/>
      <c r="AL49" s="285"/>
      <c r="AM49" s="284"/>
      <c r="AN49" s="282"/>
      <c r="AO49" s="282"/>
      <c r="AP49" s="282"/>
      <c r="AQ49" s="282"/>
      <c r="AR49" s="283"/>
      <c r="AS49" s="282"/>
      <c r="AT49" s="282"/>
      <c r="AU49" s="282"/>
      <c r="AV49" s="282"/>
      <c r="AW49" s="282"/>
      <c r="AX49" s="281"/>
      <c r="AY49" s="281"/>
      <c r="AZ49" s="281"/>
      <c r="BA49" s="281"/>
      <c r="BB49" s="281"/>
    </row>
    <row r="50" spans="3:54">
      <c r="C50" s="201" t="s">
        <v>100</v>
      </c>
      <c r="D50" s="252" t="s">
        <v>27</v>
      </c>
      <c r="E50" s="206">
        <v>15</v>
      </c>
      <c r="F50" s="206">
        <v>6</v>
      </c>
      <c r="G50" s="206">
        <v>2.4</v>
      </c>
      <c r="H50" s="206" t="s">
        <v>28</v>
      </c>
      <c r="I50" s="206" t="s">
        <v>28</v>
      </c>
      <c r="J50" s="276">
        <v>7</v>
      </c>
      <c r="K50" s="206">
        <v>12</v>
      </c>
      <c r="L50" s="206">
        <v>4.8</v>
      </c>
      <c r="M50" s="206">
        <v>1.9</v>
      </c>
      <c r="N50" s="206" t="s">
        <v>28</v>
      </c>
      <c r="O50" s="206" t="s">
        <v>28</v>
      </c>
      <c r="P50" s="276">
        <v>7</v>
      </c>
      <c r="Q50" s="206" t="s">
        <v>35</v>
      </c>
      <c r="R50" s="206" t="s">
        <v>98</v>
      </c>
      <c r="S50" s="276" t="s">
        <v>98</v>
      </c>
      <c r="T50" s="279" t="s">
        <v>35</v>
      </c>
      <c r="U50" s="280" t="s">
        <v>36</v>
      </c>
      <c r="V50" s="276" t="s">
        <v>36</v>
      </c>
      <c r="W50" s="279" t="s">
        <v>36</v>
      </c>
      <c r="X50" s="276" t="s">
        <v>36</v>
      </c>
      <c r="Y50" s="206">
        <v>5</v>
      </c>
      <c r="Z50" s="276">
        <v>0.5</v>
      </c>
      <c r="AA50" s="279" t="s">
        <v>35</v>
      </c>
      <c r="AB50" s="279" t="s">
        <v>35</v>
      </c>
      <c r="AC50" s="276">
        <v>400</v>
      </c>
      <c r="AD50" s="278">
        <v>0.55000000000000004</v>
      </c>
      <c r="AE50" s="278">
        <v>0.01</v>
      </c>
      <c r="AF50" s="206" t="s">
        <v>35</v>
      </c>
      <c r="AG50" s="205">
        <v>8</v>
      </c>
      <c r="AH50" s="204">
        <v>1.8</v>
      </c>
      <c r="AI50" s="203">
        <v>2.6</v>
      </c>
      <c r="AJ50" s="275">
        <v>8</v>
      </c>
      <c r="AK50" s="205">
        <v>8</v>
      </c>
      <c r="AL50" s="204">
        <v>1.8</v>
      </c>
      <c r="AM50" s="203">
        <v>2.6</v>
      </c>
      <c r="AN50" s="275"/>
      <c r="AO50" s="275"/>
      <c r="AP50" s="275"/>
      <c r="AQ50" s="275"/>
      <c r="AR50" s="294"/>
      <c r="AS50" s="275"/>
      <c r="AT50" s="275"/>
      <c r="AU50" s="275"/>
      <c r="AV50" s="275"/>
      <c r="AW50" s="275"/>
    </row>
    <row r="51" spans="3:54">
      <c r="D51" s="252" t="s">
        <v>46</v>
      </c>
      <c r="E51" s="206">
        <v>8.8000000000000007</v>
      </c>
      <c r="F51" s="206">
        <v>3.5</v>
      </c>
      <c r="G51" s="206">
        <v>1.4</v>
      </c>
      <c r="H51" s="206" t="s">
        <v>28</v>
      </c>
      <c r="I51" s="206" t="s">
        <v>28</v>
      </c>
      <c r="J51" s="276">
        <v>7</v>
      </c>
      <c r="K51" s="206">
        <v>7</v>
      </c>
      <c r="L51" s="206">
        <v>2.8</v>
      </c>
      <c r="M51" s="206">
        <v>1.1000000000000001</v>
      </c>
      <c r="N51" s="206" t="s">
        <v>28</v>
      </c>
      <c r="O51" s="206" t="s">
        <v>28</v>
      </c>
      <c r="P51" s="276">
        <v>7</v>
      </c>
      <c r="Q51" s="206" t="s">
        <v>35</v>
      </c>
      <c r="R51" s="206" t="s">
        <v>98</v>
      </c>
      <c r="S51" s="276" t="s">
        <v>98</v>
      </c>
      <c r="T51" s="279" t="s">
        <v>35</v>
      </c>
      <c r="U51" s="280" t="s">
        <v>36</v>
      </c>
      <c r="V51" s="276" t="s">
        <v>36</v>
      </c>
      <c r="W51" s="279" t="s">
        <v>36</v>
      </c>
      <c r="X51" s="276" t="s">
        <v>36</v>
      </c>
      <c r="Y51" s="206">
        <v>5</v>
      </c>
      <c r="Z51" s="276">
        <v>0.5</v>
      </c>
      <c r="AA51" s="279" t="s">
        <v>35</v>
      </c>
      <c r="AB51" s="279" t="s">
        <v>35</v>
      </c>
      <c r="AC51" s="276">
        <v>400</v>
      </c>
      <c r="AD51" s="278">
        <v>0.55000000000000004</v>
      </c>
      <c r="AE51" s="278">
        <v>0.01</v>
      </c>
      <c r="AF51" s="206" t="s">
        <v>35</v>
      </c>
      <c r="AG51" s="205">
        <v>8</v>
      </c>
      <c r="AH51" s="204">
        <v>1.8</v>
      </c>
      <c r="AI51" s="203">
        <v>2.6</v>
      </c>
      <c r="AJ51" s="275">
        <v>8</v>
      </c>
      <c r="AK51" s="205">
        <v>8</v>
      </c>
      <c r="AL51" s="204">
        <v>1.8</v>
      </c>
      <c r="AM51" s="203">
        <v>2.6</v>
      </c>
      <c r="AN51" s="275"/>
      <c r="AO51" s="275"/>
      <c r="AP51" s="275"/>
      <c r="AQ51" s="275"/>
      <c r="AR51" s="294"/>
      <c r="AS51" s="275"/>
      <c r="AT51" s="275"/>
      <c r="AU51" s="275"/>
      <c r="AV51" s="275"/>
      <c r="AW51" s="275"/>
    </row>
    <row r="52" spans="3:54" s="210" customFormat="1">
      <c r="D52" s="293"/>
      <c r="E52" s="287"/>
      <c r="F52" s="287"/>
      <c r="G52" s="287"/>
      <c r="H52" s="287"/>
      <c r="I52" s="287"/>
      <c r="J52" s="289"/>
      <c r="K52" s="287"/>
      <c r="L52" s="287"/>
      <c r="M52" s="287"/>
      <c r="N52" s="287"/>
      <c r="O52" s="287"/>
      <c r="P52" s="289"/>
      <c r="Q52" s="287"/>
      <c r="R52" s="287"/>
      <c r="S52" s="289"/>
      <c r="T52" s="291"/>
      <c r="U52" s="292"/>
      <c r="V52" s="289"/>
      <c r="W52" s="291"/>
      <c r="X52" s="289"/>
      <c r="Y52" s="287"/>
      <c r="Z52" s="289"/>
      <c r="AA52" s="290"/>
      <c r="AB52" s="290"/>
      <c r="AC52" s="289"/>
      <c r="AD52" s="288"/>
      <c r="AE52" s="288"/>
      <c r="AF52" s="287"/>
      <c r="AG52" s="286"/>
      <c r="AH52" s="285"/>
      <c r="AI52" s="284"/>
      <c r="AJ52" s="282"/>
      <c r="AK52" s="286"/>
      <c r="AL52" s="285"/>
      <c r="AM52" s="284"/>
      <c r="AN52" s="282"/>
      <c r="AO52" s="282"/>
      <c r="AP52" s="282"/>
      <c r="AQ52" s="282"/>
      <c r="AR52" s="283"/>
      <c r="AS52" s="282"/>
      <c r="AT52" s="282"/>
      <c r="AU52" s="282"/>
      <c r="AV52" s="282"/>
      <c r="AW52" s="282"/>
      <c r="AX52" s="281"/>
      <c r="AY52" s="281"/>
      <c r="AZ52" s="281"/>
      <c r="BA52" s="281"/>
      <c r="BB52" s="281"/>
    </row>
    <row r="53" spans="3:54">
      <c r="C53" s="201" t="s">
        <v>101</v>
      </c>
      <c r="D53" s="252" t="s">
        <v>93</v>
      </c>
      <c r="E53" s="206">
        <v>8</v>
      </c>
      <c r="F53" s="206">
        <v>3.2</v>
      </c>
      <c r="G53" s="206">
        <v>1.3</v>
      </c>
      <c r="H53" s="206">
        <v>0.5</v>
      </c>
      <c r="I53" s="206">
        <v>0.5</v>
      </c>
      <c r="J53" s="276">
        <v>7</v>
      </c>
      <c r="K53" s="206">
        <v>6.4</v>
      </c>
      <c r="L53" s="206">
        <v>2.5</v>
      </c>
      <c r="M53" s="206">
        <v>1</v>
      </c>
      <c r="N53" s="206">
        <v>0.4</v>
      </c>
      <c r="O53" s="206">
        <v>0.4</v>
      </c>
      <c r="P53" s="276">
        <v>7</v>
      </c>
      <c r="Q53" s="206" t="s">
        <v>35</v>
      </c>
      <c r="R53" s="206" t="s">
        <v>98</v>
      </c>
      <c r="S53" s="276" t="s">
        <v>98</v>
      </c>
      <c r="T53" s="279" t="s">
        <v>35</v>
      </c>
      <c r="U53" s="280" t="s">
        <v>36</v>
      </c>
      <c r="V53" s="276" t="s">
        <v>36</v>
      </c>
      <c r="W53" s="279" t="s">
        <v>36</v>
      </c>
      <c r="X53" s="276" t="s">
        <v>36</v>
      </c>
      <c r="Y53" s="206" t="s">
        <v>35</v>
      </c>
      <c r="Z53" s="206" t="s">
        <v>35</v>
      </c>
      <c r="AA53" s="279" t="s">
        <v>35</v>
      </c>
      <c r="AB53" s="279" t="s">
        <v>35</v>
      </c>
      <c r="AC53" s="276">
        <v>400</v>
      </c>
      <c r="AD53" s="278">
        <v>0.55000000000000004</v>
      </c>
      <c r="AE53" s="278">
        <v>0.4</v>
      </c>
      <c r="AF53" s="206" t="s">
        <v>35</v>
      </c>
      <c r="AG53" s="205">
        <v>10</v>
      </c>
      <c r="AH53" s="204">
        <v>1.8</v>
      </c>
      <c r="AI53" s="203">
        <v>2.6</v>
      </c>
      <c r="AJ53" s="205">
        <v>10</v>
      </c>
      <c r="AK53" s="205">
        <v>10</v>
      </c>
      <c r="AL53" s="204">
        <v>1.8</v>
      </c>
      <c r="AM53" s="203">
        <v>2.6</v>
      </c>
      <c r="AN53" s="275"/>
      <c r="AO53" s="275"/>
      <c r="AP53" s="275"/>
      <c r="AQ53" s="275"/>
      <c r="AR53" s="294"/>
      <c r="AS53" s="275"/>
      <c r="AT53" s="275"/>
      <c r="AU53" s="275"/>
      <c r="AV53" s="275"/>
      <c r="AW53" s="275"/>
    </row>
    <row r="54" spans="3:54">
      <c r="D54" s="252" t="s">
        <v>117</v>
      </c>
      <c r="J54" s="276"/>
      <c r="P54" s="276"/>
      <c r="S54" s="276"/>
      <c r="T54" s="279"/>
      <c r="U54" s="280"/>
      <c r="V54" s="276"/>
      <c r="W54" s="279"/>
      <c r="X54" s="276"/>
      <c r="AA54" s="279"/>
      <c r="AB54" s="279"/>
      <c r="AC54" s="276">
        <v>400</v>
      </c>
      <c r="AD54" s="278">
        <v>0.55000000000000004</v>
      </c>
      <c r="AE54" s="278">
        <v>0.4</v>
      </c>
      <c r="AF54" s="206" t="s">
        <v>35</v>
      </c>
      <c r="AG54" s="205">
        <v>252</v>
      </c>
      <c r="AH54" s="215">
        <v>1.8</v>
      </c>
      <c r="AI54" s="203">
        <v>5</v>
      </c>
      <c r="AJ54" s="205">
        <v>10</v>
      </c>
      <c r="AK54" s="205">
        <v>252</v>
      </c>
      <c r="AL54" s="215">
        <v>1.8</v>
      </c>
      <c r="AM54" s="203">
        <v>5</v>
      </c>
      <c r="AN54" s="275"/>
      <c r="AO54" s="275"/>
      <c r="AP54" s="275"/>
      <c r="AQ54" s="275"/>
      <c r="AR54" s="294"/>
      <c r="AS54" s="275"/>
      <c r="AT54" s="275"/>
      <c r="AU54" s="275"/>
      <c r="AV54" s="275"/>
      <c r="AW54" s="275"/>
    </row>
    <row r="55" spans="3:54">
      <c r="D55" s="252" t="s">
        <v>27</v>
      </c>
      <c r="E55" s="206">
        <v>15</v>
      </c>
      <c r="F55" s="206">
        <v>6</v>
      </c>
      <c r="G55" s="206">
        <v>2.4</v>
      </c>
      <c r="H55" s="206">
        <v>1</v>
      </c>
      <c r="I55" s="206">
        <v>1</v>
      </c>
      <c r="J55" s="276">
        <v>7</v>
      </c>
      <c r="K55" s="206">
        <v>12</v>
      </c>
      <c r="L55" s="206">
        <v>4.8</v>
      </c>
      <c r="M55" s="206">
        <v>1.9</v>
      </c>
      <c r="N55" s="206">
        <v>1</v>
      </c>
      <c r="O55" s="206">
        <v>1</v>
      </c>
      <c r="P55" s="276">
        <v>7</v>
      </c>
      <c r="Q55" s="206" t="s">
        <v>35</v>
      </c>
      <c r="R55" s="206" t="s">
        <v>98</v>
      </c>
      <c r="S55" s="276" t="s">
        <v>98</v>
      </c>
      <c r="T55" s="279" t="s">
        <v>35</v>
      </c>
      <c r="U55" s="280" t="s">
        <v>36</v>
      </c>
      <c r="V55" s="276" t="s">
        <v>36</v>
      </c>
      <c r="W55" s="279" t="s">
        <v>36</v>
      </c>
      <c r="X55" s="276" t="s">
        <v>36</v>
      </c>
      <c r="Y55" s="206" t="s">
        <v>35</v>
      </c>
      <c r="Z55" s="206" t="s">
        <v>35</v>
      </c>
      <c r="AA55" s="279" t="s">
        <v>35</v>
      </c>
      <c r="AB55" s="279" t="s">
        <v>35</v>
      </c>
      <c r="AC55" s="276">
        <v>400</v>
      </c>
      <c r="AD55" s="278">
        <v>0.55000000000000004</v>
      </c>
      <c r="AE55" s="278">
        <v>0.4</v>
      </c>
      <c r="AF55" s="206" t="s">
        <v>35</v>
      </c>
      <c r="AG55" s="205">
        <v>10</v>
      </c>
      <c r="AH55" s="204">
        <v>1.8</v>
      </c>
      <c r="AI55" s="203">
        <v>2.6</v>
      </c>
      <c r="AJ55" s="205">
        <v>10</v>
      </c>
      <c r="AK55" s="205">
        <v>10</v>
      </c>
      <c r="AL55" s="204">
        <v>1.8</v>
      </c>
      <c r="AM55" s="203">
        <v>2.6</v>
      </c>
      <c r="AN55" s="275"/>
      <c r="AO55" s="275"/>
      <c r="AP55" s="275"/>
      <c r="AQ55" s="275"/>
      <c r="AR55" s="294"/>
      <c r="AS55" s="275"/>
      <c r="AT55" s="275"/>
      <c r="AU55" s="275"/>
      <c r="AV55" s="275"/>
      <c r="AW55" s="275"/>
    </row>
    <row r="56" spans="3:54">
      <c r="D56" s="252" t="s">
        <v>46</v>
      </c>
      <c r="E56" s="206">
        <v>4.8</v>
      </c>
      <c r="F56" s="206">
        <v>1.9</v>
      </c>
      <c r="G56" s="206">
        <v>0.8</v>
      </c>
      <c r="H56" s="206">
        <v>0.5</v>
      </c>
      <c r="I56" s="206">
        <v>0.5</v>
      </c>
      <c r="J56" s="276">
        <v>7</v>
      </c>
      <c r="K56" s="206">
        <v>3.8</v>
      </c>
      <c r="L56" s="206">
        <v>1.5</v>
      </c>
      <c r="M56" s="206">
        <v>0.6</v>
      </c>
      <c r="N56" s="206">
        <v>0.4</v>
      </c>
      <c r="O56" s="206">
        <v>0.4</v>
      </c>
      <c r="P56" s="276">
        <v>7</v>
      </c>
      <c r="Q56" s="206" t="s">
        <v>35</v>
      </c>
      <c r="R56" s="206" t="s">
        <v>98</v>
      </c>
      <c r="S56" s="276" t="s">
        <v>98</v>
      </c>
      <c r="T56" s="279" t="s">
        <v>35</v>
      </c>
      <c r="U56" s="280" t="s">
        <v>36</v>
      </c>
      <c r="V56" s="276" t="s">
        <v>36</v>
      </c>
      <c r="W56" s="279" t="s">
        <v>36</v>
      </c>
      <c r="X56" s="276" t="s">
        <v>36</v>
      </c>
      <c r="Y56" s="206" t="s">
        <v>35</v>
      </c>
      <c r="Z56" s="206" t="s">
        <v>35</v>
      </c>
      <c r="AA56" s="279" t="s">
        <v>35</v>
      </c>
      <c r="AB56" s="279" t="s">
        <v>35</v>
      </c>
      <c r="AC56" s="276">
        <v>400</v>
      </c>
      <c r="AD56" s="278">
        <v>0.55000000000000004</v>
      </c>
      <c r="AE56" s="278">
        <v>0.4</v>
      </c>
      <c r="AF56" s="206" t="s">
        <v>35</v>
      </c>
      <c r="AG56" s="205">
        <v>10</v>
      </c>
      <c r="AH56" s="204">
        <v>1.8</v>
      </c>
      <c r="AI56" s="203">
        <v>2.6</v>
      </c>
      <c r="AJ56" s="205">
        <v>10</v>
      </c>
      <c r="AK56" s="205">
        <v>10</v>
      </c>
      <c r="AL56" s="204">
        <v>1.8</v>
      </c>
      <c r="AM56" s="203">
        <v>2.6</v>
      </c>
      <c r="AN56" s="275"/>
      <c r="AO56" s="275"/>
      <c r="AP56" s="275"/>
      <c r="AQ56" s="275"/>
      <c r="AR56" s="294"/>
      <c r="AS56" s="275"/>
      <c r="AT56" s="275"/>
      <c r="AU56" s="275"/>
      <c r="AV56" s="275"/>
      <c r="AW56" s="275"/>
    </row>
    <row r="57" spans="3:54" s="210" customFormat="1">
      <c r="D57" s="293"/>
      <c r="E57" s="287"/>
      <c r="F57" s="287"/>
      <c r="G57" s="287"/>
      <c r="H57" s="287"/>
      <c r="I57" s="287"/>
      <c r="J57" s="289"/>
      <c r="K57" s="287"/>
      <c r="L57" s="287"/>
      <c r="M57" s="287"/>
      <c r="N57" s="287"/>
      <c r="O57" s="287"/>
      <c r="P57" s="289"/>
      <c r="Q57" s="287"/>
      <c r="R57" s="287"/>
      <c r="S57" s="289"/>
      <c r="T57" s="291"/>
      <c r="U57" s="292"/>
      <c r="V57" s="289"/>
      <c r="W57" s="291"/>
      <c r="X57" s="289"/>
      <c r="Y57" s="287"/>
      <c r="Z57" s="289"/>
      <c r="AA57" s="290"/>
      <c r="AB57" s="290"/>
      <c r="AC57" s="289"/>
      <c r="AD57" s="288"/>
      <c r="AE57" s="288"/>
      <c r="AF57" s="287"/>
      <c r="AG57" s="286"/>
      <c r="AH57" s="285"/>
      <c r="AI57" s="284"/>
      <c r="AJ57" s="282"/>
      <c r="AK57" s="286"/>
      <c r="AL57" s="285"/>
      <c r="AM57" s="284"/>
      <c r="AN57" s="282"/>
      <c r="AO57" s="282"/>
      <c r="AP57" s="282"/>
      <c r="AQ57" s="282"/>
      <c r="AR57" s="283"/>
      <c r="AS57" s="282"/>
      <c r="AT57" s="282"/>
      <c r="AU57" s="282"/>
      <c r="AV57" s="282"/>
      <c r="AW57" s="282"/>
      <c r="AX57" s="281"/>
      <c r="AY57" s="281"/>
      <c r="AZ57" s="281"/>
      <c r="BA57" s="281"/>
      <c r="BB57" s="281"/>
    </row>
    <row r="58" spans="3:54">
      <c r="C58" s="201" t="s">
        <v>102</v>
      </c>
      <c r="D58" s="252" t="s">
        <v>94</v>
      </c>
      <c r="E58" s="206">
        <v>4.8</v>
      </c>
      <c r="F58" s="206">
        <v>1.9</v>
      </c>
      <c r="G58" s="206">
        <v>0.8</v>
      </c>
      <c r="H58" s="206">
        <v>0.5</v>
      </c>
      <c r="I58" s="206">
        <v>0.5</v>
      </c>
      <c r="J58" s="276">
        <v>7</v>
      </c>
      <c r="K58" s="206">
        <v>3.8</v>
      </c>
      <c r="L58" s="206">
        <v>1.5</v>
      </c>
      <c r="M58" s="206">
        <v>0.6</v>
      </c>
      <c r="N58" s="206">
        <v>0.4</v>
      </c>
      <c r="O58" s="206">
        <v>0.4</v>
      </c>
      <c r="P58" s="276">
        <v>7</v>
      </c>
      <c r="Q58" s="206" t="s">
        <v>35</v>
      </c>
      <c r="R58" s="206" t="s">
        <v>98</v>
      </c>
      <c r="S58" s="276" t="s">
        <v>98</v>
      </c>
      <c r="T58" s="279" t="s">
        <v>35</v>
      </c>
      <c r="U58" s="280" t="s">
        <v>36</v>
      </c>
      <c r="V58" s="276" t="s">
        <v>36</v>
      </c>
      <c r="W58" s="279" t="s">
        <v>36</v>
      </c>
      <c r="X58" s="276" t="s">
        <v>36</v>
      </c>
      <c r="Y58" s="206" t="s">
        <v>35</v>
      </c>
      <c r="Z58" s="206" t="s">
        <v>35</v>
      </c>
      <c r="AA58" s="279" t="s">
        <v>35</v>
      </c>
      <c r="AB58" s="279" t="s">
        <v>35</v>
      </c>
      <c r="AC58" s="276">
        <v>400</v>
      </c>
      <c r="AD58" s="278">
        <v>0.55000000000000004</v>
      </c>
      <c r="AE58" s="278">
        <v>0.4</v>
      </c>
      <c r="AF58" s="206" t="s">
        <v>35</v>
      </c>
      <c r="AG58" s="205">
        <v>10</v>
      </c>
      <c r="AH58" s="204">
        <v>1.8</v>
      </c>
      <c r="AI58" s="203">
        <v>2.6</v>
      </c>
      <c r="AJ58" s="275">
        <v>10</v>
      </c>
      <c r="AK58" s="205">
        <v>10</v>
      </c>
      <c r="AL58" s="204">
        <v>1.8</v>
      </c>
      <c r="AM58" s="203">
        <v>2.6</v>
      </c>
      <c r="AN58" s="275"/>
      <c r="AO58" s="275"/>
      <c r="AP58" s="275"/>
      <c r="AQ58" s="275"/>
      <c r="AR58" s="294"/>
      <c r="AS58" s="275"/>
      <c r="AT58" s="275"/>
      <c r="AU58" s="275"/>
      <c r="AV58" s="275"/>
      <c r="AW58" s="275"/>
    </row>
    <row r="59" spans="3:54">
      <c r="D59" s="252" t="s">
        <v>27</v>
      </c>
      <c r="E59" s="206">
        <v>15</v>
      </c>
      <c r="F59" s="206">
        <v>6</v>
      </c>
      <c r="G59" s="206">
        <v>2.4</v>
      </c>
      <c r="H59" s="206">
        <v>1</v>
      </c>
      <c r="I59" s="206">
        <v>1</v>
      </c>
      <c r="J59" s="276">
        <v>7</v>
      </c>
      <c r="K59" s="206">
        <v>12</v>
      </c>
      <c r="L59" s="206">
        <v>4.8</v>
      </c>
      <c r="M59" s="206">
        <v>1.9</v>
      </c>
      <c r="N59" s="206">
        <v>1</v>
      </c>
      <c r="O59" s="206">
        <v>1</v>
      </c>
      <c r="P59" s="276">
        <v>7</v>
      </c>
      <c r="Q59" s="206" t="s">
        <v>35</v>
      </c>
      <c r="R59" s="206" t="s">
        <v>98</v>
      </c>
      <c r="S59" s="276" t="s">
        <v>98</v>
      </c>
      <c r="T59" s="279" t="s">
        <v>35</v>
      </c>
      <c r="U59" s="280" t="s">
        <v>36</v>
      </c>
      <c r="V59" s="276" t="s">
        <v>36</v>
      </c>
      <c r="W59" s="279" t="s">
        <v>36</v>
      </c>
      <c r="X59" s="276" t="s">
        <v>36</v>
      </c>
      <c r="Y59" s="206" t="s">
        <v>35</v>
      </c>
      <c r="Z59" s="206" t="s">
        <v>35</v>
      </c>
      <c r="AA59" s="279" t="s">
        <v>35</v>
      </c>
      <c r="AB59" s="279" t="s">
        <v>35</v>
      </c>
      <c r="AC59" s="276">
        <v>400</v>
      </c>
      <c r="AD59" s="278">
        <v>0.55000000000000004</v>
      </c>
      <c r="AE59" s="278">
        <v>0.4</v>
      </c>
      <c r="AF59" s="206" t="s">
        <v>35</v>
      </c>
      <c r="AG59" s="205">
        <v>10</v>
      </c>
      <c r="AH59" s="204">
        <v>1.8</v>
      </c>
      <c r="AI59" s="203">
        <v>2.6</v>
      </c>
      <c r="AJ59" s="275">
        <v>10</v>
      </c>
      <c r="AK59" s="205">
        <v>10</v>
      </c>
      <c r="AL59" s="204">
        <v>1.8</v>
      </c>
      <c r="AM59" s="203">
        <v>2.6</v>
      </c>
      <c r="AN59" s="275"/>
      <c r="AO59" s="275"/>
      <c r="AP59" s="275"/>
      <c r="AQ59" s="275"/>
      <c r="AR59" s="294"/>
      <c r="AS59" s="275"/>
      <c r="AT59" s="275"/>
      <c r="AU59" s="275"/>
      <c r="AV59" s="275"/>
      <c r="AW59" s="275"/>
    </row>
    <row r="60" spans="3:54">
      <c r="D60" s="252" t="s">
        <v>118</v>
      </c>
      <c r="J60" s="276"/>
      <c r="P60" s="276"/>
      <c r="S60" s="276"/>
      <c r="T60" s="279"/>
      <c r="U60" s="280"/>
      <c r="V60" s="276"/>
      <c r="W60" s="279"/>
      <c r="X60" s="276"/>
      <c r="AA60" s="279"/>
      <c r="AB60" s="279"/>
      <c r="AC60" s="276">
        <v>400</v>
      </c>
      <c r="AD60" s="278">
        <v>0.55000000000000004</v>
      </c>
      <c r="AE60" s="278">
        <v>0.4</v>
      </c>
      <c r="AF60" s="206" t="s">
        <v>35</v>
      </c>
      <c r="AG60" s="205">
        <v>15</v>
      </c>
      <c r="AH60" s="204">
        <v>1.8</v>
      </c>
      <c r="AI60" s="203">
        <v>2.6</v>
      </c>
      <c r="AJ60" s="275">
        <v>15</v>
      </c>
      <c r="AK60" s="205">
        <v>15</v>
      </c>
      <c r="AL60" s="204">
        <v>1.8</v>
      </c>
      <c r="AM60" s="203">
        <v>2.6</v>
      </c>
      <c r="AN60" s="275"/>
      <c r="AO60" s="275"/>
      <c r="AP60" s="275"/>
      <c r="AQ60" s="275"/>
      <c r="AR60" s="294"/>
      <c r="AS60" s="275"/>
      <c r="AT60" s="275"/>
      <c r="AU60" s="275"/>
      <c r="AV60" s="275"/>
      <c r="AW60" s="275"/>
    </row>
    <row r="61" spans="3:54">
      <c r="D61" s="252" t="s">
        <v>46</v>
      </c>
      <c r="E61" s="206">
        <v>8</v>
      </c>
      <c r="F61" s="206">
        <v>3.2</v>
      </c>
      <c r="G61" s="206">
        <v>1.3</v>
      </c>
      <c r="H61" s="206">
        <v>0.5</v>
      </c>
      <c r="I61" s="206">
        <v>0.5</v>
      </c>
      <c r="J61" s="276">
        <v>7</v>
      </c>
      <c r="K61" s="206">
        <v>6.4</v>
      </c>
      <c r="L61" s="206">
        <v>2.5</v>
      </c>
      <c r="M61" s="206">
        <v>1</v>
      </c>
      <c r="N61" s="206">
        <v>0.4</v>
      </c>
      <c r="O61" s="206">
        <v>0.4</v>
      </c>
      <c r="P61" s="276">
        <v>7</v>
      </c>
      <c r="Q61" s="206" t="s">
        <v>35</v>
      </c>
      <c r="R61" s="206" t="s">
        <v>98</v>
      </c>
      <c r="S61" s="276" t="s">
        <v>98</v>
      </c>
      <c r="T61" s="279" t="s">
        <v>35</v>
      </c>
      <c r="U61" s="280" t="s">
        <v>36</v>
      </c>
      <c r="V61" s="276" t="s">
        <v>36</v>
      </c>
      <c r="W61" s="279" t="s">
        <v>36</v>
      </c>
      <c r="X61" s="276" t="s">
        <v>36</v>
      </c>
      <c r="Y61" s="206" t="s">
        <v>35</v>
      </c>
      <c r="Z61" s="206" t="s">
        <v>35</v>
      </c>
      <c r="AA61" s="279" t="s">
        <v>35</v>
      </c>
      <c r="AB61" s="279" t="s">
        <v>35</v>
      </c>
      <c r="AC61" s="276">
        <v>400</v>
      </c>
      <c r="AD61" s="278">
        <v>0.55000000000000004</v>
      </c>
      <c r="AE61" s="278">
        <v>0.4</v>
      </c>
      <c r="AF61" s="206" t="s">
        <v>35</v>
      </c>
      <c r="AG61" s="205">
        <v>10</v>
      </c>
      <c r="AH61" s="204">
        <v>1.8</v>
      </c>
      <c r="AI61" s="203">
        <v>2.6</v>
      </c>
      <c r="AJ61" s="275">
        <v>10</v>
      </c>
      <c r="AK61" s="205">
        <v>10</v>
      </c>
      <c r="AL61" s="204">
        <v>1.8</v>
      </c>
      <c r="AM61" s="203">
        <v>2.6</v>
      </c>
      <c r="AN61" s="275"/>
      <c r="AO61" s="275"/>
      <c r="AP61" s="275"/>
      <c r="AQ61" s="275"/>
      <c r="AR61" s="294"/>
      <c r="AS61" s="275"/>
      <c r="AT61" s="275"/>
      <c r="AU61" s="275"/>
      <c r="AV61" s="275"/>
      <c r="AW61" s="275"/>
    </row>
    <row r="62" spans="3:54" s="210" customFormat="1">
      <c r="D62" s="293"/>
      <c r="E62" s="287"/>
      <c r="F62" s="287"/>
      <c r="G62" s="287"/>
      <c r="H62" s="287"/>
      <c r="I62" s="287"/>
      <c r="J62" s="289"/>
      <c r="K62" s="287"/>
      <c r="L62" s="287"/>
      <c r="M62" s="287"/>
      <c r="N62" s="287"/>
      <c r="O62" s="287"/>
      <c r="P62" s="289"/>
      <c r="Q62" s="287"/>
      <c r="R62" s="287"/>
      <c r="S62" s="289"/>
      <c r="T62" s="291"/>
      <c r="U62" s="292"/>
      <c r="V62" s="289"/>
      <c r="W62" s="291"/>
      <c r="X62" s="289"/>
      <c r="Y62" s="287"/>
      <c r="Z62" s="289"/>
      <c r="AA62" s="290"/>
      <c r="AB62" s="290"/>
      <c r="AC62" s="289"/>
      <c r="AD62" s="288"/>
      <c r="AE62" s="288"/>
      <c r="AF62" s="287"/>
      <c r="AG62" s="286"/>
      <c r="AH62" s="285"/>
      <c r="AI62" s="284"/>
      <c r="AJ62" s="282"/>
      <c r="AK62" s="286"/>
      <c r="AL62" s="285"/>
      <c r="AM62" s="284"/>
      <c r="AN62" s="282"/>
      <c r="AO62" s="282"/>
      <c r="AP62" s="282"/>
      <c r="AQ62" s="282"/>
      <c r="AR62" s="283"/>
      <c r="AS62" s="282"/>
      <c r="AT62" s="282"/>
      <c r="AU62" s="282"/>
      <c r="AV62" s="282"/>
      <c r="AW62" s="282"/>
      <c r="AX62" s="281"/>
      <c r="AY62" s="281"/>
      <c r="AZ62" s="281"/>
      <c r="BA62" s="281"/>
      <c r="BB62" s="281"/>
    </row>
    <row r="63" spans="3:54">
      <c r="C63" s="201" t="s">
        <v>103</v>
      </c>
      <c r="D63" s="252" t="s">
        <v>95</v>
      </c>
      <c r="E63" s="206">
        <v>3</v>
      </c>
      <c r="F63" s="206">
        <v>3</v>
      </c>
      <c r="G63" s="206">
        <v>3</v>
      </c>
      <c r="H63" s="206">
        <v>3</v>
      </c>
      <c r="I63" s="206">
        <v>3</v>
      </c>
      <c r="J63" s="276"/>
      <c r="K63" s="206">
        <v>3</v>
      </c>
      <c r="L63" s="206">
        <v>3</v>
      </c>
      <c r="M63" s="206">
        <v>3</v>
      </c>
      <c r="N63" s="206">
        <v>3</v>
      </c>
      <c r="O63" s="206">
        <v>3</v>
      </c>
      <c r="P63" s="276"/>
      <c r="Q63" s="206" t="s">
        <v>35</v>
      </c>
      <c r="R63" s="206" t="s">
        <v>98</v>
      </c>
      <c r="S63" s="276" t="s">
        <v>98</v>
      </c>
      <c r="T63" s="279" t="s">
        <v>35</v>
      </c>
      <c r="U63" s="280" t="s">
        <v>36</v>
      </c>
      <c r="V63" s="276" t="s">
        <v>36</v>
      </c>
      <c r="W63" s="279" t="s">
        <v>36</v>
      </c>
      <c r="X63" s="276"/>
      <c r="Y63" s="206" t="s">
        <v>35</v>
      </c>
      <c r="Z63" s="206" t="s">
        <v>35</v>
      </c>
      <c r="AA63" s="279" t="s">
        <v>35</v>
      </c>
      <c r="AB63" s="279" t="s">
        <v>35</v>
      </c>
      <c r="AC63" s="206" t="s">
        <v>35</v>
      </c>
      <c r="AD63" s="278">
        <v>0.55000000000000004</v>
      </c>
      <c r="AE63" s="278" t="s">
        <v>35</v>
      </c>
      <c r="AF63" s="206" t="s">
        <v>35</v>
      </c>
      <c r="AG63" s="205" t="s">
        <v>35</v>
      </c>
      <c r="AH63" s="204" t="s">
        <v>35</v>
      </c>
      <c r="AI63" s="203" t="s">
        <v>35</v>
      </c>
      <c r="AJ63" s="206" t="s">
        <v>35</v>
      </c>
      <c r="AK63" s="205" t="s">
        <v>35</v>
      </c>
      <c r="AL63" s="204" t="s">
        <v>35</v>
      </c>
      <c r="AM63" s="203" t="s">
        <v>35</v>
      </c>
      <c r="AR63" s="277"/>
    </row>
    <row r="64" spans="3:54">
      <c r="D64" s="252" t="s">
        <v>96</v>
      </c>
      <c r="H64" s="206" t="s">
        <v>98</v>
      </c>
      <c r="I64" s="206" t="s">
        <v>98</v>
      </c>
      <c r="J64" s="276">
        <v>100</v>
      </c>
      <c r="K64" s="206" t="s">
        <v>98</v>
      </c>
      <c r="L64" s="206" t="s">
        <v>98</v>
      </c>
      <c r="M64" s="206" t="s">
        <v>98</v>
      </c>
      <c r="N64" s="206" t="s">
        <v>98</v>
      </c>
      <c r="O64" s="206" t="s">
        <v>98</v>
      </c>
      <c r="P64" s="276">
        <v>100</v>
      </c>
      <c r="Q64" s="206" t="s">
        <v>35</v>
      </c>
      <c r="R64" s="206" t="s">
        <v>98</v>
      </c>
      <c r="S64" s="276" t="s">
        <v>98</v>
      </c>
      <c r="T64" s="279" t="s">
        <v>35</v>
      </c>
      <c r="U64" s="280" t="s">
        <v>36</v>
      </c>
      <c r="V64" s="276" t="s">
        <v>36</v>
      </c>
      <c r="W64" s="279" t="s">
        <v>36</v>
      </c>
      <c r="X64" s="276"/>
      <c r="Y64" s="206" t="s">
        <v>35</v>
      </c>
      <c r="Z64" s="206" t="s">
        <v>35</v>
      </c>
      <c r="AA64" s="279" t="s">
        <v>35</v>
      </c>
      <c r="AB64" s="279" t="s">
        <v>35</v>
      </c>
      <c r="AC64" s="206" t="s">
        <v>35</v>
      </c>
      <c r="AD64" s="278">
        <v>0.55000000000000004</v>
      </c>
      <c r="AE64" s="278" t="s">
        <v>35</v>
      </c>
      <c r="AF64" s="206" t="s">
        <v>35</v>
      </c>
      <c r="AG64" s="205" t="s">
        <v>35</v>
      </c>
      <c r="AH64" s="204" t="s">
        <v>35</v>
      </c>
      <c r="AI64" s="203" t="s">
        <v>35</v>
      </c>
      <c r="AJ64" s="206" t="s">
        <v>35</v>
      </c>
      <c r="AK64" s="205" t="s">
        <v>35</v>
      </c>
      <c r="AL64" s="204" t="s">
        <v>35</v>
      </c>
      <c r="AM64" s="203" t="s">
        <v>35</v>
      </c>
      <c r="AR64" s="277"/>
    </row>
    <row r="65" spans="1:63">
      <c r="D65" s="252" t="s">
        <v>129</v>
      </c>
      <c r="J65" s="276"/>
      <c r="P65" s="276"/>
      <c r="S65" s="276"/>
      <c r="T65" s="279"/>
      <c r="U65" s="280"/>
      <c r="V65" s="276"/>
      <c r="W65" s="279"/>
      <c r="X65" s="276"/>
      <c r="AA65" s="279"/>
      <c r="AB65" s="279"/>
      <c r="AC65" s="206" t="s">
        <v>35</v>
      </c>
      <c r="AD65" s="278">
        <v>0.55000000000000004</v>
      </c>
      <c r="AE65" s="278" t="s">
        <v>35</v>
      </c>
      <c r="AF65" s="206" t="s">
        <v>35</v>
      </c>
      <c r="AG65" s="205">
        <v>5</v>
      </c>
      <c r="AH65" s="204">
        <v>1.8</v>
      </c>
      <c r="AI65" s="203">
        <v>2.6</v>
      </c>
      <c r="AJ65" s="275">
        <v>5</v>
      </c>
      <c r="AK65" s="205">
        <v>5</v>
      </c>
      <c r="AL65" s="204">
        <v>1.8</v>
      </c>
      <c r="AM65" s="203">
        <v>2.6</v>
      </c>
      <c r="AR65" s="277"/>
    </row>
    <row r="66" spans="1:63">
      <c r="D66" s="252" t="s">
        <v>119</v>
      </c>
      <c r="J66" s="276"/>
      <c r="P66" s="276"/>
      <c r="S66" s="276"/>
      <c r="T66" s="279"/>
      <c r="U66" s="280"/>
      <c r="V66" s="276"/>
      <c r="W66" s="279"/>
      <c r="X66" s="276"/>
      <c r="AA66" s="279"/>
      <c r="AB66" s="279"/>
      <c r="AC66" s="206" t="s">
        <v>35</v>
      </c>
      <c r="AD66" s="278" t="s">
        <v>35</v>
      </c>
      <c r="AE66" s="278" t="s">
        <v>35</v>
      </c>
      <c r="AF66" s="206" t="s">
        <v>35</v>
      </c>
      <c r="AG66" s="205" t="s">
        <v>35</v>
      </c>
      <c r="AH66" s="204" t="s">
        <v>35</v>
      </c>
      <c r="AI66" s="203" t="s">
        <v>35</v>
      </c>
      <c r="AJ66" s="206" t="s">
        <v>35</v>
      </c>
      <c r="AK66" s="205" t="s">
        <v>35</v>
      </c>
      <c r="AL66" s="204" t="s">
        <v>35</v>
      </c>
      <c r="AM66" s="203" t="s">
        <v>35</v>
      </c>
      <c r="AR66" s="277"/>
    </row>
    <row r="67" spans="1:63">
      <c r="D67" s="252" t="s">
        <v>97</v>
      </c>
      <c r="H67" s="206" t="s">
        <v>98</v>
      </c>
      <c r="I67" s="206" t="s">
        <v>98</v>
      </c>
      <c r="J67" s="276" t="s">
        <v>98</v>
      </c>
      <c r="K67" s="206" t="s">
        <v>98</v>
      </c>
      <c r="L67" s="206" t="s">
        <v>98</v>
      </c>
      <c r="M67" s="206" t="s">
        <v>98</v>
      </c>
      <c r="N67" s="206" t="s">
        <v>98</v>
      </c>
      <c r="O67" s="206" t="s">
        <v>98</v>
      </c>
      <c r="P67" s="276" t="s">
        <v>98</v>
      </c>
      <c r="Q67" s="206" t="s">
        <v>35</v>
      </c>
      <c r="R67" s="206" t="s">
        <v>98</v>
      </c>
      <c r="S67" s="276" t="s">
        <v>98</v>
      </c>
      <c r="T67" s="279" t="s">
        <v>35</v>
      </c>
      <c r="U67" s="280" t="s">
        <v>36</v>
      </c>
      <c r="V67" s="276" t="s">
        <v>36</v>
      </c>
      <c r="W67" s="279" t="s">
        <v>36</v>
      </c>
      <c r="X67" s="276"/>
      <c r="Y67" s="206" t="s">
        <v>35</v>
      </c>
      <c r="Z67" s="206" t="s">
        <v>35</v>
      </c>
      <c r="AA67" s="279" t="s">
        <v>35</v>
      </c>
      <c r="AB67" s="279" t="s">
        <v>35</v>
      </c>
      <c r="AC67" s="206" t="s">
        <v>35</v>
      </c>
      <c r="AD67" s="278">
        <v>0.55000000000000004</v>
      </c>
      <c r="AE67" s="278" t="s">
        <v>35</v>
      </c>
      <c r="AF67" s="206" t="s">
        <v>35</v>
      </c>
      <c r="AG67" s="205" t="s">
        <v>35</v>
      </c>
      <c r="AH67" s="204" t="s">
        <v>35</v>
      </c>
      <c r="AI67" s="203" t="s">
        <v>35</v>
      </c>
      <c r="AJ67" s="206" t="s">
        <v>35</v>
      </c>
      <c r="AK67" s="205" t="s">
        <v>35</v>
      </c>
      <c r="AL67" s="204" t="s">
        <v>35</v>
      </c>
      <c r="AM67" s="203" t="s">
        <v>35</v>
      </c>
      <c r="AR67" s="277"/>
    </row>
    <row r="68" spans="1:63">
      <c r="D68" s="252"/>
      <c r="J68" s="276"/>
      <c r="P68" s="276"/>
      <c r="AJ68" s="275"/>
      <c r="AR68" s="277"/>
    </row>
    <row r="69" spans="1:63">
      <c r="J69" s="276"/>
      <c r="P69" s="276"/>
      <c r="AJ69" s="275"/>
    </row>
    <row r="70" spans="1:63">
      <c r="J70" s="276"/>
      <c r="P70" s="276"/>
      <c r="AJ70" s="275"/>
    </row>
    <row r="71" spans="1:63">
      <c r="J71" s="276"/>
      <c r="P71" s="276"/>
      <c r="AJ71" s="275"/>
    </row>
    <row r="72" spans="1:63">
      <c r="AJ72" s="275"/>
    </row>
    <row r="73" spans="1:63">
      <c r="AJ73" s="275"/>
    </row>
    <row r="74" spans="1:63">
      <c r="AJ74" s="275"/>
    </row>
    <row r="75" spans="1:63">
      <c r="AJ75" s="275"/>
    </row>
    <row r="76" spans="1:63">
      <c r="A76" s="274"/>
      <c r="B76" s="274"/>
      <c r="C76" s="274"/>
      <c r="D76" s="274"/>
      <c r="E76" s="274"/>
      <c r="F76" s="274"/>
      <c r="G76" s="274"/>
      <c r="H76" s="274"/>
      <c r="I76" s="274"/>
      <c r="J76" s="274"/>
      <c r="K76" s="274"/>
      <c r="L76" s="274"/>
      <c r="M76" s="274"/>
      <c r="N76" s="274"/>
      <c r="O76" s="274"/>
      <c r="P76" s="274"/>
      <c r="Q76" s="274"/>
      <c r="R76" s="274"/>
      <c r="S76" s="274"/>
      <c r="T76" s="274"/>
      <c r="U76" s="274"/>
      <c r="V76" s="274"/>
      <c r="W76" s="274"/>
      <c r="X76" s="274"/>
      <c r="Y76" s="274"/>
      <c r="Z76" s="274"/>
      <c r="AA76" s="274"/>
      <c r="AB76" s="274"/>
      <c r="AC76" s="274"/>
      <c r="AD76" s="274"/>
      <c r="AE76" s="274"/>
      <c r="AF76" s="274"/>
      <c r="AG76" s="274"/>
      <c r="AH76" s="274"/>
      <c r="AI76" s="274"/>
      <c r="AJ76" s="274"/>
      <c r="AK76" s="274"/>
      <c r="AL76" s="274"/>
      <c r="AM76" s="274"/>
      <c r="AN76" s="274"/>
      <c r="AO76" s="274"/>
      <c r="AP76" s="274"/>
      <c r="AQ76" s="274"/>
      <c r="AR76" s="274"/>
      <c r="AS76" s="274"/>
      <c r="AT76" s="274"/>
      <c r="AU76" s="274"/>
      <c r="AV76" s="274"/>
      <c r="AW76" s="274"/>
      <c r="AX76" s="274"/>
      <c r="AY76" s="274"/>
      <c r="AZ76" s="274"/>
      <c r="BA76" s="274"/>
      <c r="BB76" s="274"/>
      <c r="BC76" s="274"/>
      <c r="BD76" s="274"/>
      <c r="BE76" s="274"/>
      <c r="BF76" s="274"/>
      <c r="BG76" s="274"/>
      <c r="BH76" s="274"/>
      <c r="BI76" s="274"/>
      <c r="BJ76" s="274"/>
      <c r="BK76" s="274"/>
    </row>
    <row r="77" spans="1:63" ht="15.6">
      <c r="A77" s="244" t="s">
        <v>136</v>
      </c>
      <c r="B77" s="243"/>
      <c r="C77" s="243"/>
      <c r="D77" s="243"/>
      <c r="E77" s="243"/>
      <c r="F77" s="243"/>
      <c r="G77" s="243"/>
      <c r="H77" s="243"/>
      <c r="I77" s="243"/>
      <c r="J77" s="243"/>
      <c r="K77" s="243"/>
      <c r="L77" s="243"/>
      <c r="M77" s="243"/>
      <c r="N77" s="243"/>
      <c r="O77" s="243"/>
      <c r="P77" s="243"/>
      <c r="Q77" s="243"/>
      <c r="R77" s="243"/>
      <c r="S77" s="243"/>
      <c r="T77" s="243"/>
      <c r="U77" s="243"/>
      <c r="V77" s="243"/>
      <c r="W77" s="243"/>
      <c r="X77" s="243"/>
      <c r="Y77" s="243"/>
      <c r="Z77" s="243"/>
      <c r="AA77" s="235"/>
      <c r="AB77" s="235"/>
      <c r="AC77" s="235"/>
      <c r="AD77" s="235"/>
      <c r="AE77" s="235"/>
      <c r="AF77" s="235"/>
      <c r="AG77" s="235"/>
      <c r="AH77" s="235"/>
      <c r="AI77" s="235"/>
      <c r="AJ77" s="235"/>
      <c r="AK77" s="235"/>
      <c r="AL77" s="235"/>
      <c r="AM77" s="235"/>
      <c r="AN77" s="235"/>
      <c r="AO77" s="235"/>
      <c r="AP77" s="235"/>
      <c r="AQ77" s="235"/>
      <c r="AR77" s="235"/>
      <c r="AS77" s="235"/>
      <c r="AT77" s="235"/>
      <c r="AU77" s="235"/>
      <c r="AV77" s="235"/>
      <c r="AW77" s="235"/>
      <c r="AX77" s="235"/>
      <c r="AY77" s="235"/>
      <c r="AZ77" s="235"/>
      <c r="BA77" s="235"/>
      <c r="BB77" s="235"/>
      <c r="BC77" s="235"/>
      <c r="BD77" s="235"/>
      <c r="BE77" s="235"/>
      <c r="BF77" s="235"/>
      <c r="BG77" s="235"/>
      <c r="BH77" s="235"/>
      <c r="BI77" s="235"/>
      <c r="BJ77" s="235"/>
      <c r="BK77" s="235"/>
    </row>
    <row r="78" spans="1:63">
      <c r="A78" s="907" t="s">
        <v>137</v>
      </c>
      <c r="B78" s="908"/>
      <c r="C78" s="273" t="s">
        <v>138</v>
      </c>
      <c r="D78" s="272"/>
      <c r="E78" s="272"/>
      <c r="F78" s="272"/>
      <c r="G78" s="272"/>
      <c r="H78" s="272"/>
      <c r="I78" s="272"/>
      <c r="J78" s="272"/>
      <c r="K78" s="272"/>
      <c r="L78" s="272"/>
      <c r="M78" s="272"/>
      <c r="N78" s="272"/>
      <c r="O78" s="272"/>
      <c r="P78" s="272"/>
      <c r="Q78" s="272"/>
      <c r="R78" s="272"/>
      <c r="S78" s="272"/>
      <c r="T78" s="272"/>
      <c r="U78" s="272"/>
      <c r="V78" s="272"/>
      <c r="W78" s="272"/>
      <c r="X78" s="272"/>
      <c r="Y78" s="272"/>
      <c r="Z78" s="272"/>
      <c r="AA78" s="272"/>
      <c r="AB78" s="272"/>
      <c r="AC78" s="272"/>
      <c r="AD78" s="272"/>
      <c r="AE78" s="272"/>
      <c r="AF78" s="272"/>
      <c r="AG78" s="272"/>
      <c r="AH78" s="272"/>
      <c r="AI78" s="272"/>
      <c r="AJ78" s="272"/>
      <c r="AK78" s="272"/>
      <c r="AL78" s="272"/>
      <c r="AM78" s="272"/>
      <c r="AN78" s="272"/>
      <c r="AO78" s="272"/>
      <c r="AP78" s="272"/>
      <c r="AQ78" s="272"/>
      <c r="AR78" s="272"/>
      <c r="AS78" s="272"/>
      <c r="AT78" s="272"/>
      <c r="AU78" s="272"/>
      <c r="AV78" s="272"/>
      <c r="AW78" s="272"/>
      <c r="AX78" s="272"/>
      <c r="AY78" s="272"/>
      <c r="AZ78" s="272"/>
      <c r="BA78" s="272"/>
      <c r="BB78" s="272"/>
      <c r="BC78" s="272"/>
      <c r="BD78" s="272"/>
      <c r="BE78" s="272"/>
      <c r="BF78" s="272"/>
      <c r="BG78" s="272"/>
      <c r="BH78" s="272"/>
      <c r="BI78" s="272"/>
      <c r="BJ78" s="272"/>
      <c r="BK78" s="271"/>
    </row>
    <row r="79" spans="1:63">
      <c r="A79" s="909"/>
      <c r="B79" s="910"/>
      <c r="C79" s="270"/>
      <c r="D79" s="269"/>
      <c r="E79" s="269"/>
      <c r="F79" s="269"/>
      <c r="G79" s="269"/>
      <c r="H79" s="269"/>
      <c r="I79" s="269"/>
      <c r="J79" s="269"/>
      <c r="K79" s="269"/>
      <c r="L79" s="269"/>
      <c r="M79" s="269"/>
      <c r="N79" s="269"/>
      <c r="O79" s="269"/>
      <c r="P79" s="269"/>
      <c r="Q79" s="269"/>
      <c r="R79" s="269"/>
      <c r="S79" s="269"/>
      <c r="T79" s="269"/>
      <c r="U79" s="269"/>
      <c r="V79" s="269"/>
      <c r="W79" s="269"/>
      <c r="X79" s="269"/>
      <c r="Y79" s="269"/>
      <c r="Z79" s="269"/>
      <c r="AA79" s="269"/>
      <c r="AB79" s="269"/>
      <c r="AC79" s="269"/>
      <c r="AD79" s="269"/>
      <c r="AE79" s="269"/>
      <c r="AF79" s="269"/>
      <c r="AG79" s="269"/>
      <c r="AH79" s="269"/>
      <c r="AI79" s="269"/>
      <c r="AJ79" s="269"/>
      <c r="AK79" s="269"/>
      <c r="AL79" s="269"/>
      <c r="AM79" s="269"/>
      <c r="AN79" s="269"/>
      <c r="AO79" s="269"/>
      <c r="AP79" s="269"/>
      <c r="AQ79" s="269"/>
      <c r="AR79" s="269"/>
      <c r="AS79" s="269"/>
      <c r="AT79" s="269"/>
      <c r="AU79" s="269"/>
      <c r="AV79" s="269"/>
      <c r="AW79" s="269"/>
      <c r="AX79" s="269"/>
      <c r="AY79" s="269"/>
      <c r="AZ79" s="269"/>
      <c r="BA79" s="269"/>
      <c r="BB79" s="269"/>
      <c r="BC79" s="269"/>
      <c r="BD79" s="269"/>
      <c r="BE79" s="269"/>
      <c r="BF79" s="269"/>
      <c r="BG79" s="269"/>
      <c r="BH79" s="269"/>
      <c r="BI79" s="269"/>
      <c r="BJ79" s="269"/>
      <c r="BK79" s="268"/>
    </row>
    <row r="80" spans="1:63">
      <c r="A80" s="267" t="s">
        <v>139</v>
      </c>
      <c r="B80" s="266"/>
      <c r="C80" s="265"/>
      <c r="D80" s="264"/>
      <c r="E80" s="264"/>
      <c r="F80" s="264"/>
      <c r="G80" s="264"/>
      <c r="H80" s="264"/>
      <c r="I80" s="264"/>
      <c r="J80" s="264"/>
      <c r="K80" s="264"/>
      <c r="L80" s="264"/>
      <c r="M80" s="264"/>
      <c r="N80" s="264"/>
      <c r="O80" s="264"/>
      <c r="P80" s="264"/>
      <c r="Q80" s="264"/>
      <c r="R80" s="264"/>
      <c r="S80" s="264"/>
      <c r="T80" s="264"/>
      <c r="U80" s="264"/>
      <c r="V80" s="264"/>
      <c r="W80" s="264"/>
      <c r="X80" s="264"/>
      <c r="Y80" s="264"/>
      <c r="Z80" s="264"/>
      <c r="AA80" s="264"/>
      <c r="AB80" s="264"/>
      <c r="AC80" s="264"/>
      <c r="AD80" s="264"/>
      <c r="AE80" s="264"/>
      <c r="AF80" s="264"/>
      <c r="AG80" s="264"/>
      <c r="AH80" s="264"/>
      <c r="AI80" s="264"/>
      <c r="AJ80" s="264"/>
      <c r="AK80" s="264"/>
      <c r="AL80" s="264"/>
      <c r="AM80" s="264"/>
      <c r="AN80" s="264"/>
      <c r="AO80" s="264"/>
      <c r="AP80" s="264"/>
      <c r="AQ80" s="264"/>
      <c r="AR80" s="264"/>
      <c r="AS80" s="264"/>
      <c r="AT80" s="264"/>
      <c r="AU80" s="264"/>
      <c r="AV80" s="264"/>
      <c r="AW80" s="264"/>
      <c r="AX80" s="264"/>
      <c r="AY80" s="264"/>
      <c r="AZ80" s="264"/>
      <c r="BA80" s="264"/>
      <c r="BB80" s="264"/>
      <c r="BC80" s="264"/>
      <c r="BD80" s="264"/>
      <c r="BE80" s="264"/>
      <c r="BF80" s="264"/>
      <c r="BG80" s="264"/>
      <c r="BH80" s="264"/>
      <c r="BI80" s="264"/>
      <c r="BJ80" s="264"/>
      <c r="BK80" s="263"/>
    </row>
    <row r="81" spans="1:63">
      <c r="A81" s="262"/>
      <c r="B81" s="262">
        <v>19</v>
      </c>
      <c r="C81" s="254">
        <v>20</v>
      </c>
      <c r="D81" s="254">
        <v>21</v>
      </c>
      <c r="E81" s="254">
        <v>22</v>
      </c>
      <c r="F81" s="254">
        <v>23</v>
      </c>
      <c r="G81" s="254">
        <v>24</v>
      </c>
      <c r="H81" s="254">
        <v>25</v>
      </c>
      <c r="I81" s="254">
        <v>26</v>
      </c>
      <c r="J81" s="254">
        <v>27</v>
      </c>
      <c r="K81" s="254">
        <v>28</v>
      </c>
      <c r="L81" s="254">
        <v>29</v>
      </c>
      <c r="M81" s="254">
        <v>30</v>
      </c>
      <c r="N81" s="254">
        <v>31</v>
      </c>
      <c r="O81" s="254">
        <v>32</v>
      </c>
      <c r="P81" s="235">
        <v>33</v>
      </c>
      <c r="Q81" s="235">
        <v>34</v>
      </c>
      <c r="R81" s="235">
        <v>35</v>
      </c>
      <c r="S81" s="235">
        <v>36</v>
      </c>
      <c r="T81" s="235">
        <v>37</v>
      </c>
      <c r="U81" s="235">
        <v>38</v>
      </c>
      <c r="V81" s="235">
        <v>39</v>
      </c>
      <c r="W81" s="235">
        <v>40</v>
      </c>
      <c r="X81" s="235">
        <v>41</v>
      </c>
      <c r="Y81" s="235">
        <v>42</v>
      </c>
      <c r="Z81" s="235">
        <v>43</v>
      </c>
      <c r="AA81" s="235">
        <v>44</v>
      </c>
      <c r="AB81" s="235">
        <v>45</v>
      </c>
      <c r="AC81" s="235">
        <v>46</v>
      </c>
      <c r="AD81" s="235">
        <v>47</v>
      </c>
      <c r="AE81" s="235">
        <v>48</v>
      </c>
      <c r="AF81" s="235">
        <v>49</v>
      </c>
      <c r="AG81" s="235">
        <v>50</v>
      </c>
      <c r="AH81" s="235">
        <v>51</v>
      </c>
      <c r="AI81" s="235">
        <v>52</v>
      </c>
      <c r="AJ81" s="235">
        <v>53</v>
      </c>
      <c r="AK81" s="235">
        <v>54</v>
      </c>
      <c r="AL81" s="235">
        <v>55</v>
      </c>
      <c r="AM81" s="235">
        <v>56</v>
      </c>
      <c r="AN81" s="235">
        <v>57</v>
      </c>
      <c r="AO81" s="235">
        <v>58</v>
      </c>
      <c r="AP81" s="235">
        <v>59</v>
      </c>
      <c r="AQ81" s="235">
        <v>60</v>
      </c>
      <c r="AR81" s="235">
        <v>61</v>
      </c>
      <c r="AS81" s="235">
        <v>62</v>
      </c>
      <c r="AT81" s="235">
        <v>63</v>
      </c>
      <c r="AU81" s="261">
        <v>64</v>
      </c>
      <c r="AV81" s="261">
        <v>65</v>
      </c>
      <c r="AW81" s="261">
        <v>66</v>
      </c>
      <c r="AX81" s="261">
        <v>67</v>
      </c>
      <c r="AY81" s="261">
        <v>68</v>
      </c>
      <c r="AZ81" s="261">
        <v>69</v>
      </c>
      <c r="BA81" s="261">
        <v>70</v>
      </c>
      <c r="BB81" s="261">
        <v>71</v>
      </c>
      <c r="BC81" s="261">
        <v>72</v>
      </c>
      <c r="BD81" s="261">
        <v>73</v>
      </c>
      <c r="BE81" s="261">
        <v>74</v>
      </c>
      <c r="BF81" s="261">
        <v>75</v>
      </c>
      <c r="BG81" s="261">
        <v>76</v>
      </c>
      <c r="BH81" s="261">
        <v>77</v>
      </c>
      <c r="BI81" s="261">
        <v>78</v>
      </c>
      <c r="BJ81" s="261">
        <v>79</v>
      </c>
      <c r="BK81" s="261">
        <v>80</v>
      </c>
    </row>
    <row r="82" spans="1:63">
      <c r="A82" s="260">
        <v>0</v>
      </c>
      <c r="B82" s="239">
        <v>0.8</v>
      </c>
      <c r="C82" s="256">
        <v>0.8</v>
      </c>
      <c r="D82" s="256">
        <v>0.79</v>
      </c>
      <c r="E82" s="256">
        <v>0.79</v>
      </c>
      <c r="F82" s="256">
        <v>0.78</v>
      </c>
      <c r="G82" s="256">
        <v>0.77</v>
      </c>
      <c r="H82" s="256">
        <v>0.77</v>
      </c>
      <c r="I82" s="256">
        <v>0.76</v>
      </c>
      <c r="J82" s="256">
        <v>0.75</v>
      </c>
      <c r="K82" s="256">
        <v>0.75</v>
      </c>
      <c r="L82" s="256">
        <v>0.74</v>
      </c>
      <c r="M82" s="256">
        <v>0.73</v>
      </c>
      <c r="N82" s="256">
        <v>0.73</v>
      </c>
      <c r="O82" s="256">
        <v>0.72</v>
      </c>
      <c r="P82" s="256">
        <v>0.71</v>
      </c>
      <c r="Q82" s="256">
        <v>0.71</v>
      </c>
      <c r="R82" s="256">
        <v>0.7</v>
      </c>
      <c r="S82" s="256">
        <v>0.69</v>
      </c>
      <c r="T82" s="256">
        <v>0.69</v>
      </c>
      <c r="U82" s="256">
        <v>0.68</v>
      </c>
      <c r="V82" s="256">
        <v>0.67</v>
      </c>
      <c r="W82" s="256">
        <v>0.67</v>
      </c>
      <c r="X82" s="256">
        <v>0.66</v>
      </c>
      <c r="Y82" s="256">
        <v>0.65</v>
      </c>
      <c r="Z82" s="256">
        <v>0.65</v>
      </c>
      <c r="AA82" s="256">
        <v>0.64</v>
      </c>
      <c r="AB82" s="256">
        <v>0.63</v>
      </c>
      <c r="AC82" s="256">
        <v>0.63</v>
      </c>
      <c r="AD82" s="256">
        <v>0.62</v>
      </c>
      <c r="AE82" s="256">
        <v>0.61</v>
      </c>
      <c r="AF82" s="256">
        <v>0.61</v>
      </c>
      <c r="AG82" s="256">
        <v>0.6</v>
      </c>
      <c r="AH82" s="256">
        <v>0.59</v>
      </c>
      <c r="AI82" s="256">
        <v>0.59</v>
      </c>
      <c r="AJ82" s="256">
        <v>0.57999999999999996</v>
      </c>
      <c r="AK82" s="256">
        <v>0.56999999999999995</v>
      </c>
      <c r="AL82" s="256">
        <v>0.56999999999999995</v>
      </c>
      <c r="AM82" s="256">
        <v>0.56000000000000005</v>
      </c>
      <c r="AN82" s="256">
        <v>0.55000000000000004</v>
      </c>
      <c r="AO82" s="256">
        <v>0.55000000000000004</v>
      </c>
      <c r="AP82" s="256">
        <v>0.54</v>
      </c>
      <c r="AQ82" s="256">
        <v>0.53</v>
      </c>
      <c r="AR82" s="256">
        <v>0.53</v>
      </c>
      <c r="AS82" s="256">
        <v>0.52</v>
      </c>
      <c r="AT82" s="256">
        <v>0.51</v>
      </c>
      <c r="AU82" s="256">
        <v>0.51</v>
      </c>
      <c r="AV82" s="256">
        <v>0.5</v>
      </c>
      <c r="AW82" s="256">
        <v>0.49</v>
      </c>
      <c r="AX82" s="256">
        <v>0.49</v>
      </c>
      <c r="AY82" s="256">
        <v>0.48</v>
      </c>
      <c r="AZ82" s="256">
        <v>0.47</v>
      </c>
      <c r="BA82" s="256">
        <v>0.47</v>
      </c>
      <c r="BB82" s="256">
        <v>0.46</v>
      </c>
      <c r="BC82" s="256">
        <v>0.45</v>
      </c>
      <c r="BD82" s="256">
        <v>0.45</v>
      </c>
      <c r="BE82" s="256">
        <v>0.44</v>
      </c>
      <c r="BF82" s="256">
        <v>0.43</v>
      </c>
      <c r="BG82" s="256">
        <v>0.43</v>
      </c>
      <c r="BH82" s="256">
        <v>0.42</v>
      </c>
      <c r="BI82" s="256">
        <v>0.41</v>
      </c>
      <c r="BJ82" s="256">
        <v>0.41</v>
      </c>
      <c r="BK82" s="255">
        <v>0</v>
      </c>
    </row>
    <row r="83" spans="1:63">
      <c r="A83" s="251">
        <v>1</v>
      </c>
      <c r="B83" s="235">
        <v>0.8</v>
      </c>
      <c r="C83" s="201">
        <v>0.8</v>
      </c>
      <c r="D83" s="201">
        <v>0.79</v>
      </c>
      <c r="E83" s="201">
        <v>0.79</v>
      </c>
      <c r="F83" s="201">
        <v>0.78</v>
      </c>
      <c r="G83" s="201">
        <v>0.77</v>
      </c>
      <c r="H83" s="201">
        <v>0.77</v>
      </c>
      <c r="I83" s="201">
        <v>0.76</v>
      </c>
      <c r="J83" s="201">
        <v>0.75</v>
      </c>
      <c r="K83" s="201">
        <v>0.75</v>
      </c>
      <c r="L83" s="201">
        <v>0.74</v>
      </c>
      <c r="M83" s="201">
        <v>0.73</v>
      </c>
      <c r="N83" s="201">
        <v>0.73</v>
      </c>
      <c r="O83" s="201">
        <v>0.72</v>
      </c>
      <c r="P83" s="201">
        <v>0.71</v>
      </c>
      <c r="Q83" s="201">
        <v>0.71</v>
      </c>
      <c r="R83" s="201">
        <v>0.7</v>
      </c>
      <c r="S83" s="201">
        <v>0.69</v>
      </c>
      <c r="T83" s="201">
        <v>0.69</v>
      </c>
      <c r="U83" s="201">
        <v>0.68</v>
      </c>
      <c r="V83" s="201">
        <v>0.67</v>
      </c>
      <c r="W83" s="201">
        <v>0.67</v>
      </c>
      <c r="X83" s="201">
        <v>0.66</v>
      </c>
      <c r="Y83" s="201">
        <v>0.65</v>
      </c>
      <c r="Z83" s="201">
        <v>0.65</v>
      </c>
      <c r="AA83" s="201">
        <v>0.64</v>
      </c>
      <c r="AB83" s="201">
        <v>0.63</v>
      </c>
      <c r="AC83" s="201">
        <v>0.63</v>
      </c>
      <c r="AD83" s="201">
        <v>0.62</v>
      </c>
      <c r="AE83" s="201">
        <v>0.61</v>
      </c>
      <c r="AF83" s="201">
        <v>0.61</v>
      </c>
      <c r="AG83" s="201">
        <v>0.6</v>
      </c>
      <c r="AH83" s="201">
        <v>0.59</v>
      </c>
      <c r="AI83" s="201">
        <v>0.59</v>
      </c>
      <c r="AJ83" s="201">
        <v>0.57999999999999996</v>
      </c>
      <c r="AK83" s="201">
        <v>0.56999999999999995</v>
      </c>
      <c r="AL83" s="201">
        <v>0.56999999999999995</v>
      </c>
      <c r="AM83" s="201">
        <v>0.56000000000000005</v>
      </c>
      <c r="AN83" s="201">
        <v>0.55000000000000004</v>
      </c>
      <c r="AO83" s="201">
        <v>0.55000000000000004</v>
      </c>
      <c r="AP83" s="201">
        <v>0.54</v>
      </c>
      <c r="AQ83" s="201">
        <v>0.53</v>
      </c>
      <c r="AR83" s="201">
        <v>0.53</v>
      </c>
      <c r="AS83" s="201">
        <v>0.52</v>
      </c>
      <c r="AT83" s="201">
        <v>0.51</v>
      </c>
      <c r="AU83" s="201">
        <v>0.51</v>
      </c>
      <c r="AV83" s="201">
        <v>0.5</v>
      </c>
      <c r="AW83" s="201">
        <v>0.49</v>
      </c>
      <c r="AX83" s="201">
        <v>0.49</v>
      </c>
      <c r="AY83" s="201">
        <v>0.48</v>
      </c>
      <c r="AZ83" s="201">
        <v>0.47</v>
      </c>
      <c r="BA83" s="201">
        <v>0.47</v>
      </c>
      <c r="BB83" s="201">
        <v>0.46</v>
      </c>
      <c r="BC83" s="201">
        <v>0.45</v>
      </c>
      <c r="BD83" s="201">
        <v>0.45</v>
      </c>
      <c r="BE83" s="201">
        <v>0.44</v>
      </c>
      <c r="BF83" s="201">
        <v>0.43</v>
      </c>
      <c r="BG83" s="201">
        <v>0.43</v>
      </c>
      <c r="BH83" s="201">
        <v>0.42</v>
      </c>
      <c r="BI83" s="201">
        <v>0.41</v>
      </c>
      <c r="BJ83" s="201">
        <v>0.41</v>
      </c>
      <c r="BK83" s="252">
        <v>0</v>
      </c>
    </row>
    <row r="84" spans="1:63">
      <c r="A84" s="251">
        <v>2</v>
      </c>
      <c r="B84" s="235">
        <v>0.8</v>
      </c>
      <c r="C84" s="201">
        <v>0.8</v>
      </c>
      <c r="D84" s="201">
        <v>0.79</v>
      </c>
      <c r="E84" s="201">
        <v>0.79</v>
      </c>
      <c r="F84" s="201">
        <v>0.78</v>
      </c>
      <c r="G84" s="201">
        <v>0.77</v>
      </c>
      <c r="H84" s="201">
        <v>0.77</v>
      </c>
      <c r="I84" s="201">
        <v>0.76</v>
      </c>
      <c r="J84" s="201">
        <v>0.75</v>
      </c>
      <c r="K84" s="201">
        <v>0.75</v>
      </c>
      <c r="L84" s="201">
        <v>0.74</v>
      </c>
      <c r="M84" s="201">
        <v>0.73</v>
      </c>
      <c r="N84" s="201">
        <v>0.73</v>
      </c>
      <c r="O84" s="201">
        <v>0.72</v>
      </c>
      <c r="P84" s="201">
        <v>0.71</v>
      </c>
      <c r="Q84" s="201">
        <v>0.71</v>
      </c>
      <c r="R84" s="201">
        <v>0.7</v>
      </c>
      <c r="S84" s="201">
        <v>0.69</v>
      </c>
      <c r="T84" s="201">
        <v>0.69</v>
      </c>
      <c r="U84" s="201">
        <v>0.68</v>
      </c>
      <c r="V84" s="201">
        <v>0.67</v>
      </c>
      <c r="W84" s="201">
        <v>0.67</v>
      </c>
      <c r="X84" s="201">
        <v>0.66</v>
      </c>
      <c r="Y84" s="201">
        <v>0.65</v>
      </c>
      <c r="Z84" s="201">
        <v>0.65</v>
      </c>
      <c r="AA84" s="201">
        <v>0.64</v>
      </c>
      <c r="AB84" s="201">
        <v>0.63</v>
      </c>
      <c r="AC84" s="201">
        <v>0.63</v>
      </c>
      <c r="AD84" s="201">
        <v>0.62</v>
      </c>
      <c r="AE84" s="201">
        <v>0.61</v>
      </c>
      <c r="AF84" s="201">
        <v>0.61</v>
      </c>
      <c r="AG84" s="201">
        <v>0.6</v>
      </c>
      <c r="AH84" s="201">
        <v>0.59</v>
      </c>
      <c r="AI84" s="201">
        <v>0.59</v>
      </c>
      <c r="AJ84" s="201">
        <v>0.57999999999999996</v>
      </c>
      <c r="AK84" s="201">
        <v>0.56999999999999995</v>
      </c>
      <c r="AL84" s="201">
        <v>0.56999999999999995</v>
      </c>
      <c r="AM84" s="201">
        <v>0.56000000000000005</v>
      </c>
      <c r="AN84" s="201">
        <v>0.55000000000000004</v>
      </c>
      <c r="AO84" s="201">
        <v>0.55000000000000004</v>
      </c>
      <c r="AP84" s="201">
        <v>0.54</v>
      </c>
      <c r="AQ84" s="201">
        <v>0.53</v>
      </c>
      <c r="AR84" s="201">
        <v>0.53</v>
      </c>
      <c r="AS84" s="201">
        <v>0.52</v>
      </c>
      <c r="AT84" s="201">
        <v>0.51</v>
      </c>
      <c r="AU84" s="201">
        <v>0.51</v>
      </c>
      <c r="AV84" s="201">
        <v>0.5</v>
      </c>
      <c r="AW84" s="201">
        <v>0.49</v>
      </c>
      <c r="AX84" s="201">
        <v>0.49</v>
      </c>
      <c r="AY84" s="201">
        <v>0.48</v>
      </c>
      <c r="AZ84" s="201">
        <v>0.47</v>
      </c>
      <c r="BA84" s="201">
        <v>0.47</v>
      </c>
      <c r="BB84" s="201">
        <v>0.46</v>
      </c>
      <c r="BC84" s="201">
        <v>0.45</v>
      </c>
      <c r="BD84" s="201">
        <v>0.45</v>
      </c>
      <c r="BE84" s="201">
        <v>0.44</v>
      </c>
      <c r="BF84" s="201">
        <v>0.43</v>
      </c>
      <c r="BG84" s="201">
        <v>0.43</v>
      </c>
      <c r="BH84" s="201">
        <v>0.42</v>
      </c>
      <c r="BI84" s="201">
        <v>0.41</v>
      </c>
      <c r="BJ84" s="201">
        <v>0.41</v>
      </c>
      <c r="BK84" s="252">
        <v>0</v>
      </c>
    </row>
    <row r="85" spans="1:63">
      <c r="A85" s="251">
        <v>3</v>
      </c>
      <c r="B85" s="235">
        <v>0.8</v>
      </c>
      <c r="C85" s="201">
        <v>0.8</v>
      </c>
      <c r="D85" s="201">
        <v>0.79</v>
      </c>
      <c r="E85" s="201">
        <v>0.79</v>
      </c>
      <c r="F85" s="201">
        <v>0.78</v>
      </c>
      <c r="G85" s="201">
        <v>0.77</v>
      </c>
      <c r="H85" s="201">
        <v>0.77</v>
      </c>
      <c r="I85" s="201">
        <v>0.76</v>
      </c>
      <c r="J85" s="201">
        <v>0.75</v>
      </c>
      <c r="K85" s="201">
        <v>0.75</v>
      </c>
      <c r="L85" s="201">
        <v>0.74</v>
      </c>
      <c r="M85" s="201">
        <v>0.73</v>
      </c>
      <c r="N85" s="201">
        <v>0.73</v>
      </c>
      <c r="O85" s="201">
        <v>0.72</v>
      </c>
      <c r="P85" s="201">
        <v>0.71</v>
      </c>
      <c r="Q85" s="201">
        <v>0.71</v>
      </c>
      <c r="R85" s="201">
        <v>0.7</v>
      </c>
      <c r="S85" s="201">
        <v>0.69</v>
      </c>
      <c r="T85" s="201">
        <v>0.69</v>
      </c>
      <c r="U85" s="201">
        <v>0.68</v>
      </c>
      <c r="V85" s="201">
        <v>0.67</v>
      </c>
      <c r="W85" s="201">
        <v>0.67</v>
      </c>
      <c r="X85" s="201">
        <v>0.66</v>
      </c>
      <c r="Y85" s="201">
        <v>0.65</v>
      </c>
      <c r="Z85" s="201">
        <v>0.65</v>
      </c>
      <c r="AA85" s="201">
        <v>0.64</v>
      </c>
      <c r="AB85" s="201">
        <v>0.63</v>
      </c>
      <c r="AC85" s="201">
        <v>0.63</v>
      </c>
      <c r="AD85" s="201">
        <v>0.62</v>
      </c>
      <c r="AE85" s="201">
        <v>0.61</v>
      </c>
      <c r="AF85" s="201">
        <v>0.61</v>
      </c>
      <c r="AG85" s="201">
        <v>0.6</v>
      </c>
      <c r="AH85" s="201">
        <v>0.59</v>
      </c>
      <c r="AI85" s="201">
        <v>0.59</v>
      </c>
      <c r="AJ85" s="201">
        <v>0.57999999999999996</v>
      </c>
      <c r="AK85" s="201">
        <v>0.56999999999999995</v>
      </c>
      <c r="AL85" s="201">
        <v>0.56999999999999995</v>
      </c>
      <c r="AM85" s="201">
        <v>0.56000000000000005</v>
      </c>
      <c r="AN85" s="201">
        <v>0.55000000000000004</v>
      </c>
      <c r="AO85" s="201">
        <v>0.55000000000000004</v>
      </c>
      <c r="AP85" s="201">
        <v>0.54</v>
      </c>
      <c r="AQ85" s="201">
        <v>0.53</v>
      </c>
      <c r="AR85" s="201">
        <v>0.53</v>
      </c>
      <c r="AS85" s="201">
        <v>0.52</v>
      </c>
      <c r="AT85" s="201">
        <v>0.51</v>
      </c>
      <c r="AU85" s="201">
        <v>0.51</v>
      </c>
      <c r="AV85" s="201">
        <v>0.5</v>
      </c>
      <c r="AW85" s="201">
        <v>0.49</v>
      </c>
      <c r="AX85" s="201">
        <v>0.49</v>
      </c>
      <c r="AY85" s="201">
        <v>0.48</v>
      </c>
      <c r="AZ85" s="201">
        <v>0.47</v>
      </c>
      <c r="BA85" s="201">
        <v>0.47</v>
      </c>
      <c r="BB85" s="201">
        <v>0.46</v>
      </c>
      <c r="BC85" s="201">
        <v>0.45</v>
      </c>
      <c r="BD85" s="201">
        <v>0.45</v>
      </c>
      <c r="BE85" s="201">
        <v>0.44</v>
      </c>
      <c r="BF85" s="201">
        <v>0.43</v>
      </c>
      <c r="BG85" s="201">
        <v>0.43</v>
      </c>
      <c r="BH85" s="201">
        <v>0.42</v>
      </c>
      <c r="BI85" s="201">
        <v>0.41</v>
      </c>
      <c r="BJ85" s="201">
        <v>0.41</v>
      </c>
      <c r="BK85" s="252">
        <v>0</v>
      </c>
    </row>
    <row r="86" spans="1:63">
      <c r="A86" s="251">
        <v>4</v>
      </c>
      <c r="B86" s="235">
        <v>0.8</v>
      </c>
      <c r="C86" s="201">
        <v>0.8</v>
      </c>
      <c r="D86" s="201">
        <v>0.79</v>
      </c>
      <c r="E86" s="201">
        <v>0.79</v>
      </c>
      <c r="F86" s="201">
        <v>0.78</v>
      </c>
      <c r="G86" s="201">
        <v>0.77</v>
      </c>
      <c r="H86" s="201">
        <v>0.77</v>
      </c>
      <c r="I86" s="201">
        <v>0.76</v>
      </c>
      <c r="J86" s="201">
        <v>0.75</v>
      </c>
      <c r="K86" s="201">
        <v>0.75</v>
      </c>
      <c r="L86" s="201">
        <v>0.74</v>
      </c>
      <c r="M86" s="201">
        <v>0.73</v>
      </c>
      <c r="N86" s="201">
        <v>0.73</v>
      </c>
      <c r="O86" s="201">
        <v>0.72</v>
      </c>
      <c r="P86" s="201">
        <v>0.71</v>
      </c>
      <c r="Q86" s="201">
        <v>0.71</v>
      </c>
      <c r="R86" s="201">
        <v>0.7</v>
      </c>
      <c r="S86" s="201">
        <v>0.69</v>
      </c>
      <c r="T86" s="201">
        <v>0.69</v>
      </c>
      <c r="U86" s="201">
        <v>0.68</v>
      </c>
      <c r="V86" s="201">
        <v>0.67</v>
      </c>
      <c r="W86" s="201">
        <v>0.67</v>
      </c>
      <c r="X86" s="201">
        <v>0.66</v>
      </c>
      <c r="Y86" s="201">
        <v>0.65</v>
      </c>
      <c r="Z86" s="201">
        <v>0.65</v>
      </c>
      <c r="AA86" s="201">
        <v>0.64</v>
      </c>
      <c r="AB86" s="201">
        <v>0.63</v>
      </c>
      <c r="AC86" s="201">
        <v>0.63</v>
      </c>
      <c r="AD86" s="201">
        <v>0.62</v>
      </c>
      <c r="AE86" s="201">
        <v>0.61</v>
      </c>
      <c r="AF86" s="201">
        <v>0.61</v>
      </c>
      <c r="AG86" s="201">
        <v>0.6</v>
      </c>
      <c r="AH86" s="201">
        <v>0.59</v>
      </c>
      <c r="AI86" s="201">
        <v>0.59</v>
      </c>
      <c r="AJ86" s="201">
        <v>0.57999999999999996</v>
      </c>
      <c r="AK86" s="201">
        <v>0.56999999999999995</v>
      </c>
      <c r="AL86" s="201">
        <v>0.56999999999999995</v>
      </c>
      <c r="AM86" s="201">
        <v>0.56000000000000005</v>
      </c>
      <c r="AN86" s="201">
        <v>0.55000000000000004</v>
      </c>
      <c r="AO86" s="201">
        <v>0.54</v>
      </c>
      <c r="AP86" s="201">
        <v>0.54</v>
      </c>
      <c r="AQ86" s="201">
        <v>0.53</v>
      </c>
      <c r="AR86" s="201">
        <v>0.52</v>
      </c>
      <c r="AS86" s="201">
        <v>0.52</v>
      </c>
      <c r="AT86" s="201">
        <v>0.51</v>
      </c>
      <c r="AU86" s="201">
        <v>0.5</v>
      </c>
      <c r="AV86" s="201">
        <v>0.5</v>
      </c>
      <c r="AW86" s="201">
        <v>0.49</v>
      </c>
      <c r="AX86" s="201">
        <v>0.48</v>
      </c>
      <c r="AY86" s="201">
        <v>0.48</v>
      </c>
      <c r="AZ86" s="201">
        <v>0.47</v>
      </c>
      <c r="BA86" s="201">
        <v>0.46</v>
      </c>
      <c r="BB86" s="201">
        <v>0.46</v>
      </c>
      <c r="BC86" s="201">
        <v>0.45</v>
      </c>
      <c r="BD86" s="201">
        <v>0.44</v>
      </c>
      <c r="BE86" s="201">
        <v>0.44</v>
      </c>
      <c r="BF86" s="201">
        <v>0.43</v>
      </c>
      <c r="BG86" s="201">
        <v>0.42</v>
      </c>
      <c r="BH86" s="201">
        <v>0.42</v>
      </c>
      <c r="BI86" s="201">
        <v>0.41</v>
      </c>
      <c r="BJ86" s="201">
        <v>0.4</v>
      </c>
      <c r="BK86" s="252">
        <v>0</v>
      </c>
    </row>
    <row r="87" spans="1:63">
      <c r="A87" s="251">
        <v>5</v>
      </c>
      <c r="B87" s="230">
        <v>0.8</v>
      </c>
      <c r="C87" s="248">
        <v>0.8</v>
      </c>
      <c r="D87" s="248">
        <v>0.79</v>
      </c>
      <c r="E87" s="248">
        <v>0.79</v>
      </c>
      <c r="F87" s="248">
        <v>0.78</v>
      </c>
      <c r="G87" s="248">
        <v>0.77</v>
      </c>
      <c r="H87" s="248">
        <v>0.77</v>
      </c>
      <c r="I87" s="248">
        <v>0.76</v>
      </c>
      <c r="J87" s="248">
        <v>0.75</v>
      </c>
      <c r="K87" s="248">
        <v>0.75</v>
      </c>
      <c r="L87" s="248">
        <v>0.74</v>
      </c>
      <c r="M87" s="248">
        <v>0.73</v>
      </c>
      <c r="N87" s="248">
        <v>0.73</v>
      </c>
      <c r="O87" s="248">
        <v>0.72</v>
      </c>
      <c r="P87" s="248">
        <v>0.71</v>
      </c>
      <c r="Q87" s="248">
        <v>0.71</v>
      </c>
      <c r="R87" s="248">
        <v>0.7</v>
      </c>
      <c r="S87" s="248">
        <v>0.69</v>
      </c>
      <c r="T87" s="248">
        <v>0.68</v>
      </c>
      <c r="U87" s="248">
        <v>0.68</v>
      </c>
      <c r="V87" s="248">
        <v>0.67</v>
      </c>
      <c r="W87" s="248">
        <v>0.66</v>
      </c>
      <c r="X87" s="248">
        <v>0.66</v>
      </c>
      <c r="Y87" s="248">
        <v>0.65</v>
      </c>
      <c r="Z87" s="248">
        <v>0.64</v>
      </c>
      <c r="AA87" s="248">
        <v>0.64</v>
      </c>
      <c r="AB87" s="248">
        <v>0.63</v>
      </c>
      <c r="AC87" s="248">
        <v>0.62</v>
      </c>
      <c r="AD87" s="248">
        <v>0.62</v>
      </c>
      <c r="AE87" s="248">
        <v>0.61</v>
      </c>
      <c r="AF87" s="248">
        <v>0.6</v>
      </c>
      <c r="AG87" s="248">
        <v>0.6</v>
      </c>
      <c r="AH87" s="248">
        <v>0.59</v>
      </c>
      <c r="AI87" s="248">
        <v>0.57999999999999996</v>
      </c>
      <c r="AJ87" s="248">
        <v>0.57999999999999996</v>
      </c>
      <c r="AK87" s="248">
        <v>0.56999999999999995</v>
      </c>
      <c r="AL87" s="248">
        <v>0.56000000000000005</v>
      </c>
      <c r="AM87" s="248">
        <v>0.56000000000000005</v>
      </c>
      <c r="AN87" s="248">
        <v>0.55000000000000004</v>
      </c>
      <c r="AO87" s="248">
        <v>0.54</v>
      </c>
      <c r="AP87" s="248">
        <v>0.54</v>
      </c>
      <c r="AQ87" s="248">
        <v>0.53</v>
      </c>
      <c r="AR87" s="248">
        <v>0.52</v>
      </c>
      <c r="AS87" s="248">
        <v>0.52</v>
      </c>
      <c r="AT87" s="248">
        <v>0.51</v>
      </c>
      <c r="AU87" s="248">
        <v>0.5</v>
      </c>
      <c r="AV87" s="248">
        <v>0.5</v>
      </c>
      <c r="AW87" s="248">
        <v>0.49</v>
      </c>
      <c r="AX87" s="248">
        <v>0.48</v>
      </c>
      <c r="AY87" s="248">
        <v>0.48</v>
      </c>
      <c r="AZ87" s="248">
        <v>0.47</v>
      </c>
      <c r="BA87" s="248">
        <v>0.46</v>
      </c>
      <c r="BB87" s="248">
        <v>0.46</v>
      </c>
      <c r="BC87" s="248">
        <v>0.45</v>
      </c>
      <c r="BD87" s="248">
        <v>0.44</v>
      </c>
      <c r="BE87" s="248">
        <v>0.44</v>
      </c>
      <c r="BF87" s="248">
        <v>0.43</v>
      </c>
      <c r="BG87" s="248">
        <v>0.42</v>
      </c>
      <c r="BH87" s="248">
        <v>0.42</v>
      </c>
      <c r="BI87" s="248">
        <v>0.41</v>
      </c>
      <c r="BJ87" s="248">
        <v>0.4</v>
      </c>
      <c r="BK87" s="247">
        <v>0</v>
      </c>
    </row>
    <row r="88" spans="1:63">
      <c r="A88" s="251">
        <v>6</v>
      </c>
      <c r="B88" s="239">
        <v>0.8</v>
      </c>
      <c r="C88" s="256">
        <v>0.8</v>
      </c>
      <c r="D88" s="256">
        <v>0.79</v>
      </c>
      <c r="E88" s="256">
        <v>0.78</v>
      </c>
      <c r="F88" s="256">
        <v>0.78</v>
      </c>
      <c r="G88" s="256">
        <v>0.77</v>
      </c>
      <c r="H88" s="256">
        <v>0.76</v>
      </c>
      <c r="I88" s="256">
        <v>0.76</v>
      </c>
      <c r="J88" s="256">
        <v>0.75</v>
      </c>
      <c r="K88" s="256">
        <v>0.74</v>
      </c>
      <c r="L88" s="256">
        <v>0.74</v>
      </c>
      <c r="M88" s="256">
        <v>0.73</v>
      </c>
      <c r="N88" s="256">
        <v>0.72</v>
      </c>
      <c r="O88" s="256">
        <v>0.72</v>
      </c>
      <c r="P88" s="256">
        <v>0.71</v>
      </c>
      <c r="Q88" s="256">
        <v>0.7</v>
      </c>
      <c r="R88" s="256">
        <v>0.7</v>
      </c>
      <c r="S88" s="256">
        <v>0.69</v>
      </c>
      <c r="T88" s="256">
        <v>0.68</v>
      </c>
      <c r="U88" s="256">
        <v>0.68</v>
      </c>
      <c r="V88" s="256">
        <v>0.67</v>
      </c>
      <c r="W88" s="256">
        <v>0.66</v>
      </c>
      <c r="X88" s="256">
        <v>0.66</v>
      </c>
      <c r="Y88" s="256">
        <v>0.65</v>
      </c>
      <c r="Z88" s="256">
        <v>0.64</v>
      </c>
      <c r="AA88" s="256">
        <v>0.64</v>
      </c>
      <c r="AB88" s="256">
        <v>0.63</v>
      </c>
      <c r="AC88" s="256">
        <v>0.62</v>
      </c>
      <c r="AD88" s="256">
        <v>0.62</v>
      </c>
      <c r="AE88" s="256">
        <v>0.61</v>
      </c>
      <c r="AF88" s="256">
        <v>0.6</v>
      </c>
      <c r="AG88" s="256">
        <v>0.6</v>
      </c>
      <c r="AH88" s="256">
        <v>0.59</v>
      </c>
      <c r="AI88" s="256">
        <v>0.57999999999999996</v>
      </c>
      <c r="AJ88" s="256">
        <v>0.57999999999999996</v>
      </c>
      <c r="AK88" s="256">
        <v>0.56999999999999995</v>
      </c>
      <c r="AL88" s="256">
        <v>0.56000000000000005</v>
      </c>
      <c r="AM88" s="256">
        <v>0.56000000000000005</v>
      </c>
      <c r="AN88" s="256">
        <v>0.55000000000000004</v>
      </c>
      <c r="AO88" s="256">
        <v>0.54</v>
      </c>
      <c r="AP88" s="256">
        <v>0.54</v>
      </c>
      <c r="AQ88" s="256">
        <v>0.53</v>
      </c>
      <c r="AR88" s="256">
        <v>0.52</v>
      </c>
      <c r="AS88" s="256">
        <v>0.52</v>
      </c>
      <c r="AT88" s="256">
        <v>0.51</v>
      </c>
      <c r="AU88" s="256">
        <v>0.5</v>
      </c>
      <c r="AV88" s="256">
        <v>0.5</v>
      </c>
      <c r="AW88" s="256">
        <v>0.49</v>
      </c>
      <c r="AX88" s="256">
        <v>0.48</v>
      </c>
      <c r="AY88" s="256">
        <v>0.48</v>
      </c>
      <c r="AZ88" s="256">
        <v>0.47</v>
      </c>
      <c r="BA88" s="256">
        <v>0.46</v>
      </c>
      <c r="BB88" s="256">
        <v>0.46</v>
      </c>
      <c r="BC88" s="256">
        <v>0.45</v>
      </c>
      <c r="BD88" s="256">
        <v>0.44</v>
      </c>
      <c r="BE88" s="256">
        <v>0.44</v>
      </c>
      <c r="BF88" s="256">
        <v>0.43</v>
      </c>
      <c r="BG88" s="256">
        <v>0.42</v>
      </c>
      <c r="BH88" s="256">
        <v>0.42</v>
      </c>
      <c r="BI88" s="256">
        <v>0.41</v>
      </c>
      <c r="BJ88" s="256">
        <v>0.4</v>
      </c>
      <c r="BK88" s="255">
        <v>0</v>
      </c>
    </row>
    <row r="89" spans="1:63">
      <c r="A89" s="251">
        <v>7</v>
      </c>
      <c r="B89" s="235">
        <v>0.8</v>
      </c>
      <c r="C89" s="201">
        <v>0.8</v>
      </c>
      <c r="D89" s="201">
        <v>0.79</v>
      </c>
      <c r="E89" s="201">
        <v>0.78</v>
      </c>
      <c r="F89" s="201">
        <v>0.78</v>
      </c>
      <c r="G89" s="201">
        <v>0.77</v>
      </c>
      <c r="H89" s="201">
        <v>0.76</v>
      </c>
      <c r="I89" s="201">
        <v>0.76</v>
      </c>
      <c r="J89" s="201">
        <v>0.75</v>
      </c>
      <c r="K89" s="201">
        <v>0.74</v>
      </c>
      <c r="L89" s="201">
        <v>0.74</v>
      </c>
      <c r="M89" s="201">
        <v>0.73</v>
      </c>
      <c r="N89" s="201">
        <v>0.72</v>
      </c>
      <c r="O89" s="201">
        <v>0.72</v>
      </c>
      <c r="P89" s="201">
        <v>0.71</v>
      </c>
      <c r="Q89" s="201">
        <v>0.7</v>
      </c>
      <c r="R89" s="201">
        <v>0.7</v>
      </c>
      <c r="S89" s="201">
        <v>0.69</v>
      </c>
      <c r="T89" s="201">
        <v>0.68</v>
      </c>
      <c r="U89" s="201">
        <v>0.68</v>
      </c>
      <c r="V89" s="201">
        <v>0.67</v>
      </c>
      <c r="W89" s="201">
        <v>0.66</v>
      </c>
      <c r="X89" s="201">
        <v>0.66</v>
      </c>
      <c r="Y89" s="201">
        <v>0.65</v>
      </c>
      <c r="Z89" s="201">
        <v>0.64</v>
      </c>
      <c r="AA89" s="201">
        <v>0.64</v>
      </c>
      <c r="AB89" s="201">
        <v>0.63</v>
      </c>
      <c r="AC89" s="201">
        <v>0.62</v>
      </c>
      <c r="AD89" s="201">
        <v>0.62</v>
      </c>
      <c r="AE89" s="201">
        <v>0.61</v>
      </c>
      <c r="AF89" s="201">
        <v>0.6</v>
      </c>
      <c r="AG89" s="201">
        <v>0.6</v>
      </c>
      <c r="AH89" s="201">
        <v>0.59</v>
      </c>
      <c r="AI89" s="201">
        <v>0.57999999999999996</v>
      </c>
      <c r="AJ89" s="201">
        <v>0.57999999999999996</v>
      </c>
      <c r="AK89" s="201">
        <v>0.56999999999999995</v>
      </c>
      <c r="AL89" s="201">
        <v>0.56000000000000005</v>
      </c>
      <c r="AM89" s="201">
        <v>0.55000000000000004</v>
      </c>
      <c r="AN89" s="201">
        <v>0.55000000000000004</v>
      </c>
      <c r="AO89" s="201">
        <v>0.54</v>
      </c>
      <c r="AP89" s="201">
        <v>0.53</v>
      </c>
      <c r="AQ89" s="201">
        <v>0.53</v>
      </c>
      <c r="AR89" s="201">
        <v>0.52</v>
      </c>
      <c r="AS89" s="201">
        <v>0.51</v>
      </c>
      <c r="AT89" s="201">
        <v>0.51</v>
      </c>
      <c r="AU89" s="201">
        <v>0.5</v>
      </c>
      <c r="AV89" s="201">
        <v>0.49</v>
      </c>
      <c r="AW89" s="201">
        <v>0.49</v>
      </c>
      <c r="AX89" s="201">
        <v>0.48</v>
      </c>
      <c r="AY89" s="201">
        <v>0.47</v>
      </c>
      <c r="AZ89" s="201">
        <v>0.47</v>
      </c>
      <c r="BA89" s="201">
        <v>0.46</v>
      </c>
      <c r="BB89" s="201">
        <v>0.45</v>
      </c>
      <c r="BC89" s="201">
        <v>0.45</v>
      </c>
      <c r="BD89" s="201">
        <v>0.44</v>
      </c>
      <c r="BE89" s="201">
        <v>0.43</v>
      </c>
      <c r="BF89" s="201">
        <v>0.43</v>
      </c>
      <c r="BG89" s="201">
        <v>0.42</v>
      </c>
      <c r="BH89" s="201">
        <v>0.41</v>
      </c>
      <c r="BI89" s="201">
        <v>0.41</v>
      </c>
      <c r="BJ89" s="201">
        <v>0.4</v>
      </c>
      <c r="BK89" s="252">
        <v>0</v>
      </c>
    </row>
    <row r="90" spans="1:63">
      <c r="A90" s="251">
        <v>8</v>
      </c>
      <c r="B90" s="235">
        <v>0.8</v>
      </c>
      <c r="C90" s="201">
        <v>0.8</v>
      </c>
      <c r="D90" s="201">
        <v>0.79</v>
      </c>
      <c r="E90" s="201">
        <v>0.78</v>
      </c>
      <c r="F90" s="201">
        <v>0.78</v>
      </c>
      <c r="G90" s="201">
        <v>0.77</v>
      </c>
      <c r="H90" s="201">
        <v>0.76</v>
      </c>
      <c r="I90" s="201">
        <v>0.76</v>
      </c>
      <c r="J90" s="201">
        <v>0.75</v>
      </c>
      <c r="K90" s="201">
        <v>0.74</v>
      </c>
      <c r="L90" s="201">
        <v>0.74</v>
      </c>
      <c r="M90" s="201">
        <v>0.73</v>
      </c>
      <c r="N90" s="201">
        <v>0.72</v>
      </c>
      <c r="O90" s="201">
        <v>0.72</v>
      </c>
      <c r="P90" s="201">
        <v>0.71</v>
      </c>
      <c r="Q90" s="201">
        <v>0.7</v>
      </c>
      <c r="R90" s="201">
        <v>0.7</v>
      </c>
      <c r="S90" s="201">
        <v>0.69</v>
      </c>
      <c r="T90" s="201">
        <v>0.68</v>
      </c>
      <c r="U90" s="201">
        <v>0.68</v>
      </c>
      <c r="V90" s="201">
        <v>0.67</v>
      </c>
      <c r="W90" s="201">
        <v>0.66</v>
      </c>
      <c r="X90" s="201">
        <v>0.66</v>
      </c>
      <c r="Y90" s="201">
        <v>0.65</v>
      </c>
      <c r="Z90" s="201">
        <v>0.64</v>
      </c>
      <c r="AA90" s="201">
        <v>0.63</v>
      </c>
      <c r="AB90" s="201">
        <v>0.63</v>
      </c>
      <c r="AC90" s="201">
        <v>0.62</v>
      </c>
      <c r="AD90" s="201">
        <v>0.61</v>
      </c>
      <c r="AE90" s="201">
        <v>0.61</v>
      </c>
      <c r="AF90" s="201">
        <v>0.6</v>
      </c>
      <c r="AG90" s="201">
        <v>0.59</v>
      </c>
      <c r="AH90" s="201">
        <v>0.59</v>
      </c>
      <c r="AI90" s="201">
        <v>0.57999999999999996</v>
      </c>
      <c r="AJ90" s="201">
        <v>0.56999999999999995</v>
      </c>
      <c r="AK90" s="201">
        <v>0.56999999999999995</v>
      </c>
      <c r="AL90" s="201">
        <v>0.56000000000000005</v>
      </c>
      <c r="AM90" s="201">
        <v>0.55000000000000004</v>
      </c>
      <c r="AN90" s="201">
        <v>0.55000000000000004</v>
      </c>
      <c r="AO90" s="201">
        <v>0.54</v>
      </c>
      <c r="AP90" s="201">
        <v>0.53</v>
      </c>
      <c r="AQ90" s="201">
        <v>0.53</v>
      </c>
      <c r="AR90" s="201">
        <v>0.52</v>
      </c>
      <c r="AS90" s="201">
        <v>0.51</v>
      </c>
      <c r="AT90" s="201">
        <v>0.51</v>
      </c>
      <c r="AU90" s="201">
        <v>0.5</v>
      </c>
      <c r="AV90" s="201">
        <v>0.49</v>
      </c>
      <c r="AW90" s="201">
        <v>0.49</v>
      </c>
      <c r="AX90" s="201">
        <v>0.48</v>
      </c>
      <c r="AY90" s="201">
        <v>0.47</v>
      </c>
      <c r="AZ90" s="201">
        <v>0.47</v>
      </c>
      <c r="BA90" s="201">
        <v>0.46</v>
      </c>
      <c r="BB90" s="201">
        <v>0.45</v>
      </c>
      <c r="BC90" s="201">
        <v>0.45</v>
      </c>
      <c r="BD90" s="201">
        <v>0.44</v>
      </c>
      <c r="BE90" s="201">
        <v>0.43</v>
      </c>
      <c r="BF90" s="201">
        <v>0.43</v>
      </c>
      <c r="BG90" s="201">
        <v>0.42</v>
      </c>
      <c r="BH90" s="201">
        <v>0.41</v>
      </c>
      <c r="BI90" s="201">
        <v>0.41</v>
      </c>
      <c r="BJ90" s="201">
        <v>0.4</v>
      </c>
      <c r="BK90" s="252">
        <v>0</v>
      </c>
    </row>
    <row r="91" spans="1:63">
      <c r="A91" s="251">
        <v>9</v>
      </c>
      <c r="B91" s="235">
        <v>0.8</v>
      </c>
      <c r="C91" s="201">
        <v>0.8</v>
      </c>
      <c r="D91" s="201">
        <v>0.79</v>
      </c>
      <c r="E91" s="201">
        <v>0.78</v>
      </c>
      <c r="F91" s="201">
        <v>0.78</v>
      </c>
      <c r="G91" s="201">
        <v>0.77</v>
      </c>
      <c r="H91" s="201">
        <v>0.76</v>
      </c>
      <c r="I91" s="201">
        <v>0.76</v>
      </c>
      <c r="J91" s="201">
        <v>0.75</v>
      </c>
      <c r="K91" s="201">
        <v>0.74</v>
      </c>
      <c r="L91" s="201">
        <v>0.74</v>
      </c>
      <c r="M91" s="201">
        <v>0.73</v>
      </c>
      <c r="N91" s="201">
        <v>0.72</v>
      </c>
      <c r="O91" s="201">
        <v>0.72</v>
      </c>
      <c r="P91" s="201">
        <v>0.71</v>
      </c>
      <c r="Q91" s="201">
        <v>0.7</v>
      </c>
      <c r="R91" s="201">
        <v>0.69</v>
      </c>
      <c r="S91" s="201">
        <v>0.69</v>
      </c>
      <c r="T91" s="201">
        <v>0.68</v>
      </c>
      <c r="U91" s="201">
        <v>0.67</v>
      </c>
      <c r="V91" s="201">
        <v>0.67</v>
      </c>
      <c r="W91" s="201">
        <v>0.66</v>
      </c>
      <c r="X91" s="201">
        <v>0.65</v>
      </c>
      <c r="Y91" s="201">
        <v>0.65</v>
      </c>
      <c r="Z91" s="201">
        <v>0.64</v>
      </c>
      <c r="AA91" s="201">
        <v>0.63</v>
      </c>
      <c r="AB91" s="201">
        <v>0.63</v>
      </c>
      <c r="AC91" s="201">
        <v>0.62</v>
      </c>
      <c r="AD91" s="201">
        <v>0.61</v>
      </c>
      <c r="AE91" s="201">
        <v>0.61</v>
      </c>
      <c r="AF91" s="201">
        <v>0.6</v>
      </c>
      <c r="AG91" s="201">
        <v>0.59</v>
      </c>
      <c r="AH91" s="201">
        <v>0.59</v>
      </c>
      <c r="AI91" s="201">
        <v>0.57999999999999996</v>
      </c>
      <c r="AJ91" s="201">
        <v>0.56999999999999995</v>
      </c>
      <c r="AK91" s="201">
        <v>0.56999999999999995</v>
      </c>
      <c r="AL91" s="201">
        <v>0.56000000000000005</v>
      </c>
      <c r="AM91" s="201">
        <v>0.55000000000000004</v>
      </c>
      <c r="AN91" s="201">
        <v>0.54</v>
      </c>
      <c r="AO91" s="201">
        <v>0.54</v>
      </c>
      <c r="AP91" s="201">
        <v>0.53</v>
      </c>
      <c r="AQ91" s="201">
        <v>0.52</v>
      </c>
      <c r="AR91" s="201">
        <v>0.52</v>
      </c>
      <c r="AS91" s="201">
        <v>0.51</v>
      </c>
      <c r="AT91" s="201">
        <v>0.5</v>
      </c>
      <c r="AU91" s="201">
        <v>0.5</v>
      </c>
      <c r="AV91" s="201">
        <v>0.49</v>
      </c>
      <c r="AW91" s="201">
        <v>0.48</v>
      </c>
      <c r="AX91" s="201">
        <v>0.48</v>
      </c>
      <c r="AY91" s="201">
        <v>0.47</v>
      </c>
      <c r="AZ91" s="201">
        <v>0.46</v>
      </c>
      <c r="BA91" s="201">
        <v>0.46</v>
      </c>
      <c r="BB91" s="201">
        <v>0.45</v>
      </c>
      <c r="BC91" s="201">
        <v>0.44</v>
      </c>
      <c r="BD91" s="201">
        <v>0.44</v>
      </c>
      <c r="BE91" s="201">
        <v>0.43</v>
      </c>
      <c r="BF91" s="201">
        <v>0.42</v>
      </c>
      <c r="BG91" s="201">
        <v>0.42</v>
      </c>
      <c r="BH91" s="201">
        <v>0.41</v>
      </c>
      <c r="BI91" s="201">
        <v>0.4</v>
      </c>
      <c r="BJ91" s="201">
        <v>0.4</v>
      </c>
      <c r="BK91" s="252">
        <v>0</v>
      </c>
    </row>
    <row r="92" spans="1:63">
      <c r="A92" s="251">
        <v>10</v>
      </c>
      <c r="B92" s="230">
        <v>0.79</v>
      </c>
      <c r="C92" s="248">
        <v>0.79</v>
      </c>
      <c r="D92" s="248">
        <v>0.79</v>
      </c>
      <c r="E92" s="248">
        <v>0.78</v>
      </c>
      <c r="F92" s="248">
        <v>0.77</v>
      </c>
      <c r="G92" s="248">
        <v>0.77</v>
      </c>
      <c r="H92" s="248">
        <v>0.76</v>
      </c>
      <c r="I92" s="248">
        <v>0.75</v>
      </c>
      <c r="J92" s="248">
        <v>0.75</v>
      </c>
      <c r="K92" s="248">
        <v>0.74</v>
      </c>
      <c r="L92" s="248">
        <v>0.73</v>
      </c>
      <c r="M92" s="248">
        <v>0.73</v>
      </c>
      <c r="N92" s="248">
        <v>0.72</v>
      </c>
      <c r="O92" s="248">
        <v>0.71</v>
      </c>
      <c r="P92" s="248">
        <v>0.71</v>
      </c>
      <c r="Q92" s="248">
        <v>0.7</v>
      </c>
      <c r="R92" s="248">
        <v>0.69</v>
      </c>
      <c r="S92" s="248">
        <v>0.69</v>
      </c>
      <c r="T92" s="248">
        <v>0.68</v>
      </c>
      <c r="U92" s="248">
        <v>0.67</v>
      </c>
      <c r="V92" s="248">
        <v>0.67</v>
      </c>
      <c r="W92" s="248">
        <v>0.66</v>
      </c>
      <c r="X92" s="248">
        <v>0.65</v>
      </c>
      <c r="Y92" s="248">
        <v>0.65</v>
      </c>
      <c r="Z92" s="248">
        <v>0.64</v>
      </c>
      <c r="AA92" s="248">
        <v>0.63</v>
      </c>
      <c r="AB92" s="248">
        <v>0.63</v>
      </c>
      <c r="AC92" s="248">
        <v>0.62</v>
      </c>
      <c r="AD92" s="248">
        <v>0.61</v>
      </c>
      <c r="AE92" s="248">
        <v>0.6</v>
      </c>
      <c r="AF92" s="248">
        <v>0.6</v>
      </c>
      <c r="AG92" s="248">
        <v>0.59</v>
      </c>
      <c r="AH92" s="248">
        <v>0.57999999999999996</v>
      </c>
      <c r="AI92" s="248">
        <v>0.57999999999999996</v>
      </c>
      <c r="AJ92" s="248">
        <v>0.56999999999999995</v>
      </c>
      <c r="AK92" s="248">
        <v>0.56000000000000005</v>
      </c>
      <c r="AL92" s="248">
        <v>0.56000000000000005</v>
      </c>
      <c r="AM92" s="248">
        <v>0.55000000000000004</v>
      </c>
      <c r="AN92" s="248">
        <v>0.54</v>
      </c>
      <c r="AO92" s="248">
        <v>0.54</v>
      </c>
      <c r="AP92" s="248">
        <v>0.53</v>
      </c>
      <c r="AQ92" s="248">
        <v>0.52</v>
      </c>
      <c r="AR92" s="248">
        <v>0.52</v>
      </c>
      <c r="AS92" s="248">
        <v>0.51</v>
      </c>
      <c r="AT92" s="248">
        <v>0.5</v>
      </c>
      <c r="AU92" s="248">
        <v>0.49</v>
      </c>
      <c r="AV92" s="248">
        <v>0.49</v>
      </c>
      <c r="AW92" s="248">
        <v>0.48</v>
      </c>
      <c r="AX92" s="248">
        <v>0.47</v>
      </c>
      <c r="AY92" s="248">
        <v>0.47</v>
      </c>
      <c r="AZ92" s="248">
        <v>0.46</v>
      </c>
      <c r="BA92" s="248">
        <v>0.45</v>
      </c>
      <c r="BB92" s="248">
        <v>0.45</v>
      </c>
      <c r="BC92" s="248">
        <v>0.44</v>
      </c>
      <c r="BD92" s="248">
        <v>0.43</v>
      </c>
      <c r="BE92" s="248">
        <v>0.43</v>
      </c>
      <c r="BF92" s="248">
        <v>0.42</v>
      </c>
      <c r="BG92" s="248">
        <v>0.41</v>
      </c>
      <c r="BH92" s="248">
        <v>0.41</v>
      </c>
      <c r="BI92" s="248">
        <v>0.4</v>
      </c>
      <c r="BJ92" s="248">
        <v>0.39</v>
      </c>
      <c r="BK92" s="247">
        <v>0</v>
      </c>
    </row>
    <row r="93" spans="1:63">
      <c r="A93" s="251">
        <v>11</v>
      </c>
      <c r="B93" s="235">
        <v>0.79</v>
      </c>
      <c r="C93" s="201">
        <v>0.79</v>
      </c>
      <c r="D93" s="201">
        <v>0.79</v>
      </c>
      <c r="E93" s="201">
        <v>0.78</v>
      </c>
      <c r="F93" s="253">
        <v>0.77</v>
      </c>
      <c r="G93" s="253">
        <v>0.77</v>
      </c>
      <c r="H93" s="253">
        <v>0.76</v>
      </c>
      <c r="I93" s="253">
        <v>0.75</v>
      </c>
      <c r="J93" s="253">
        <v>0.75</v>
      </c>
      <c r="K93" s="253">
        <v>0.74</v>
      </c>
      <c r="L93" s="253">
        <v>0.73</v>
      </c>
      <c r="M93" s="201">
        <v>0.73</v>
      </c>
      <c r="N93" s="201">
        <v>0.72</v>
      </c>
      <c r="O93" s="253">
        <v>0.71</v>
      </c>
      <c r="P93" s="256">
        <v>0.71</v>
      </c>
      <c r="Q93" s="256">
        <v>0.7</v>
      </c>
      <c r="R93" s="256">
        <v>0.69</v>
      </c>
      <c r="S93" s="256">
        <v>0.69</v>
      </c>
      <c r="T93" s="256">
        <v>0.68</v>
      </c>
      <c r="U93" s="256">
        <v>0.67</v>
      </c>
      <c r="V93" s="256">
        <v>0.66</v>
      </c>
      <c r="W93" s="256">
        <v>0.66</v>
      </c>
      <c r="X93" s="256">
        <v>0.65</v>
      </c>
      <c r="Y93" s="256">
        <v>0.64</v>
      </c>
      <c r="Z93" s="256">
        <v>0.64</v>
      </c>
      <c r="AA93" s="256">
        <v>0.63</v>
      </c>
      <c r="AB93" s="256">
        <v>0.62</v>
      </c>
      <c r="AC93" s="256">
        <v>0.62</v>
      </c>
      <c r="AD93" s="256">
        <v>0.61</v>
      </c>
      <c r="AE93" s="256">
        <v>0.6</v>
      </c>
      <c r="AF93" s="256">
        <v>0.6</v>
      </c>
      <c r="AG93" s="256">
        <v>0.59</v>
      </c>
      <c r="AH93" s="256">
        <v>0.57999999999999996</v>
      </c>
      <c r="AI93" s="256">
        <v>0.57999999999999996</v>
      </c>
      <c r="AJ93" s="256">
        <v>0.56999999999999995</v>
      </c>
      <c r="AK93" s="256">
        <v>0.56000000000000005</v>
      </c>
      <c r="AL93" s="256">
        <v>0.55000000000000004</v>
      </c>
      <c r="AM93" s="256">
        <v>0.55000000000000004</v>
      </c>
      <c r="AN93" s="256">
        <v>0.54</v>
      </c>
      <c r="AO93" s="256">
        <v>0.53</v>
      </c>
      <c r="AP93" s="256">
        <v>0.53</v>
      </c>
      <c r="AQ93" s="256">
        <v>0.52</v>
      </c>
      <c r="AR93" s="256">
        <v>0.51</v>
      </c>
      <c r="AS93" s="256">
        <v>0.51</v>
      </c>
      <c r="AT93" s="256">
        <v>0.5</v>
      </c>
      <c r="AU93" s="256">
        <v>0.49</v>
      </c>
      <c r="AV93" s="256">
        <v>0.49</v>
      </c>
      <c r="AW93" s="256">
        <v>0.48</v>
      </c>
      <c r="AX93" s="256">
        <v>0.47</v>
      </c>
      <c r="AY93" s="256">
        <v>0.46</v>
      </c>
      <c r="AZ93" s="256">
        <v>0.46</v>
      </c>
      <c r="BA93" s="256">
        <v>0.45</v>
      </c>
      <c r="BB93" s="256">
        <v>0.44</v>
      </c>
      <c r="BC93" s="256">
        <v>0.44</v>
      </c>
      <c r="BD93" s="256">
        <v>0.43</v>
      </c>
      <c r="BE93" s="256">
        <v>0.42</v>
      </c>
      <c r="BF93" s="256">
        <v>0.42</v>
      </c>
      <c r="BG93" s="256">
        <v>0.41</v>
      </c>
      <c r="BH93" s="256">
        <v>0.4</v>
      </c>
      <c r="BI93" s="256">
        <v>0.4</v>
      </c>
      <c r="BJ93" s="256">
        <v>0.39</v>
      </c>
      <c r="BK93" s="255">
        <v>0</v>
      </c>
    </row>
    <row r="94" spans="1:63">
      <c r="A94" s="251">
        <v>12</v>
      </c>
      <c r="B94" s="235">
        <v>0.79</v>
      </c>
      <c r="C94" s="201">
        <v>0.79</v>
      </c>
      <c r="D94" s="201">
        <v>0.79</v>
      </c>
      <c r="E94" s="201">
        <v>0.78</v>
      </c>
      <c r="F94" s="253">
        <v>0.77</v>
      </c>
      <c r="G94" s="253">
        <v>0.77</v>
      </c>
      <c r="H94" s="253">
        <v>0.76</v>
      </c>
      <c r="I94" s="253">
        <v>0.75</v>
      </c>
      <c r="J94" s="253">
        <v>0.75</v>
      </c>
      <c r="K94" s="253">
        <v>0.74</v>
      </c>
      <c r="L94" s="253">
        <v>0.73</v>
      </c>
      <c r="M94" s="201">
        <v>0.72</v>
      </c>
      <c r="N94" s="201">
        <v>0.72</v>
      </c>
      <c r="O94" s="201">
        <v>0.71</v>
      </c>
      <c r="P94" s="201">
        <v>0.7</v>
      </c>
      <c r="Q94" s="201">
        <v>0.7</v>
      </c>
      <c r="R94" s="201">
        <v>0.69</v>
      </c>
      <c r="S94" s="201">
        <v>0.68</v>
      </c>
      <c r="T94" s="201">
        <v>0.68</v>
      </c>
      <c r="U94" s="201">
        <v>0.67</v>
      </c>
      <c r="V94" s="201">
        <v>0.66</v>
      </c>
      <c r="W94" s="201">
        <v>0.66</v>
      </c>
      <c r="X94" s="201">
        <v>0.65</v>
      </c>
      <c r="Y94" s="201">
        <v>0.64</v>
      </c>
      <c r="Z94" s="201">
        <v>0.64</v>
      </c>
      <c r="AA94" s="201">
        <v>0.63</v>
      </c>
      <c r="AB94" s="201">
        <v>0.62</v>
      </c>
      <c r="AC94" s="201">
        <v>0.61</v>
      </c>
      <c r="AD94" s="201">
        <v>0.61</v>
      </c>
      <c r="AE94" s="201">
        <v>0.6</v>
      </c>
      <c r="AF94" s="201">
        <v>0.59</v>
      </c>
      <c r="AG94" s="201">
        <v>0.59</v>
      </c>
      <c r="AH94" s="201">
        <v>0.57999999999999996</v>
      </c>
      <c r="AI94" s="201">
        <v>0.56999999999999995</v>
      </c>
      <c r="AJ94" s="201">
        <v>0.56999999999999995</v>
      </c>
      <c r="AK94" s="201">
        <v>0.56000000000000005</v>
      </c>
      <c r="AL94" s="201">
        <v>0.55000000000000004</v>
      </c>
      <c r="AM94" s="201">
        <v>0.55000000000000004</v>
      </c>
      <c r="AN94" s="201">
        <v>0.54</v>
      </c>
      <c r="AO94" s="201">
        <v>0.53</v>
      </c>
      <c r="AP94" s="201">
        <v>0.52</v>
      </c>
      <c r="AQ94" s="201">
        <v>0.52</v>
      </c>
      <c r="AR94" s="201">
        <v>0.51</v>
      </c>
      <c r="AS94" s="201">
        <v>0.5</v>
      </c>
      <c r="AT94" s="201">
        <v>0.5</v>
      </c>
      <c r="AU94" s="201">
        <v>0.49</v>
      </c>
      <c r="AV94" s="201">
        <v>0.48</v>
      </c>
      <c r="AW94" s="201">
        <v>0.48</v>
      </c>
      <c r="AX94" s="201">
        <v>0.47</v>
      </c>
      <c r="AY94" s="201">
        <v>0.46</v>
      </c>
      <c r="AZ94" s="201">
        <v>0.46</v>
      </c>
      <c r="BA94" s="201">
        <v>0.45</v>
      </c>
      <c r="BB94" s="201">
        <v>0.44</v>
      </c>
      <c r="BC94" s="201">
        <v>0.43</v>
      </c>
      <c r="BD94" s="201">
        <v>0.43</v>
      </c>
      <c r="BE94" s="201">
        <v>0.42</v>
      </c>
      <c r="BF94" s="201">
        <v>0.41</v>
      </c>
      <c r="BG94" s="201">
        <v>0.41</v>
      </c>
      <c r="BH94" s="201">
        <v>0.4</v>
      </c>
      <c r="BI94" s="201">
        <v>0.39</v>
      </c>
      <c r="BJ94" s="201">
        <v>0.39</v>
      </c>
      <c r="BK94" s="252">
        <v>0</v>
      </c>
    </row>
    <row r="95" spans="1:63">
      <c r="A95" s="251">
        <v>13</v>
      </c>
      <c r="B95" s="235">
        <v>0.79</v>
      </c>
      <c r="C95" s="201">
        <v>0.79</v>
      </c>
      <c r="D95" s="201">
        <v>0.78</v>
      </c>
      <c r="E95" s="201">
        <v>0.78</v>
      </c>
      <c r="F95" s="253">
        <v>0.77</v>
      </c>
      <c r="G95" s="253">
        <v>0.76</v>
      </c>
      <c r="H95" s="253">
        <v>0.76</v>
      </c>
      <c r="I95" s="253">
        <v>0.75</v>
      </c>
      <c r="J95" s="253">
        <v>0.74</v>
      </c>
      <c r="K95" s="253">
        <v>0.74</v>
      </c>
      <c r="L95" s="253">
        <v>0.73</v>
      </c>
      <c r="M95" s="201">
        <v>0.72</v>
      </c>
      <c r="N95" s="201">
        <v>0.72</v>
      </c>
      <c r="O95" s="201">
        <v>0.71</v>
      </c>
      <c r="P95" s="201">
        <v>0.7</v>
      </c>
      <c r="Q95" s="201">
        <v>0.7</v>
      </c>
      <c r="R95" s="201">
        <v>0.69</v>
      </c>
      <c r="S95" s="201">
        <v>0.68</v>
      </c>
      <c r="T95" s="201">
        <v>0.68</v>
      </c>
      <c r="U95" s="201">
        <v>0.67</v>
      </c>
      <c r="V95" s="201">
        <v>0.66</v>
      </c>
      <c r="W95" s="201">
        <v>0.65</v>
      </c>
      <c r="X95" s="201">
        <v>0.65</v>
      </c>
      <c r="Y95" s="201">
        <v>0.64</v>
      </c>
      <c r="Z95" s="201">
        <v>0.63</v>
      </c>
      <c r="AA95" s="201">
        <v>0.63</v>
      </c>
      <c r="AB95" s="201">
        <v>0.62</v>
      </c>
      <c r="AC95" s="201">
        <v>0.61</v>
      </c>
      <c r="AD95" s="201">
        <v>0.61</v>
      </c>
      <c r="AE95" s="201">
        <v>0.6</v>
      </c>
      <c r="AF95" s="201">
        <v>0.59</v>
      </c>
      <c r="AG95" s="201">
        <v>0.57999999999999996</v>
      </c>
      <c r="AH95" s="201">
        <v>0.57999999999999996</v>
      </c>
      <c r="AI95" s="201">
        <v>0.56999999999999995</v>
      </c>
      <c r="AJ95" s="201">
        <v>0.56000000000000005</v>
      </c>
      <c r="AK95" s="201">
        <v>0.56000000000000005</v>
      </c>
      <c r="AL95" s="201">
        <v>0.55000000000000004</v>
      </c>
      <c r="AM95" s="201">
        <v>0.54</v>
      </c>
      <c r="AN95" s="201">
        <v>0.54</v>
      </c>
      <c r="AO95" s="201">
        <v>0.53</v>
      </c>
      <c r="AP95" s="201">
        <v>0.52</v>
      </c>
      <c r="AQ95" s="201">
        <v>0.51</v>
      </c>
      <c r="AR95" s="201">
        <v>0.51</v>
      </c>
      <c r="AS95" s="201">
        <v>0.5</v>
      </c>
      <c r="AT95" s="201">
        <v>0.49</v>
      </c>
      <c r="AU95" s="201">
        <v>0.49</v>
      </c>
      <c r="AV95" s="201">
        <v>0.48</v>
      </c>
      <c r="AW95" s="201">
        <v>0.47</v>
      </c>
      <c r="AX95" s="201">
        <v>0.47</v>
      </c>
      <c r="AY95" s="201">
        <v>0.46</v>
      </c>
      <c r="AZ95" s="201">
        <v>0.45</v>
      </c>
      <c r="BA95" s="201">
        <v>0.44</v>
      </c>
      <c r="BB95" s="201">
        <v>0.44</v>
      </c>
      <c r="BC95" s="201">
        <v>0.43</v>
      </c>
      <c r="BD95" s="201">
        <v>0.42</v>
      </c>
      <c r="BE95" s="201">
        <v>0.42</v>
      </c>
      <c r="BF95" s="201">
        <v>0.41</v>
      </c>
      <c r="BG95" s="201">
        <v>0.4</v>
      </c>
      <c r="BH95" s="201">
        <v>0.4</v>
      </c>
      <c r="BI95" s="201">
        <v>0.39</v>
      </c>
      <c r="BJ95" s="201">
        <v>0.39</v>
      </c>
      <c r="BK95" s="252">
        <v>0</v>
      </c>
    </row>
    <row r="96" spans="1:63">
      <c r="A96" s="251">
        <v>14</v>
      </c>
      <c r="B96" s="235">
        <v>0.79</v>
      </c>
      <c r="C96" s="201">
        <v>0.79</v>
      </c>
      <c r="D96" s="201">
        <v>0.78</v>
      </c>
      <c r="E96" s="201">
        <v>0.78</v>
      </c>
      <c r="F96" s="253">
        <v>0.77</v>
      </c>
      <c r="G96" s="253">
        <v>0.76</v>
      </c>
      <c r="H96" s="253">
        <v>0.76</v>
      </c>
      <c r="I96" s="253">
        <v>0.75</v>
      </c>
      <c r="J96" s="253">
        <v>0.74</v>
      </c>
      <c r="K96" s="253">
        <v>0.74</v>
      </c>
      <c r="L96" s="253">
        <v>0.73</v>
      </c>
      <c r="M96" s="201">
        <v>0.72</v>
      </c>
      <c r="N96" s="201">
        <v>0.71</v>
      </c>
      <c r="O96" s="201">
        <v>0.71</v>
      </c>
      <c r="P96" s="201">
        <v>0.7</v>
      </c>
      <c r="Q96" s="201">
        <v>0.69</v>
      </c>
      <c r="R96" s="201">
        <v>0.69</v>
      </c>
      <c r="S96" s="201">
        <v>0.68</v>
      </c>
      <c r="T96" s="201">
        <v>0.67</v>
      </c>
      <c r="U96" s="201">
        <v>0.67</v>
      </c>
      <c r="V96" s="201">
        <v>0.66</v>
      </c>
      <c r="W96" s="201">
        <v>0.65</v>
      </c>
      <c r="X96" s="201">
        <v>0.65</v>
      </c>
      <c r="Y96" s="201">
        <v>0.64</v>
      </c>
      <c r="Z96" s="201">
        <v>0.63</v>
      </c>
      <c r="AA96" s="201">
        <v>0.62</v>
      </c>
      <c r="AB96" s="201">
        <v>0.62</v>
      </c>
      <c r="AC96" s="201">
        <v>0.61</v>
      </c>
      <c r="AD96" s="201">
        <v>0.6</v>
      </c>
      <c r="AE96" s="201">
        <v>0.6</v>
      </c>
      <c r="AF96" s="201">
        <v>0.59</v>
      </c>
      <c r="AG96" s="201">
        <v>0.57999999999999996</v>
      </c>
      <c r="AH96" s="201">
        <v>0.56999999999999995</v>
      </c>
      <c r="AI96" s="201">
        <v>0.56999999999999995</v>
      </c>
      <c r="AJ96" s="201">
        <v>0.56000000000000005</v>
      </c>
      <c r="AK96" s="201">
        <v>0.55000000000000004</v>
      </c>
      <c r="AL96" s="201">
        <v>0.55000000000000004</v>
      </c>
      <c r="AM96" s="201">
        <v>0.54</v>
      </c>
      <c r="AN96" s="201">
        <v>0.53</v>
      </c>
      <c r="AO96" s="201">
        <v>0.53</v>
      </c>
      <c r="AP96" s="201">
        <v>0.52</v>
      </c>
      <c r="AQ96" s="201">
        <v>0.51</v>
      </c>
      <c r="AR96" s="201">
        <v>0.5</v>
      </c>
      <c r="AS96" s="201">
        <v>0.5</v>
      </c>
      <c r="AT96" s="201">
        <v>0.49</v>
      </c>
      <c r="AU96" s="201">
        <v>0.48</v>
      </c>
      <c r="AV96" s="201">
        <v>0.48</v>
      </c>
      <c r="AW96" s="201">
        <v>0.47</v>
      </c>
      <c r="AX96" s="201">
        <v>0.46</v>
      </c>
      <c r="AY96" s="201">
        <v>0.46</v>
      </c>
      <c r="AZ96" s="201">
        <v>0.45</v>
      </c>
      <c r="BA96" s="201">
        <v>0.44</v>
      </c>
      <c r="BB96" s="201">
        <v>0.43</v>
      </c>
      <c r="BC96" s="201">
        <v>0.43</v>
      </c>
      <c r="BD96" s="201">
        <v>0.42</v>
      </c>
      <c r="BE96" s="201">
        <v>0.41</v>
      </c>
      <c r="BF96" s="201">
        <v>0.41</v>
      </c>
      <c r="BG96" s="201">
        <v>0.4</v>
      </c>
      <c r="BH96" s="201">
        <v>0.39</v>
      </c>
      <c r="BI96" s="201">
        <v>0.39</v>
      </c>
      <c r="BJ96" s="201">
        <v>0.38</v>
      </c>
      <c r="BK96" s="252">
        <v>0</v>
      </c>
    </row>
    <row r="97" spans="1:63">
      <c r="A97" s="251">
        <v>15</v>
      </c>
      <c r="B97" s="230">
        <v>0.79</v>
      </c>
      <c r="C97" s="248">
        <v>0.79</v>
      </c>
      <c r="D97" s="248">
        <v>0.78</v>
      </c>
      <c r="E97" s="248">
        <v>0.77</v>
      </c>
      <c r="F97" s="249">
        <v>0.77</v>
      </c>
      <c r="G97" s="249">
        <v>0.76</v>
      </c>
      <c r="H97" s="249">
        <v>0.75</v>
      </c>
      <c r="I97" s="249">
        <v>0.75</v>
      </c>
      <c r="J97" s="249">
        <v>0.74</v>
      </c>
      <c r="K97" s="249">
        <v>0.73</v>
      </c>
      <c r="L97" s="249">
        <v>0.73</v>
      </c>
      <c r="M97" s="248">
        <v>0.72</v>
      </c>
      <c r="N97" s="248">
        <v>0.71</v>
      </c>
      <c r="O97" s="248">
        <v>0.71</v>
      </c>
      <c r="P97" s="248">
        <v>0.7</v>
      </c>
      <c r="Q97" s="248">
        <v>0.69</v>
      </c>
      <c r="R97" s="248">
        <v>0.69</v>
      </c>
      <c r="S97" s="248">
        <v>0.68</v>
      </c>
      <c r="T97" s="248">
        <v>0.67</v>
      </c>
      <c r="U97" s="248">
        <v>0.66</v>
      </c>
      <c r="V97" s="248">
        <v>0.66</v>
      </c>
      <c r="W97" s="248">
        <v>0.65</v>
      </c>
      <c r="X97" s="248">
        <v>0.64</v>
      </c>
      <c r="Y97" s="248">
        <v>0.64</v>
      </c>
      <c r="Z97" s="248">
        <v>0.63</v>
      </c>
      <c r="AA97" s="248">
        <v>0.62</v>
      </c>
      <c r="AB97" s="248">
        <v>0.61</v>
      </c>
      <c r="AC97" s="248">
        <v>0.61</v>
      </c>
      <c r="AD97" s="248">
        <v>0.6</v>
      </c>
      <c r="AE97" s="248">
        <v>0.59</v>
      </c>
      <c r="AF97" s="248">
        <v>0.59</v>
      </c>
      <c r="AG97" s="248">
        <v>0.57999999999999996</v>
      </c>
      <c r="AH97" s="248">
        <v>0.56999999999999995</v>
      </c>
      <c r="AI97" s="248">
        <v>0.56999999999999995</v>
      </c>
      <c r="AJ97" s="248">
        <v>0.56000000000000005</v>
      </c>
      <c r="AK97" s="248">
        <v>0.55000000000000004</v>
      </c>
      <c r="AL97" s="248">
        <v>0.54</v>
      </c>
      <c r="AM97" s="248">
        <v>0.54</v>
      </c>
      <c r="AN97" s="248">
        <v>0.53</v>
      </c>
      <c r="AO97" s="248">
        <v>0.52</v>
      </c>
      <c r="AP97" s="248">
        <v>0.51</v>
      </c>
      <c r="AQ97" s="248">
        <v>0.51</v>
      </c>
      <c r="AR97" s="248">
        <v>0.5</v>
      </c>
      <c r="AS97" s="248">
        <v>0.49</v>
      </c>
      <c r="AT97" s="248">
        <v>0.49</v>
      </c>
      <c r="AU97" s="248">
        <v>0.48</v>
      </c>
      <c r="AV97" s="248">
        <v>0.47</v>
      </c>
      <c r="AW97" s="248">
        <v>0.47</v>
      </c>
      <c r="AX97" s="248">
        <v>0.46</v>
      </c>
      <c r="AY97" s="248">
        <v>0.45</v>
      </c>
      <c r="AZ97" s="248">
        <v>0.44</v>
      </c>
      <c r="BA97" s="248">
        <v>0.44</v>
      </c>
      <c r="BB97" s="248">
        <v>0.43</v>
      </c>
      <c r="BC97" s="248">
        <v>0.42</v>
      </c>
      <c r="BD97" s="248">
        <v>0.42</v>
      </c>
      <c r="BE97" s="248">
        <v>0.41</v>
      </c>
      <c r="BF97" s="248">
        <v>0.4</v>
      </c>
      <c r="BG97" s="248">
        <v>0.4</v>
      </c>
      <c r="BH97" s="248">
        <v>0.39</v>
      </c>
      <c r="BI97" s="248">
        <v>0.38</v>
      </c>
      <c r="BJ97" s="248">
        <v>0.38</v>
      </c>
      <c r="BK97" s="247">
        <v>0</v>
      </c>
    </row>
    <row r="98" spans="1:63">
      <c r="A98" s="251">
        <v>16</v>
      </c>
      <c r="B98" s="258">
        <v>0.79</v>
      </c>
      <c r="C98" s="257">
        <v>0.79</v>
      </c>
      <c r="D98" s="257">
        <v>0.78</v>
      </c>
      <c r="E98" s="257">
        <v>0.77</v>
      </c>
      <c r="F98" s="257">
        <v>0.77</v>
      </c>
      <c r="G98" s="257">
        <v>0.76</v>
      </c>
      <c r="H98" s="257">
        <v>0.75</v>
      </c>
      <c r="I98" s="257">
        <v>0.75</v>
      </c>
      <c r="J98" s="257">
        <v>0.74</v>
      </c>
      <c r="K98" s="257">
        <v>0.73</v>
      </c>
      <c r="L98" s="257">
        <v>0.72</v>
      </c>
      <c r="M98" s="256">
        <v>0.72</v>
      </c>
      <c r="N98" s="256">
        <v>0.71</v>
      </c>
      <c r="O98" s="256">
        <v>0.7</v>
      </c>
      <c r="P98" s="256">
        <v>0.7</v>
      </c>
      <c r="Q98" s="256">
        <v>0.69</v>
      </c>
      <c r="R98" s="256">
        <v>0.68</v>
      </c>
      <c r="S98" s="256">
        <v>0.68</v>
      </c>
      <c r="T98" s="256">
        <v>0.67</v>
      </c>
      <c r="U98" s="256">
        <v>0.66</v>
      </c>
      <c r="V98" s="256">
        <v>0.65</v>
      </c>
      <c r="W98" s="256">
        <v>0.65</v>
      </c>
      <c r="X98" s="256">
        <v>0.64</v>
      </c>
      <c r="Y98" s="256">
        <v>0.63</v>
      </c>
      <c r="Z98" s="256">
        <v>0.63</v>
      </c>
      <c r="AA98" s="256">
        <v>0.62</v>
      </c>
      <c r="AB98" s="256">
        <v>0.61</v>
      </c>
      <c r="AC98" s="256">
        <v>0.61</v>
      </c>
      <c r="AD98" s="256">
        <v>0.6</v>
      </c>
      <c r="AE98" s="256">
        <v>0.59</v>
      </c>
      <c r="AF98" s="256">
        <v>0.57999999999999996</v>
      </c>
      <c r="AG98" s="256">
        <v>0.57999999999999996</v>
      </c>
      <c r="AH98" s="256">
        <v>0.56999999999999995</v>
      </c>
      <c r="AI98" s="256">
        <v>0.56000000000000005</v>
      </c>
      <c r="AJ98" s="256">
        <v>0.55000000000000004</v>
      </c>
      <c r="AK98" s="256">
        <v>0.55000000000000004</v>
      </c>
      <c r="AL98" s="256">
        <v>0.54</v>
      </c>
      <c r="AM98" s="256">
        <v>0.53</v>
      </c>
      <c r="AN98" s="256">
        <v>0.53</v>
      </c>
      <c r="AO98" s="256">
        <v>0.52</v>
      </c>
      <c r="AP98" s="256">
        <v>0.51</v>
      </c>
      <c r="AQ98" s="256">
        <v>0.5</v>
      </c>
      <c r="AR98" s="256">
        <v>0.5</v>
      </c>
      <c r="AS98" s="256">
        <v>0.49</v>
      </c>
      <c r="AT98" s="256">
        <v>0.48</v>
      </c>
      <c r="AU98" s="256">
        <v>0.48</v>
      </c>
      <c r="AV98" s="256">
        <v>0.47</v>
      </c>
      <c r="AW98" s="256">
        <v>0.46</v>
      </c>
      <c r="AX98" s="256">
        <v>0.45</v>
      </c>
      <c r="AY98" s="256">
        <v>0.45</v>
      </c>
      <c r="AZ98" s="256">
        <v>0.44</v>
      </c>
      <c r="BA98" s="256">
        <v>0.43</v>
      </c>
      <c r="BB98" s="256">
        <v>0.43</v>
      </c>
      <c r="BC98" s="256">
        <v>0.42</v>
      </c>
      <c r="BD98" s="256">
        <v>0.41</v>
      </c>
      <c r="BE98" s="256">
        <v>0.41</v>
      </c>
      <c r="BF98" s="256">
        <v>0.4</v>
      </c>
      <c r="BG98" s="256">
        <v>0.39</v>
      </c>
      <c r="BH98" s="256">
        <v>0.39</v>
      </c>
      <c r="BI98" s="256">
        <v>0.38</v>
      </c>
      <c r="BJ98" s="256">
        <v>0.37</v>
      </c>
      <c r="BK98" s="255">
        <v>0</v>
      </c>
    </row>
    <row r="99" spans="1:63">
      <c r="A99" s="251">
        <v>17</v>
      </c>
      <c r="B99" s="254">
        <v>0.79</v>
      </c>
      <c r="C99" s="253">
        <v>0.79</v>
      </c>
      <c r="D99" s="253">
        <v>0.78</v>
      </c>
      <c r="E99" s="253">
        <v>0.77</v>
      </c>
      <c r="F99" s="253">
        <v>0.76</v>
      </c>
      <c r="G99" s="253">
        <v>0.76</v>
      </c>
      <c r="H99" s="253">
        <v>0.75</v>
      </c>
      <c r="I99" s="253">
        <v>0.74</v>
      </c>
      <c r="J99" s="253">
        <v>0.74</v>
      </c>
      <c r="K99" s="253">
        <v>0.73</v>
      </c>
      <c r="L99" s="253">
        <v>0.72</v>
      </c>
      <c r="M99" s="201">
        <v>0.72</v>
      </c>
      <c r="N99" s="201">
        <v>0.71</v>
      </c>
      <c r="O99" s="201">
        <v>0.7</v>
      </c>
      <c r="P99" s="201">
        <v>0.69</v>
      </c>
      <c r="Q99" s="201">
        <v>0.69</v>
      </c>
      <c r="R99" s="201">
        <v>0.68</v>
      </c>
      <c r="S99" s="201">
        <v>0.67</v>
      </c>
      <c r="T99" s="201">
        <v>0.67</v>
      </c>
      <c r="U99" s="201">
        <v>0.66</v>
      </c>
      <c r="V99" s="201">
        <v>0.65</v>
      </c>
      <c r="W99" s="201">
        <v>0.65</v>
      </c>
      <c r="X99" s="201">
        <v>0.64</v>
      </c>
      <c r="Y99" s="201">
        <v>0.63</v>
      </c>
      <c r="Z99" s="201">
        <v>0.62</v>
      </c>
      <c r="AA99" s="201">
        <v>0.62</v>
      </c>
      <c r="AB99" s="201">
        <v>0.61</v>
      </c>
      <c r="AC99" s="201">
        <v>0.6</v>
      </c>
      <c r="AD99" s="201">
        <v>0.59</v>
      </c>
      <c r="AE99" s="201">
        <v>0.59</v>
      </c>
      <c r="AF99" s="201">
        <v>0.57999999999999996</v>
      </c>
      <c r="AG99" s="201">
        <v>0.56999999999999995</v>
      </c>
      <c r="AH99" s="201">
        <v>0.56999999999999995</v>
      </c>
      <c r="AI99" s="201">
        <v>0.56000000000000005</v>
      </c>
      <c r="AJ99" s="201">
        <v>0.55000000000000004</v>
      </c>
      <c r="AK99" s="201">
        <v>0.54</v>
      </c>
      <c r="AL99" s="201">
        <v>0.54</v>
      </c>
      <c r="AM99" s="201">
        <v>0.53</v>
      </c>
      <c r="AN99" s="201">
        <v>0.52</v>
      </c>
      <c r="AO99" s="201">
        <v>0.51</v>
      </c>
      <c r="AP99" s="201">
        <v>0.51</v>
      </c>
      <c r="AQ99" s="201">
        <v>0.5</v>
      </c>
      <c r="AR99" s="201">
        <v>0.49</v>
      </c>
      <c r="AS99" s="201">
        <v>0.49</v>
      </c>
      <c r="AT99" s="201">
        <v>0.48</v>
      </c>
      <c r="AU99" s="201">
        <v>0.47</v>
      </c>
      <c r="AV99" s="201">
        <v>0.46</v>
      </c>
      <c r="AW99" s="201">
        <v>0.46</v>
      </c>
      <c r="AX99" s="201">
        <v>0.45</v>
      </c>
      <c r="AY99" s="201">
        <v>0.44</v>
      </c>
      <c r="AZ99" s="201">
        <v>0.44</v>
      </c>
      <c r="BA99" s="201">
        <v>0.43</v>
      </c>
      <c r="BB99" s="201">
        <v>0.42</v>
      </c>
      <c r="BC99" s="201">
        <v>0.42</v>
      </c>
      <c r="BD99" s="201">
        <v>0.41</v>
      </c>
      <c r="BE99" s="201">
        <v>0.4</v>
      </c>
      <c r="BF99" s="201">
        <v>0.4</v>
      </c>
      <c r="BG99" s="201">
        <v>0.39</v>
      </c>
      <c r="BH99" s="201">
        <v>0.38</v>
      </c>
      <c r="BI99" s="201">
        <v>0.38</v>
      </c>
      <c r="BJ99" s="201">
        <v>0.37</v>
      </c>
      <c r="BK99" s="252">
        <v>0</v>
      </c>
    </row>
    <row r="100" spans="1:63">
      <c r="A100" s="251">
        <v>18</v>
      </c>
      <c r="B100" s="254">
        <v>0.78</v>
      </c>
      <c r="C100" s="253">
        <v>0.78</v>
      </c>
      <c r="D100" s="253">
        <v>0.78</v>
      </c>
      <c r="E100" s="253">
        <v>0.77</v>
      </c>
      <c r="F100" s="253">
        <v>0.76</v>
      </c>
      <c r="G100" s="253">
        <v>0.76</v>
      </c>
      <c r="H100" s="253">
        <v>0.75</v>
      </c>
      <c r="I100" s="253">
        <v>0.74</v>
      </c>
      <c r="J100" s="253">
        <v>0.73</v>
      </c>
      <c r="K100" s="253">
        <v>0.73</v>
      </c>
      <c r="L100" s="253">
        <v>0.72</v>
      </c>
      <c r="M100" s="201">
        <v>0.71</v>
      </c>
      <c r="N100" s="201">
        <v>0.71</v>
      </c>
      <c r="O100" s="201">
        <v>0.7</v>
      </c>
      <c r="P100" s="201">
        <v>0.69</v>
      </c>
      <c r="Q100" s="201">
        <v>0.69</v>
      </c>
      <c r="R100" s="201">
        <v>0.68</v>
      </c>
      <c r="S100" s="201">
        <v>0.67</v>
      </c>
      <c r="T100" s="201">
        <v>0.66</v>
      </c>
      <c r="U100" s="201">
        <v>0.66</v>
      </c>
      <c r="V100" s="201">
        <v>0.65</v>
      </c>
      <c r="W100" s="201">
        <v>0.64</v>
      </c>
      <c r="X100" s="201">
        <v>0.64</v>
      </c>
      <c r="Y100" s="201">
        <v>0.63</v>
      </c>
      <c r="Z100" s="201">
        <v>0.62</v>
      </c>
      <c r="AA100" s="201">
        <v>0.61</v>
      </c>
      <c r="AB100" s="201">
        <v>0.61</v>
      </c>
      <c r="AC100" s="201">
        <v>0.6</v>
      </c>
      <c r="AD100" s="201">
        <v>0.59</v>
      </c>
      <c r="AE100" s="201">
        <v>0.57999999999999996</v>
      </c>
      <c r="AF100" s="201">
        <v>0.57999999999999996</v>
      </c>
      <c r="AG100" s="201">
        <v>0.56999999999999995</v>
      </c>
      <c r="AH100" s="201">
        <v>0.56000000000000005</v>
      </c>
      <c r="AI100" s="201">
        <v>0.56000000000000005</v>
      </c>
      <c r="AJ100" s="201">
        <v>0.55000000000000004</v>
      </c>
      <c r="AK100" s="201">
        <v>0.54</v>
      </c>
      <c r="AL100" s="201">
        <v>0.53</v>
      </c>
      <c r="AM100" s="201">
        <v>0.53</v>
      </c>
      <c r="AN100" s="201">
        <v>0.52</v>
      </c>
      <c r="AO100" s="201">
        <v>0.51</v>
      </c>
      <c r="AP100" s="201">
        <v>0.5</v>
      </c>
      <c r="AQ100" s="201">
        <v>0.5</v>
      </c>
      <c r="AR100" s="201">
        <v>0.49</v>
      </c>
      <c r="AS100" s="201">
        <v>0.48</v>
      </c>
      <c r="AT100" s="201">
        <v>0.47</v>
      </c>
      <c r="AU100" s="201">
        <v>0.47</v>
      </c>
      <c r="AV100" s="201">
        <v>0.46</v>
      </c>
      <c r="AW100" s="201">
        <v>0.45</v>
      </c>
      <c r="AX100" s="201">
        <v>0.45</v>
      </c>
      <c r="AY100" s="201">
        <v>0.44</v>
      </c>
      <c r="AZ100" s="201">
        <v>0.43</v>
      </c>
      <c r="BA100" s="201">
        <v>0.42</v>
      </c>
      <c r="BB100" s="201">
        <v>0.42</v>
      </c>
      <c r="BC100" s="201">
        <v>0.41</v>
      </c>
      <c r="BD100" s="201">
        <v>0.4</v>
      </c>
      <c r="BE100" s="201">
        <v>0.4</v>
      </c>
      <c r="BF100" s="201">
        <v>0.39</v>
      </c>
      <c r="BG100" s="201">
        <v>0.38</v>
      </c>
      <c r="BH100" s="201">
        <v>0.38</v>
      </c>
      <c r="BI100" s="201">
        <v>0.37</v>
      </c>
      <c r="BJ100" s="201">
        <v>0.36</v>
      </c>
      <c r="BK100" s="252">
        <v>0</v>
      </c>
    </row>
    <row r="101" spans="1:63">
      <c r="A101" s="251">
        <v>19</v>
      </c>
      <c r="B101" s="254">
        <v>0.78</v>
      </c>
      <c r="C101" s="253">
        <v>0.78</v>
      </c>
      <c r="D101" s="253">
        <v>0.77</v>
      </c>
      <c r="E101" s="253">
        <v>0.77</v>
      </c>
      <c r="F101" s="253">
        <v>0.76</v>
      </c>
      <c r="G101" s="253">
        <v>0.75</v>
      </c>
      <c r="H101" s="253">
        <v>0.75</v>
      </c>
      <c r="I101" s="253">
        <v>0.74</v>
      </c>
      <c r="J101" s="253">
        <v>0.73</v>
      </c>
      <c r="K101" s="253">
        <v>0.73</v>
      </c>
      <c r="L101" s="253">
        <v>0.72</v>
      </c>
      <c r="M101" s="201">
        <v>0.71</v>
      </c>
      <c r="N101" s="201">
        <v>0.7</v>
      </c>
      <c r="O101" s="201">
        <v>0.7</v>
      </c>
      <c r="P101" s="201">
        <v>0.69</v>
      </c>
      <c r="Q101" s="201">
        <v>0.68</v>
      </c>
      <c r="R101" s="201">
        <v>0.68</v>
      </c>
      <c r="S101" s="201">
        <v>0.67</v>
      </c>
      <c r="T101" s="201">
        <v>0.66</v>
      </c>
      <c r="U101" s="201">
        <v>0.65</v>
      </c>
      <c r="V101" s="201">
        <v>0.65</v>
      </c>
      <c r="W101" s="201">
        <v>0.64</v>
      </c>
      <c r="X101" s="201">
        <v>0.63</v>
      </c>
      <c r="Y101" s="201">
        <v>0.62</v>
      </c>
      <c r="Z101" s="201">
        <v>0.62</v>
      </c>
      <c r="AA101" s="201">
        <v>0.61</v>
      </c>
      <c r="AB101" s="201">
        <v>0.6</v>
      </c>
      <c r="AC101" s="201">
        <v>0.6</v>
      </c>
      <c r="AD101" s="201">
        <v>0.59</v>
      </c>
      <c r="AE101" s="201">
        <v>0.57999999999999996</v>
      </c>
      <c r="AF101" s="201">
        <v>0.56999999999999995</v>
      </c>
      <c r="AG101" s="201">
        <v>0.56999999999999995</v>
      </c>
      <c r="AH101" s="201">
        <v>0.56000000000000005</v>
      </c>
      <c r="AI101" s="201">
        <v>0.55000000000000004</v>
      </c>
      <c r="AJ101" s="201">
        <v>0.54</v>
      </c>
      <c r="AK101" s="201">
        <v>0.54</v>
      </c>
      <c r="AL101" s="201">
        <v>0.53</v>
      </c>
      <c r="AM101" s="201">
        <v>0.52</v>
      </c>
      <c r="AN101" s="201">
        <v>0.51</v>
      </c>
      <c r="AO101" s="201">
        <v>0.51</v>
      </c>
      <c r="AP101" s="201">
        <v>0.5</v>
      </c>
      <c r="AQ101" s="201">
        <v>0.49</v>
      </c>
      <c r="AR101" s="201">
        <v>0.48</v>
      </c>
      <c r="AS101" s="201">
        <v>0.48</v>
      </c>
      <c r="AT101" s="201">
        <v>0.47</v>
      </c>
      <c r="AU101" s="201">
        <v>0.46</v>
      </c>
      <c r="AV101" s="201">
        <v>0.45</v>
      </c>
      <c r="AW101" s="201">
        <v>0.45</v>
      </c>
      <c r="AX101" s="201">
        <v>0.44</v>
      </c>
      <c r="AY101" s="201">
        <v>0.43</v>
      </c>
      <c r="AZ101" s="201">
        <v>0.43</v>
      </c>
      <c r="BA101" s="201">
        <v>0.42</v>
      </c>
      <c r="BB101" s="201">
        <v>0.41</v>
      </c>
      <c r="BC101" s="201">
        <v>0.41</v>
      </c>
      <c r="BD101" s="201">
        <v>0.4</v>
      </c>
      <c r="BE101" s="201">
        <v>0.39</v>
      </c>
      <c r="BF101" s="201">
        <v>0.39</v>
      </c>
      <c r="BG101" s="201">
        <v>0.38</v>
      </c>
      <c r="BH101" s="201">
        <v>0.37</v>
      </c>
      <c r="BI101" s="201">
        <v>0.37</v>
      </c>
      <c r="BJ101" s="201">
        <v>0.36</v>
      </c>
      <c r="BK101" s="252">
        <v>0</v>
      </c>
    </row>
    <row r="102" spans="1:63">
      <c r="A102" s="251">
        <v>20</v>
      </c>
      <c r="B102" s="250">
        <v>0.78</v>
      </c>
      <c r="C102" s="249">
        <v>0.78</v>
      </c>
      <c r="D102" s="249">
        <v>0.77</v>
      </c>
      <c r="E102" s="249">
        <v>0.77</v>
      </c>
      <c r="F102" s="249">
        <v>0.76</v>
      </c>
      <c r="G102" s="249">
        <v>0.75</v>
      </c>
      <c r="H102" s="249">
        <v>0.74</v>
      </c>
      <c r="I102" s="249">
        <v>0.74</v>
      </c>
      <c r="J102" s="249">
        <v>0.73</v>
      </c>
      <c r="K102" s="249">
        <v>0.72</v>
      </c>
      <c r="L102" s="249">
        <v>0.72</v>
      </c>
      <c r="M102" s="248">
        <v>0.71</v>
      </c>
      <c r="N102" s="248">
        <v>0.7</v>
      </c>
      <c r="O102" s="248">
        <v>0.69</v>
      </c>
      <c r="P102" s="248">
        <v>0.69</v>
      </c>
      <c r="Q102" s="248">
        <v>0.68</v>
      </c>
      <c r="R102" s="248">
        <v>0.67</v>
      </c>
      <c r="S102" s="248">
        <v>0.67</v>
      </c>
      <c r="T102" s="248">
        <v>0.66</v>
      </c>
      <c r="U102" s="248">
        <v>0.65</v>
      </c>
      <c r="V102" s="248">
        <v>0.64</v>
      </c>
      <c r="W102" s="248">
        <v>0.64</v>
      </c>
      <c r="X102" s="248">
        <v>0.63</v>
      </c>
      <c r="Y102" s="248">
        <v>0.62</v>
      </c>
      <c r="Z102" s="248">
        <v>0.61</v>
      </c>
      <c r="AA102" s="248">
        <v>0.61</v>
      </c>
      <c r="AB102" s="248">
        <v>0.6</v>
      </c>
      <c r="AC102" s="248">
        <v>0.59</v>
      </c>
      <c r="AD102" s="248">
        <v>0.57999999999999996</v>
      </c>
      <c r="AE102" s="248">
        <v>0.57999999999999996</v>
      </c>
      <c r="AF102" s="248">
        <v>0.56999999999999995</v>
      </c>
      <c r="AG102" s="248">
        <v>0.56000000000000005</v>
      </c>
      <c r="AH102" s="248">
        <v>0.55000000000000004</v>
      </c>
      <c r="AI102" s="248">
        <v>0.55000000000000004</v>
      </c>
      <c r="AJ102" s="248">
        <v>0.54</v>
      </c>
      <c r="AK102" s="248">
        <v>0.53</v>
      </c>
      <c r="AL102" s="248">
        <v>0.52</v>
      </c>
      <c r="AM102" s="248">
        <v>0.52</v>
      </c>
      <c r="AN102" s="248">
        <v>0.51</v>
      </c>
      <c r="AO102" s="248">
        <v>0.5</v>
      </c>
      <c r="AP102" s="248">
        <v>0.49</v>
      </c>
      <c r="AQ102" s="248">
        <v>0.49</v>
      </c>
      <c r="AR102" s="248">
        <v>0.48</v>
      </c>
      <c r="AS102" s="248">
        <v>0.47</v>
      </c>
      <c r="AT102" s="248">
        <v>0.46</v>
      </c>
      <c r="AU102" s="248">
        <v>0.46</v>
      </c>
      <c r="AV102" s="248">
        <v>0.45</v>
      </c>
      <c r="AW102" s="248">
        <v>0.44</v>
      </c>
      <c r="AX102" s="248">
        <v>0.43</v>
      </c>
      <c r="AY102" s="248">
        <v>0.43</v>
      </c>
      <c r="AZ102" s="248">
        <v>0.42</v>
      </c>
      <c r="BA102" s="248">
        <v>0.41</v>
      </c>
      <c r="BB102" s="248">
        <v>0.41</v>
      </c>
      <c r="BC102" s="248">
        <v>0.4</v>
      </c>
      <c r="BD102" s="248">
        <v>0.39</v>
      </c>
      <c r="BE102" s="248">
        <v>0.39</v>
      </c>
      <c r="BF102" s="248">
        <v>0.38</v>
      </c>
      <c r="BG102" s="248">
        <v>0.37</v>
      </c>
      <c r="BH102" s="248">
        <v>0.37</v>
      </c>
      <c r="BI102" s="248">
        <v>0.36</v>
      </c>
      <c r="BJ102" s="248">
        <v>0.35</v>
      </c>
      <c r="BK102" s="247">
        <v>0</v>
      </c>
    </row>
    <row r="103" spans="1:63">
      <c r="A103" s="251">
        <v>21</v>
      </c>
      <c r="B103" s="258">
        <v>0.78</v>
      </c>
      <c r="C103" s="257">
        <v>0.78</v>
      </c>
      <c r="D103" s="257">
        <v>0.77</v>
      </c>
      <c r="E103" s="257">
        <v>0.76</v>
      </c>
      <c r="F103" s="257">
        <v>0.76</v>
      </c>
      <c r="G103" s="257">
        <v>0.75</v>
      </c>
      <c r="H103" s="257">
        <v>0.74</v>
      </c>
      <c r="I103" s="257">
        <v>0.73</v>
      </c>
      <c r="J103" s="257">
        <v>0.73</v>
      </c>
      <c r="K103" s="257">
        <v>0.72</v>
      </c>
      <c r="L103" s="257">
        <v>0.71</v>
      </c>
      <c r="M103" s="256">
        <v>0.71</v>
      </c>
      <c r="N103" s="256">
        <v>0.7</v>
      </c>
      <c r="O103" s="256">
        <v>0.69</v>
      </c>
      <c r="P103" s="256">
        <v>0.68</v>
      </c>
      <c r="Q103" s="256">
        <v>0.68</v>
      </c>
      <c r="R103" s="256">
        <v>0.67</v>
      </c>
      <c r="S103" s="256">
        <v>0.66</v>
      </c>
      <c r="T103" s="256">
        <v>0.66</v>
      </c>
      <c r="U103" s="256">
        <v>0.65</v>
      </c>
      <c r="V103" s="256">
        <v>0.64</v>
      </c>
      <c r="W103" s="256">
        <v>0.63</v>
      </c>
      <c r="X103" s="256">
        <v>0.63</v>
      </c>
      <c r="Y103" s="256">
        <v>0.62</v>
      </c>
      <c r="Z103" s="256">
        <v>0.61</v>
      </c>
      <c r="AA103" s="256">
        <v>0.6</v>
      </c>
      <c r="AB103" s="256">
        <v>0.6</v>
      </c>
      <c r="AC103" s="256">
        <v>0.59</v>
      </c>
      <c r="AD103" s="256">
        <v>0.57999999999999996</v>
      </c>
      <c r="AE103" s="256">
        <v>0.56999999999999995</v>
      </c>
      <c r="AF103" s="256">
        <v>0.56999999999999995</v>
      </c>
      <c r="AG103" s="256">
        <v>0.56000000000000005</v>
      </c>
      <c r="AH103" s="256">
        <v>0.55000000000000004</v>
      </c>
      <c r="AI103" s="256">
        <v>0.54</v>
      </c>
      <c r="AJ103" s="256">
        <v>0.54</v>
      </c>
      <c r="AK103" s="256">
        <v>0.53</v>
      </c>
      <c r="AL103" s="256">
        <v>0.52</v>
      </c>
      <c r="AM103" s="256">
        <v>0.51</v>
      </c>
      <c r="AN103" s="256">
        <v>0.5</v>
      </c>
      <c r="AO103" s="256">
        <v>0.5</v>
      </c>
      <c r="AP103" s="256">
        <v>0.49</v>
      </c>
      <c r="AQ103" s="256">
        <v>0.48</v>
      </c>
      <c r="AR103" s="256">
        <v>0.47</v>
      </c>
      <c r="AS103" s="256">
        <v>0.47</v>
      </c>
      <c r="AT103" s="256">
        <v>0.46</v>
      </c>
      <c r="AU103" s="256">
        <v>0.45</v>
      </c>
      <c r="AV103" s="256">
        <v>0.44</v>
      </c>
      <c r="AW103" s="256">
        <v>0.44</v>
      </c>
      <c r="AX103" s="256">
        <v>0.43</v>
      </c>
      <c r="AY103" s="256">
        <v>0.42</v>
      </c>
      <c r="AZ103" s="256">
        <v>0.41</v>
      </c>
      <c r="BA103" s="256">
        <v>0.41</v>
      </c>
      <c r="BB103" s="256">
        <v>0.4</v>
      </c>
      <c r="BC103" s="256">
        <v>0.39</v>
      </c>
      <c r="BD103" s="256">
        <v>0.39</v>
      </c>
      <c r="BE103" s="256">
        <v>0.38</v>
      </c>
      <c r="BF103" s="256">
        <v>0.37</v>
      </c>
      <c r="BG103" s="256">
        <v>0.37</v>
      </c>
      <c r="BH103" s="256">
        <v>0.36</v>
      </c>
      <c r="BI103" s="256">
        <v>0.35</v>
      </c>
      <c r="BJ103" s="256">
        <v>0.35</v>
      </c>
      <c r="BK103" s="255">
        <v>0</v>
      </c>
    </row>
    <row r="104" spans="1:63">
      <c r="A104" s="251">
        <v>22</v>
      </c>
      <c r="B104" s="254">
        <v>0.77</v>
      </c>
      <c r="C104" s="253">
        <v>0.77</v>
      </c>
      <c r="D104" s="253">
        <v>0.77</v>
      </c>
      <c r="E104" s="253">
        <v>0.76</v>
      </c>
      <c r="F104" s="253">
        <v>0.75</v>
      </c>
      <c r="G104" s="253">
        <v>0.75</v>
      </c>
      <c r="H104" s="253">
        <v>0.74</v>
      </c>
      <c r="I104" s="253">
        <v>0.73</v>
      </c>
      <c r="J104" s="253">
        <v>0.72</v>
      </c>
      <c r="K104" s="253">
        <v>0.72</v>
      </c>
      <c r="L104" s="253">
        <v>0.71</v>
      </c>
      <c r="M104" s="201">
        <v>0.7</v>
      </c>
      <c r="N104" s="201">
        <v>0.7</v>
      </c>
      <c r="O104" s="201">
        <v>0.69</v>
      </c>
      <c r="P104" s="201">
        <v>0.68</v>
      </c>
      <c r="Q104" s="201">
        <v>0.67</v>
      </c>
      <c r="R104" s="201">
        <v>0.67</v>
      </c>
      <c r="S104" s="201">
        <v>0.66</v>
      </c>
      <c r="T104" s="201">
        <v>0.65</v>
      </c>
      <c r="U104" s="201">
        <v>0.64</v>
      </c>
      <c r="V104" s="201">
        <v>0.64</v>
      </c>
      <c r="W104" s="201">
        <v>0.63</v>
      </c>
      <c r="X104" s="201">
        <v>0.62</v>
      </c>
      <c r="Y104" s="201">
        <v>0.61</v>
      </c>
      <c r="Z104" s="201">
        <v>0.61</v>
      </c>
      <c r="AA104" s="201">
        <v>0.6</v>
      </c>
      <c r="AB104" s="201">
        <v>0.59</v>
      </c>
      <c r="AC104" s="201">
        <v>0.57999999999999996</v>
      </c>
      <c r="AD104" s="201">
        <v>0.57999999999999996</v>
      </c>
      <c r="AE104" s="201">
        <v>0.56999999999999995</v>
      </c>
      <c r="AF104" s="201">
        <v>0.56000000000000005</v>
      </c>
      <c r="AG104" s="201">
        <v>0.55000000000000004</v>
      </c>
      <c r="AH104" s="201">
        <v>0.55000000000000004</v>
      </c>
      <c r="AI104" s="201">
        <v>0.54</v>
      </c>
      <c r="AJ104" s="201">
        <v>0.53</v>
      </c>
      <c r="AK104" s="201">
        <v>0.52</v>
      </c>
      <c r="AL104" s="201">
        <v>0.52</v>
      </c>
      <c r="AM104" s="201">
        <v>0.51</v>
      </c>
      <c r="AN104" s="201">
        <v>0.5</v>
      </c>
      <c r="AO104" s="201">
        <v>0.49</v>
      </c>
      <c r="AP104" s="201">
        <v>0.48</v>
      </c>
      <c r="AQ104" s="201">
        <v>0.48</v>
      </c>
      <c r="AR104" s="201">
        <v>0.47</v>
      </c>
      <c r="AS104" s="201">
        <v>0.46</v>
      </c>
      <c r="AT104" s="201">
        <v>0.45</v>
      </c>
      <c r="AU104" s="201">
        <v>0.45</v>
      </c>
      <c r="AV104" s="201">
        <v>0.44</v>
      </c>
      <c r="AW104" s="201">
        <v>0.43</v>
      </c>
      <c r="AX104" s="201">
        <v>0.42</v>
      </c>
      <c r="AY104" s="201">
        <v>0.42</v>
      </c>
      <c r="AZ104" s="201">
        <v>0.41</v>
      </c>
      <c r="BA104" s="201">
        <v>0.4</v>
      </c>
      <c r="BB104" s="201">
        <v>0.39</v>
      </c>
      <c r="BC104" s="201">
        <v>0.39</v>
      </c>
      <c r="BD104" s="201">
        <v>0.38</v>
      </c>
      <c r="BE104" s="201">
        <v>0.37</v>
      </c>
      <c r="BF104" s="201">
        <v>0.37</v>
      </c>
      <c r="BG104" s="201">
        <v>0.36</v>
      </c>
      <c r="BH104" s="201">
        <v>0.35</v>
      </c>
      <c r="BI104" s="201">
        <v>0.35</v>
      </c>
      <c r="BJ104" s="201">
        <v>0.34</v>
      </c>
      <c r="BK104" s="252">
        <v>0</v>
      </c>
    </row>
    <row r="105" spans="1:63">
      <c r="A105" s="251">
        <v>23</v>
      </c>
      <c r="B105" s="254">
        <v>0.77</v>
      </c>
      <c r="C105" s="253">
        <v>0.77</v>
      </c>
      <c r="D105" s="253">
        <v>0.76</v>
      </c>
      <c r="E105" s="253">
        <v>0.76</v>
      </c>
      <c r="F105" s="253">
        <v>0.75</v>
      </c>
      <c r="G105" s="253">
        <v>0.74</v>
      </c>
      <c r="H105" s="253">
        <v>0.74</v>
      </c>
      <c r="I105" s="253">
        <v>0.73</v>
      </c>
      <c r="J105" s="253">
        <v>0.72</v>
      </c>
      <c r="K105" s="253">
        <v>0.71</v>
      </c>
      <c r="L105" s="253">
        <v>0.71</v>
      </c>
      <c r="M105" s="201">
        <v>0.7</v>
      </c>
      <c r="N105" s="201">
        <v>0.69</v>
      </c>
      <c r="O105" s="201">
        <v>0.69</v>
      </c>
      <c r="P105" s="201">
        <v>0.67</v>
      </c>
      <c r="Q105" s="201">
        <v>0.67</v>
      </c>
      <c r="R105" s="201">
        <v>0.66</v>
      </c>
      <c r="S105" s="201">
        <v>0.66</v>
      </c>
      <c r="T105" s="201">
        <v>0.65</v>
      </c>
      <c r="U105" s="201">
        <v>0.64</v>
      </c>
      <c r="V105" s="201">
        <v>0.63</v>
      </c>
      <c r="W105" s="201">
        <v>0.63</v>
      </c>
      <c r="X105" s="201">
        <v>0.62</v>
      </c>
      <c r="Y105" s="201">
        <v>0.61</v>
      </c>
      <c r="Z105" s="201">
        <v>0.6</v>
      </c>
      <c r="AA105" s="201">
        <v>0.6</v>
      </c>
      <c r="AB105" s="201">
        <v>0.59</v>
      </c>
      <c r="AC105" s="201">
        <v>0.57999999999999996</v>
      </c>
      <c r="AD105" s="201">
        <v>0.56999999999999995</v>
      </c>
      <c r="AE105" s="201">
        <v>0.56000000000000005</v>
      </c>
      <c r="AF105" s="201">
        <v>0.56000000000000005</v>
      </c>
      <c r="AG105" s="201">
        <v>0.55000000000000004</v>
      </c>
      <c r="AH105" s="201">
        <v>0.54</v>
      </c>
      <c r="AI105" s="201">
        <v>0.53</v>
      </c>
      <c r="AJ105" s="201">
        <v>0.53</v>
      </c>
      <c r="AK105" s="201">
        <v>0.52</v>
      </c>
      <c r="AL105" s="201">
        <v>0.51</v>
      </c>
      <c r="AM105" s="201">
        <v>0.5</v>
      </c>
      <c r="AN105" s="201">
        <v>0.49</v>
      </c>
      <c r="AO105" s="201">
        <v>0.49</v>
      </c>
      <c r="AP105" s="201">
        <v>0.48</v>
      </c>
      <c r="AQ105" s="201">
        <v>0.47</v>
      </c>
      <c r="AR105" s="201">
        <v>0.46</v>
      </c>
      <c r="AS105" s="201">
        <v>0.46</v>
      </c>
      <c r="AT105" s="201">
        <v>0.45</v>
      </c>
      <c r="AU105" s="201">
        <v>0.44</v>
      </c>
      <c r="AV105" s="201">
        <v>0.43</v>
      </c>
      <c r="AW105" s="201">
        <v>0.42</v>
      </c>
      <c r="AX105" s="201">
        <v>0.42</v>
      </c>
      <c r="AY105" s="201">
        <v>0.41</v>
      </c>
      <c r="AZ105" s="201">
        <v>0.4</v>
      </c>
      <c r="BA105" s="201">
        <v>0.4</v>
      </c>
      <c r="BB105" s="201">
        <v>0.39</v>
      </c>
      <c r="BC105" s="201">
        <v>0.38</v>
      </c>
      <c r="BD105" s="201">
        <v>0.37</v>
      </c>
      <c r="BE105" s="201">
        <v>0.37</v>
      </c>
      <c r="BF105" s="201">
        <v>0.36</v>
      </c>
      <c r="BG105" s="201">
        <v>0.35</v>
      </c>
      <c r="BH105" s="201">
        <v>0.35</v>
      </c>
      <c r="BI105" s="201">
        <v>0.34</v>
      </c>
      <c r="BJ105" s="201">
        <v>0.34</v>
      </c>
      <c r="BK105" s="252">
        <v>0</v>
      </c>
    </row>
    <row r="106" spans="1:63">
      <c r="A106" s="251">
        <v>24</v>
      </c>
      <c r="B106" s="254">
        <v>0.77</v>
      </c>
      <c r="C106" s="253">
        <v>0.77</v>
      </c>
      <c r="D106" s="253">
        <v>0.76</v>
      </c>
      <c r="E106" s="253">
        <v>0.75</v>
      </c>
      <c r="F106" s="253">
        <v>0.75</v>
      </c>
      <c r="G106" s="253">
        <v>0.74</v>
      </c>
      <c r="H106" s="253">
        <v>0.73</v>
      </c>
      <c r="I106" s="253">
        <v>0.73</v>
      </c>
      <c r="J106" s="253">
        <v>0.72</v>
      </c>
      <c r="K106" s="253">
        <v>0.71</v>
      </c>
      <c r="L106" s="253">
        <v>0.7</v>
      </c>
      <c r="M106" s="201">
        <v>0.7</v>
      </c>
      <c r="N106" s="201">
        <v>0.69</v>
      </c>
      <c r="O106" s="201">
        <v>0.68</v>
      </c>
      <c r="P106" s="201">
        <v>0.67</v>
      </c>
      <c r="Q106" s="201">
        <v>0.67</v>
      </c>
      <c r="R106" s="201">
        <v>0.66</v>
      </c>
      <c r="S106" s="201">
        <v>0.65</v>
      </c>
      <c r="T106" s="201">
        <v>0.64</v>
      </c>
      <c r="U106" s="201">
        <v>0.64</v>
      </c>
      <c r="V106" s="201">
        <v>0.63</v>
      </c>
      <c r="W106" s="201">
        <v>0.62</v>
      </c>
      <c r="X106" s="201">
        <v>0.61</v>
      </c>
      <c r="Y106" s="201">
        <v>0.61</v>
      </c>
      <c r="Z106" s="201">
        <v>0.6</v>
      </c>
      <c r="AA106" s="201">
        <v>0.59</v>
      </c>
      <c r="AB106" s="201">
        <v>0.57999999999999996</v>
      </c>
      <c r="AC106" s="201">
        <v>0.57999999999999996</v>
      </c>
      <c r="AD106" s="201">
        <v>0.56999999999999995</v>
      </c>
      <c r="AE106" s="201">
        <v>0.56000000000000005</v>
      </c>
      <c r="AF106" s="201">
        <v>0.55000000000000004</v>
      </c>
      <c r="AG106" s="201">
        <v>0.54</v>
      </c>
      <c r="AH106" s="201">
        <v>0.54</v>
      </c>
      <c r="AI106" s="201">
        <v>0.53</v>
      </c>
      <c r="AJ106" s="201">
        <v>0.52</v>
      </c>
      <c r="AK106" s="201">
        <v>0.51</v>
      </c>
      <c r="AL106" s="201">
        <v>0.5</v>
      </c>
      <c r="AM106" s="201">
        <v>0.5</v>
      </c>
      <c r="AN106" s="201">
        <v>0.49</v>
      </c>
      <c r="AO106" s="201">
        <v>0.48</v>
      </c>
      <c r="AP106" s="201">
        <v>0.47</v>
      </c>
      <c r="AQ106" s="201">
        <v>0.46</v>
      </c>
      <c r="AR106" s="201">
        <v>0.46</v>
      </c>
      <c r="AS106" s="201">
        <v>0.45</v>
      </c>
      <c r="AT106" s="201">
        <v>0.44</v>
      </c>
      <c r="AU106" s="201">
        <v>0.43</v>
      </c>
      <c r="AV106" s="201">
        <v>0.43</v>
      </c>
      <c r="AW106" s="201">
        <v>0.42</v>
      </c>
      <c r="AX106" s="201">
        <v>0.41</v>
      </c>
      <c r="AY106" s="201">
        <v>0.4</v>
      </c>
      <c r="AZ106" s="201">
        <v>0.4</v>
      </c>
      <c r="BA106" s="201">
        <v>0.39</v>
      </c>
      <c r="BB106" s="201">
        <v>0.38</v>
      </c>
      <c r="BC106" s="201">
        <v>0.37</v>
      </c>
      <c r="BD106" s="201">
        <v>0.37</v>
      </c>
      <c r="BE106" s="201">
        <v>0.36</v>
      </c>
      <c r="BF106" s="201">
        <v>0.35</v>
      </c>
      <c r="BG106" s="201">
        <v>0.35</v>
      </c>
      <c r="BH106" s="201">
        <v>0.34</v>
      </c>
      <c r="BI106" s="201">
        <v>0.34</v>
      </c>
      <c r="BJ106" s="201">
        <v>0.33</v>
      </c>
      <c r="BK106" s="252">
        <v>0</v>
      </c>
    </row>
    <row r="107" spans="1:63">
      <c r="A107" s="251">
        <v>25</v>
      </c>
      <c r="B107" s="250">
        <v>0.77</v>
      </c>
      <c r="C107" s="249">
        <v>0.77</v>
      </c>
      <c r="D107" s="249">
        <v>0.76</v>
      </c>
      <c r="E107" s="249">
        <v>0.75</v>
      </c>
      <c r="F107" s="249">
        <v>0.74</v>
      </c>
      <c r="G107" s="249">
        <v>0.74</v>
      </c>
      <c r="H107" s="249">
        <v>0.73</v>
      </c>
      <c r="I107" s="249">
        <v>0.72</v>
      </c>
      <c r="J107" s="249">
        <v>0.72</v>
      </c>
      <c r="K107" s="249">
        <v>0.71</v>
      </c>
      <c r="L107" s="249">
        <v>0.7</v>
      </c>
      <c r="M107" s="248">
        <v>0.69</v>
      </c>
      <c r="N107" s="248">
        <v>0.68</v>
      </c>
      <c r="O107" s="248">
        <v>0.68</v>
      </c>
      <c r="P107" s="248">
        <v>0.67</v>
      </c>
      <c r="Q107" s="248">
        <v>0.66</v>
      </c>
      <c r="R107" s="248">
        <v>0.66</v>
      </c>
      <c r="S107" s="248">
        <v>0.65</v>
      </c>
      <c r="T107" s="248">
        <v>0.64</v>
      </c>
      <c r="U107" s="248">
        <v>0.63</v>
      </c>
      <c r="V107" s="248">
        <v>0.63</v>
      </c>
      <c r="W107" s="248">
        <v>0.62</v>
      </c>
      <c r="X107" s="248">
        <v>0.61</v>
      </c>
      <c r="Y107" s="248">
        <v>0.6</v>
      </c>
      <c r="Z107" s="248">
        <v>0.59</v>
      </c>
      <c r="AA107" s="248">
        <v>0.59</v>
      </c>
      <c r="AB107" s="248">
        <v>0.57999999999999996</v>
      </c>
      <c r="AC107" s="248">
        <v>0.56999999999999995</v>
      </c>
      <c r="AD107" s="248">
        <v>0.56000000000000005</v>
      </c>
      <c r="AE107" s="248">
        <v>0.56000000000000005</v>
      </c>
      <c r="AF107" s="248">
        <v>0.55000000000000004</v>
      </c>
      <c r="AG107" s="248">
        <v>0.54</v>
      </c>
      <c r="AH107" s="248">
        <v>0.53</v>
      </c>
      <c r="AI107" s="248">
        <v>0.52</v>
      </c>
      <c r="AJ107" s="248">
        <v>0.51</v>
      </c>
      <c r="AK107" s="248">
        <v>0.51</v>
      </c>
      <c r="AL107" s="248">
        <v>0.5</v>
      </c>
      <c r="AM107" s="248">
        <v>0.49</v>
      </c>
      <c r="AN107" s="248">
        <v>0.48</v>
      </c>
      <c r="AO107" s="248">
        <v>0.47</v>
      </c>
      <c r="AP107" s="248">
        <v>0.47</v>
      </c>
      <c r="AQ107" s="248">
        <v>0.46</v>
      </c>
      <c r="AR107" s="248">
        <v>0.45</v>
      </c>
      <c r="AS107" s="248">
        <v>0.44</v>
      </c>
      <c r="AT107" s="248">
        <v>0.43</v>
      </c>
      <c r="AU107" s="248">
        <v>0.43</v>
      </c>
      <c r="AV107" s="248">
        <v>0.42</v>
      </c>
      <c r="AW107" s="248">
        <v>0.41</v>
      </c>
      <c r="AX107" s="248">
        <v>0.4</v>
      </c>
      <c r="AY107" s="248">
        <v>0.4</v>
      </c>
      <c r="AZ107" s="248">
        <v>0.39</v>
      </c>
      <c r="BA107" s="248">
        <v>0.38</v>
      </c>
      <c r="BB107" s="248">
        <v>0.37</v>
      </c>
      <c r="BC107" s="248">
        <v>0.37</v>
      </c>
      <c r="BD107" s="248">
        <v>0.36</v>
      </c>
      <c r="BE107" s="248">
        <v>0.35</v>
      </c>
      <c r="BF107" s="248">
        <v>0.35</v>
      </c>
      <c r="BG107" s="248">
        <v>0.34</v>
      </c>
      <c r="BH107" s="248">
        <v>0.33</v>
      </c>
      <c r="BI107" s="248">
        <v>0.33</v>
      </c>
      <c r="BJ107" s="248">
        <v>0.33</v>
      </c>
      <c r="BK107" s="247">
        <v>0</v>
      </c>
    </row>
    <row r="108" spans="1:63">
      <c r="A108" s="251">
        <v>26</v>
      </c>
      <c r="B108" s="258">
        <v>0.76</v>
      </c>
      <c r="C108" s="257">
        <v>0.76</v>
      </c>
      <c r="D108" s="257">
        <v>0.76</v>
      </c>
      <c r="E108" s="257">
        <v>0.75</v>
      </c>
      <c r="F108" s="257">
        <v>0.74</v>
      </c>
      <c r="G108" s="257">
        <v>0.73</v>
      </c>
      <c r="H108" s="257">
        <v>0.73</v>
      </c>
      <c r="I108" s="257">
        <v>0.72</v>
      </c>
      <c r="J108" s="257">
        <v>0.71</v>
      </c>
      <c r="K108" s="257">
        <v>0.7</v>
      </c>
      <c r="L108" s="257">
        <v>0.7</v>
      </c>
      <c r="M108" s="256">
        <v>0.69</v>
      </c>
      <c r="N108" s="256">
        <v>0.68</v>
      </c>
      <c r="O108" s="256">
        <v>0.67</v>
      </c>
      <c r="P108" s="256">
        <v>0.67</v>
      </c>
      <c r="Q108" s="256">
        <v>0.66</v>
      </c>
      <c r="R108" s="256">
        <v>0.65</v>
      </c>
      <c r="S108" s="256">
        <v>0.64</v>
      </c>
      <c r="T108" s="256">
        <v>0.64</v>
      </c>
      <c r="U108" s="256">
        <v>0.63</v>
      </c>
      <c r="V108" s="256">
        <v>0.62</v>
      </c>
      <c r="W108" s="256">
        <v>0.61</v>
      </c>
      <c r="X108" s="256">
        <v>0.61</v>
      </c>
      <c r="Y108" s="256">
        <v>0.6</v>
      </c>
      <c r="Z108" s="256">
        <v>0.59</v>
      </c>
      <c r="AA108" s="256">
        <v>0.57999999999999996</v>
      </c>
      <c r="AB108" s="256">
        <v>0.56999999999999995</v>
      </c>
      <c r="AC108" s="256">
        <v>0.56999999999999995</v>
      </c>
      <c r="AD108" s="256">
        <v>0.56000000000000005</v>
      </c>
      <c r="AE108" s="256">
        <v>0.55000000000000004</v>
      </c>
      <c r="AF108" s="256">
        <v>0.54</v>
      </c>
      <c r="AG108" s="256">
        <v>0.53</v>
      </c>
      <c r="AH108" s="256">
        <v>0.53</v>
      </c>
      <c r="AI108" s="256">
        <v>0.52</v>
      </c>
      <c r="AJ108" s="256">
        <v>0.51</v>
      </c>
      <c r="AK108" s="256">
        <v>0.5</v>
      </c>
      <c r="AL108" s="256">
        <v>0.49</v>
      </c>
      <c r="AM108" s="256">
        <v>0.48</v>
      </c>
      <c r="AN108" s="256">
        <v>0.48</v>
      </c>
      <c r="AO108" s="256">
        <v>0.47</v>
      </c>
      <c r="AP108" s="256">
        <v>0.46</v>
      </c>
      <c r="AQ108" s="256">
        <v>0.45</v>
      </c>
      <c r="AR108" s="256">
        <v>0.44</v>
      </c>
      <c r="AS108" s="256">
        <v>0.44</v>
      </c>
      <c r="AT108" s="256">
        <v>0.43</v>
      </c>
      <c r="AU108" s="256">
        <v>0.42</v>
      </c>
      <c r="AV108" s="256">
        <v>0.41</v>
      </c>
      <c r="AW108" s="256">
        <v>0.4</v>
      </c>
      <c r="AX108" s="256">
        <v>0.4</v>
      </c>
      <c r="AY108" s="256">
        <v>0.39</v>
      </c>
      <c r="AZ108" s="256">
        <v>0.38</v>
      </c>
      <c r="BA108" s="256">
        <v>0.37</v>
      </c>
      <c r="BB108" s="256">
        <v>0.37</v>
      </c>
      <c r="BC108" s="256">
        <v>0.36</v>
      </c>
      <c r="BD108" s="256">
        <v>0.35</v>
      </c>
      <c r="BE108" s="256">
        <v>0.35</v>
      </c>
      <c r="BF108" s="256">
        <v>0.34</v>
      </c>
      <c r="BG108" s="256">
        <v>0.33</v>
      </c>
      <c r="BH108" s="256">
        <v>0.33</v>
      </c>
      <c r="BI108" s="256">
        <v>0.33</v>
      </c>
      <c r="BJ108" s="256">
        <v>0.32</v>
      </c>
      <c r="BK108" s="255">
        <v>0</v>
      </c>
    </row>
    <row r="109" spans="1:63">
      <c r="A109" s="251">
        <v>27</v>
      </c>
      <c r="B109" s="254">
        <v>0.76</v>
      </c>
      <c r="C109" s="253">
        <v>0.76</v>
      </c>
      <c r="D109" s="253">
        <v>0.75</v>
      </c>
      <c r="E109" s="253">
        <v>0.75</v>
      </c>
      <c r="F109" s="253">
        <v>0.74</v>
      </c>
      <c r="G109" s="253">
        <v>0.73</v>
      </c>
      <c r="H109" s="253">
        <v>0.72</v>
      </c>
      <c r="I109" s="253">
        <v>0.72</v>
      </c>
      <c r="J109" s="253">
        <v>0.71</v>
      </c>
      <c r="K109" s="253">
        <v>0.7</v>
      </c>
      <c r="L109" s="253">
        <v>0.69</v>
      </c>
      <c r="M109" s="201">
        <v>0.69</v>
      </c>
      <c r="N109" s="201">
        <v>0.68</v>
      </c>
      <c r="O109" s="201">
        <v>0.67</v>
      </c>
      <c r="P109" s="201">
        <v>0.66</v>
      </c>
      <c r="Q109" s="201">
        <v>0.66</v>
      </c>
      <c r="R109" s="201">
        <v>0.65</v>
      </c>
      <c r="S109" s="201">
        <v>0.64</v>
      </c>
      <c r="T109" s="201">
        <v>0.63</v>
      </c>
      <c r="U109" s="201">
        <v>0.62</v>
      </c>
      <c r="V109" s="201">
        <v>0.62</v>
      </c>
      <c r="W109" s="201">
        <v>0.61</v>
      </c>
      <c r="X109" s="201">
        <v>0.6</v>
      </c>
      <c r="Y109" s="201">
        <v>0.59</v>
      </c>
      <c r="Z109" s="201">
        <v>0.57999999999999996</v>
      </c>
      <c r="AA109" s="201">
        <v>0.57999999999999996</v>
      </c>
      <c r="AB109" s="201">
        <v>0.56999999999999995</v>
      </c>
      <c r="AC109" s="201">
        <v>0.56000000000000005</v>
      </c>
      <c r="AD109" s="201">
        <v>0.55000000000000004</v>
      </c>
      <c r="AE109" s="201">
        <v>0.54</v>
      </c>
      <c r="AF109" s="201">
        <v>0.54</v>
      </c>
      <c r="AG109" s="201">
        <v>0.53</v>
      </c>
      <c r="AH109" s="201">
        <v>0.52</v>
      </c>
      <c r="AI109" s="201">
        <v>0.51</v>
      </c>
      <c r="AJ109" s="201">
        <v>0.5</v>
      </c>
      <c r="AK109" s="201">
        <v>0.49</v>
      </c>
      <c r="AL109" s="201">
        <v>0.49</v>
      </c>
      <c r="AM109" s="201">
        <v>0.48</v>
      </c>
      <c r="AN109" s="201">
        <v>0.47</v>
      </c>
      <c r="AO109" s="201">
        <v>0.46</v>
      </c>
      <c r="AP109" s="201">
        <v>0.45</v>
      </c>
      <c r="AQ109" s="201">
        <v>0.44</v>
      </c>
      <c r="AR109" s="201">
        <v>0.44</v>
      </c>
      <c r="AS109" s="201">
        <v>0.43</v>
      </c>
      <c r="AT109" s="201">
        <v>0.42</v>
      </c>
      <c r="AU109" s="201">
        <v>0.41</v>
      </c>
      <c r="AV109" s="201">
        <v>0.4</v>
      </c>
      <c r="AW109" s="201">
        <v>0.4</v>
      </c>
      <c r="AX109" s="201">
        <v>0.39</v>
      </c>
      <c r="AY109" s="201">
        <v>0.38</v>
      </c>
      <c r="AZ109" s="201">
        <v>0.37</v>
      </c>
      <c r="BA109" s="201">
        <v>0.37</v>
      </c>
      <c r="BB109" s="201">
        <v>0.36</v>
      </c>
      <c r="BC109" s="201">
        <v>0.35</v>
      </c>
      <c r="BD109" s="201">
        <v>0.34</v>
      </c>
      <c r="BE109" s="201">
        <v>0.34</v>
      </c>
      <c r="BF109" s="201">
        <v>0.33</v>
      </c>
      <c r="BG109" s="201">
        <v>0.33</v>
      </c>
      <c r="BH109" s="201">
        <v>0.32</v>
      </c>
      <c r="BI109" s="201">
        <v>0.32</v>
      </c>
      <c r="BJ109" s="201">
        <v>0.32</v>
      </c>
      <c r="BK109" s="252">
        <v>0</v>
      </c>
    </row>
    <row r="110" spans="1:63">
      <c r="A110" s="251">
        <v>28</v>
      </c>
      <c r="B110" s="254">
        <v>0.76</v>
      </c>
      <c r="C110" s="253">
        <v>0.76</v>
      </c>
      <c r="D110" s="253">
        <v>0.75</v>
      </c>
      <c r="E110" s="253">
        <v>0.74</v>
      </c>
      <c r="F110" s="253">
        <v>0.73</v>
      </c>
      <c r="G110" s="253">
        <v>0.73</v>
      </c>
      <c r="H110" s="253">
        <v>0.72</v>
      </c>
      <c r="I110" s="253">
        <v>0.71</v>
      </c>
      <c r="J110" s="253">
        <v>0.7</v>
      </c>
      <c r="K110" s="253">
        <v>0.7</v>
      </c>
      <c r="L110" s="253">
        <v>0.69</v>
      </c>
      <c r="M110" s="201">
        <v>0.68</v>
      </c>
      <c r="N110" s="201">
        <v>0.67</v>
      </c>
      <c r="O110" s="201">
        <v>0.67</v>
      </c>
      <c r="P110" s="201">
        <v>0.66</v>
      </c>
      <c r="Q110" s="201">
        <v>0.65</v>
      </c>
      <c r="R110" s="201">
        <v>0.64</v>
      </c>
      <c r="S110" s="201">
        <v>0.64</v>
      </c>
      <c r="T110" s="201">
        <v>0.63</v>
      </c>
      <c r="U110" s="201">
        <v>0.62</v>
      </c>
      <c r="V110" s="201">
        <v>0.61</v>
      </c>
      <c r="W110" s="201">
        <v>0.6</v>
      </c>
      <c r="X110" s="201">
        <v>0.6</v>
      </c>
      <c r="Y110" s="201">
        <v>0.59</v>
      </c>
      <c r="Z110" s="201">
        <v>0.57999999999999996</v>
      </c>
      <c r="AA110" s="201">
        <v>0.56999999999999995</v>
      </c>
      <c r="AB110" s="201">
        <v>0.56000000000000005</v>
      </c>
      <c r="AC110" s="201">
        <v>0.56000000000000005</v>
      </c>
      <c r="AD110" s="201">
        <v>0.55000000000000004</v>
      </c>
      <c r="AE110" s="201">
        <v>0.54</v>
      </c>
      <c r="AF110" s="201">
        <v>0.53</v>
      </c>
      <c r="AG110" s="201">
        <v>0.52</v>
      </c>
      <c r="AH110" s="201">
        <v>0.51</v>
      </c>
      <c r="AI110" s="201">
        <v>0.5</v>
      </c>
      <c r="AJ110" s="201">
        <v>0.5</v>
      </c>
      <c r="AK110" s="201">
        <v>0.49</v>
      </c>
      <c r="AL110" s="201">
        <v>0.48</v>
      </c>
      <c r="AM110" s="201">
        <v>0.47</v>
      </c>
      <c r="AN110" s="201">
        <v>0.46</v>
      </c>
      <c r="AO110" s="201">
        <v>0.45</v>
      </c>
      <c r="AP110" s="201">
        <v>0.45</v>
      </c>
      <c r="AQ110" s="201">
        <v>0.44</v>
      </c>
      <c r="AR110" s="201">
        <v>0.43</v>
      </c>
      <c r="AS110" s="201">
        <v>0.42</v>
      </c>
      <c r="AT110" s="201">
        <v>0.41</v>
      </c>
      <c r="AU110" s="201">
        <v>0.4</v>
      </c>
      <c r="AV110" s="201">
        <v>0.4</v>
      </c>
      <c r="AW110" s="201">
        <v>0.39</v>
      </c>
      <c r="AX110" s="201">
        <v>0.38</v>
      </c>
      <c r="AY110" s="201">
        <v>0.37</v>
      </c>
      <c r="AZ110" s="201">
        <v>0.36</v>
      </c>
      <c r="BA110" s="201">
        <v>0.36</v>
      </c>
      <c r="BB110" s="201">
        <v>0.35</v>
      </c>
      <c r="BC110" s="201">
        <v>0.34</v>
      </c>
      <c r="BD110" s="201">
        <v>0.34</v>
      </c>
      <c r="BE110" s="201">
        <v>0.33</v>
      </c>
      <c r="BF110" s="201">
        <v>0.32</v>
      </c>
      <c r="BG110" s="201">
        <v>0.32</v>
      </c>
      <c r="BH110" s="201">
        <v>0.32</v>
      </c>
      <c r="BI110" s="201">
        <v>0.32</v>
      </c>
      <c r="BJ110" s="201">
        <v>0.31</v>
      </c>
      <c r="BK110" s="252">
        <v>0</v>
      </c>
    </row>
    <row r="111" spans="1:63">
      <c r="A111" s="251">
        <v>29</v>
      </c>
      <c r="B111" s="254">
        <v>0.75</v>
      </c>
      <c r="C111" s="253">
        <v>0.75</v>
      </c>
      <c r="D111" s="253">
        <v>0.75</v>
      </c>
      <c r="E111" s="253">
        <v>0.74</v>
      </c>
      <c r="F111" s="253">
        <v>0.73</v>
      </c>
      <c r="G111" s="253">
        <v>0.72</v>
      </c>
      <c r="H111" s="253">
        <v>0.72</v>
      </c>
      <c r="I111" s="253">
        <v>0.71</v>
      </c>
      <c r="J111" s="253">
        <v>0.7</v>
      </c>
      <c r="K111" s="253">
        <v>0.69</v>
      </c>
      <c r="L111" s="253">
        <v>0.69</v>
      </c>
      <c r="M111" s="201">
        <v>0.68</v>
      </c>
      <c r="N111" s="201">
        <v>0.67</v>
      </c>
      <c r="O111" s="201">
        <v>0.66</v>
      </c>
      <c r="P111" s="201">
        <v>0.65</v>
      </c>
      <c r="Q111" s="201">
        <v>0.65</v>
      </c>
      <c r="R111" s="201">
        <v>0.64</v>
      </c>
      <c r="S111" s="201">
        <v>0.63</v>
      </c>
      <c r="T111" s="201">
        <v>0.62</v>
      </c>
      <c r="U111" s="201">
        <v>0.61</v>
      </c>
      <c r="V111" s="201">
        <v>0.61</v>
      </c>
      <c r="W111" s="201">
        <v>0.6</v>
      </c>
      <c r="X111" s="201">
        <v>0.59</v>
      </c>
      <c r="Y111" s="201">
        <v>0.57999999999999996</v>
      </c>
      <c r="Z111" s="201">
        <v>0.56999999999999995</v>
      </c>
      <c r="AA111" s="201">
        <v>0.56999999999999995</v>
      </c>
      <c r="AB111" s="201">
        <v>0.56000000000000005</v>
      </c>
      <c r="AC111" s="201">
        <v>0.55000000000000004</v>
      </c>
      <c r="AD111" s="201">
        <v>0.54</v>
      </c>
      <c r="AE111" s="201">
        <v>0.53</v>
      </c>
      <c r="AF111" s="201">
        <v>0.52</v>
      </c>
      <c r="AG111" s="201">
        <v>0.52</v>
      </c>
      <c r="AH111" s="201">
        <v>0.51</v>
      </c>
      <c r="AI111" s="201">
        <v>0.5</v>
      </c>
      <c r="AJ111" s="201">
        <v>0.49</v>
      </c>
      <c r="AK111" s="201">
        <v>0.48</v>
      </c>
      <c r="AL111" s="201">
        <v>0.47</v>
      </c>
      <c r="AM111" s="201">
        <v>0.46</v>
      </c>
      <c r="AN111" s="201">
        <v>0.45</v>
      </c>
      <c r="AO111" s="201">
        <v>0.45</v>
      </c>
      <c r="AP111" s="201">
        <v>0.44</v>
      </c>
      <c r="AQ111" s="201">
        <v>0.43</v>
      </c>
      <c r="AR111" s="201">
        <v>0.42</v>
      </c>
      <c r="AS111" s="201">
        <v>0.41</v>
      </c>
      <c r="AT111" s="201">
        <v>0.4</v>
      </c>
      <c r="AU111" s="201">
        <v>0.4</v>
      </c>
      <c r="AV111" s="201">
        <v>0.39</v>
      </c>
      <c r="AW111" s="201">
        <v>0.38</v>
      </c>
      <c r="AX111" s="201">
        <v>0.37</v>
      </c>
      <c r="AY111" s="201">
        <v>0.36</v>
      </c>
      <c r="AZ111" s="201">
        <v>0.36</v>
      </c>
      <c r="BA111" s="201">
        <v>0.35</v>
      </c>
      <c r="BB111" s="201">
        <v>0.34</v>
      </c>
      <c r="BC111" s="201">
        <v>0.33</v>
      </c>
      <c r="BD111" s="201">
        <v>0.33</v>
      </c>
      <c r="BE111" s="201">
        <v>0.32</v>
      </c>
      <c r="BF111" s="201">
        <v>0.32</v>
      </c>
      <c r="BG111" s="201">
        <v>0.31</v>
      </c>
      <c r="BH111" s="201">
        <v>0.31</v>
      </c>
      <c r="BI111" s="201">
        <v>0.31</v>
      </c>
      <c r="BJ111" s="201">
        <v>0.31</v>
      </c>
      <c r="BK111" s="252">
        <v>0</v>
      </c>
    </row>
    <row r="112" spans="1:63">
      <c r="A112" s="251">
        <v>30</v>
      </c>
      <c r="B112" s="250">
        <v>0.75</v>
      </c>
      <c r="C112" s="249">
        <v>0.75</v>
      </c>
      <c r="D112" s="249">
        <v>0.74</v>
      </c>
      <c r="E112" s="249">
        <v>0.73</v>
      </c>
      <c r="F112" s="249">
        <v>0.73</v>
      </c>
      <c r="G112" s="249">
        <v>0.72</v>
      </c>
      <c r="H112" s="249">
        <v>0.71</v>
      </c>
      <c r="I112" s="249">
        <v>0.7</v>
      </c>
      <c r="J112" s="249">
        <v>0.7</v>
      </c>
      <c r="K112" s="249">
        <v>0.69</v>
      </c>
      <c r="L112" s="249">
        <v>0.68</v>
      </c>
      <c r="M112" s="248">
        <v>0.67</v>
      </c>
      <c r="N112" s="248">
        <v>0.67</v>
      </c>
      <c r="O112" s="248">
        <v>0.66</v>
      </c>
      <c r="P112" s="248">
        <v>0.65</v>
      </c>
      <c r="Q112" s="248">
        <v>0.64</v>
      </c>
      <c r="R112" s="248">
        <v>0.63</v>
      </c>
      <c r="S112" s="248">
        <v>0.63</v>
      </c>
      <c r="T112" s="248">
        <v>0.62</v>
      </c>
      <c r="U112" s="248">
        <v>0.61</v>
      </c>
      <c r="V112" s="248">
        <v>0.6</v>
      </c>
      <c r="W112" s="248">
        <v>0.59</v>
      </c>
      <c r="X112" s="248">
        <v>0.59</v>
      </c>
      <c r="Y112" s="248">
        <v>0.57999999999999996</v>
      </c>
      <c r="Z112" s="248">
        <v>0.56999999999999995</v>
      </c>
      <c r="AA112" s="248">
        <v>0.56000000000000005</v>
      </c>
      <c r="AB112" s="248">
        <v>0.55000000000000004</v>
      </c>
      <c r="AC112" s="248">
        <v>0.54</v>
      </c>
      <c r="AD112" s="248">
        <v>0.53</v>
      </c>
      <c r="AE112" s="248">
        <v>0.53</v>
      </c>
      <c r="AF112" s="248">
        <v>0.52</v>
      </c>
      <c r="AG112" s="248">
        <v>0.51</v>
      </c>
      <c r="AH112" s="248">
        <v>0.5</v>
      </c>
      <c r="AI112" s="248">
        <v>0.49</v>
      </c>
      <c r="AJ112" s="248">
        <v>0.48</v>
      </c>
      <c r="AK112" s="248">
        <v>0.47</v>
      </c>
      <c r="AL112" s="248">
        <v>0.46</v>
      </c>
      <c r="AM112" s="248">
        <v>0.46</v>
      </c>
      <c r="AN112" s="248">
        <v>0.45</v>
      </c>
      <c r="AO112" s="248">
        <v>0.44</v>
      </c>
      <c r="AP112" s="248">
        <v>0.43</v>
      </c>
      <c r="AQ112" s="248">
        <v>0.42</v>
      </c>
      <c r="AR112" s="248">
        <v>0.41</v>
      </c>
      <c r="AS112" s="248">
        <v>0.4</v>
      </c>
      <c r="AT112" s="248">
        <v>0.39</v>
      </c>
      <c r="AU112" s="248">
        <v>0.39</v>
      </c>
      <c r="AV112" s="248">
        <v>0.38</v>
      </c>
      <c r="AW112" s="248">
        <v>0.37</v>
      </c>
      <c r="AX112" s="248">
        <v>0.36</v>
      </c>
      <c r="AY112" s="248">
        <v>0.35</v>
      </c>
      <c r="AZ112" s="248">
        <v>0.35</v>
      </c>
      <c r="BA112" s="248">
        <v>0.34</v>
      </c>
      <c r="BB112" s="248">
        <v>0.33</v>
      </c>
      <c r="BC112" s="248">
        <v>0.32</v>
      </c>
      <c r="BD112" s="248">
        <v>0.32</v>
      </c>
      <c r="BE112" s="248">
        <v>0.31</v>
      </c>
      <c r="BF112" s="248">
        <v>0.31</v>
      </c>
      <c r="BG112" s="248">
        <v>0.31</v>
      </c>
      <c r="BH112" s="248">
        <v>0.31</v>
      </c>
      <c r="BI112" s="248">
        <v>0.31</v>
      </c>
      <c r="BJ112" s="248">
        <v>0.3</v>
      </c>
      <c r="BK112" s="247">
        <v>0</v>
      </c>
    </row>
    <row r="113" spans="1:63">
      <c r="A113" s="251">
        <v>31</v>
      </c>
      <c r="B113" s="258">
        <v>0.75</v>
      </c>
      <c r="C113" s="257">
        <v>0.75</v>
      </c>
      <c r="D113" s="257">
        <v>0.74</v>
      </c>
      <c r="E113" s="257">
        <v>0.73</v>
      </c>
      <c r="F113" s="257">
        <v>0.72</v>
      </c>
      <c r="G113" s="257">
        <v>0.72</v>
      </c>
      <c r="H113" s="257">
        <v>0.71</v>
      </c>
      <c r="I113" s="257">
        <v>0.7</v>
      </c>
      <c r="J113" s="257">
        <v>0.69</v>
      </c>
      <c r="K113" s="256">
        <v>0.69</v>
      </c>
      <c r="L113" s="257">
        <v>0.68</v>
      </c>
      <c r="M113" s="256">
        <v>0.67</v>
      </c>
      <c r="N113" s="256">
        <v>0.66</v>
      </c>
      <c r="O113" s="256">
        <v>0.65</v>
      </c>
      <c r="P113" s="256">
        <v>0.64</v>
      </c>
      <c r="Q113" s="256">
        <v>0.64</v>
      </c>
      <c r="R113" s="256">
        <v>0.63</v>
      </c>
      <c r="S113" s="256">
        <v>0.62</v>
      </c>
      <c r="T113" s="256">
        <v>0.61</v>
      </c>
      <c r="U113" s="256">
        <v>0.6</v>
      </c>
      <c r="V113" s="256">
        <v>0.6</v>
      </c>
      <c r="W113" s="256">
        <v>0.59</v>
      </c>
      <c r="X113" s="256">
        <v>0.57999999999999996</v>
      </c>
      <c r="Y113" s="256">
        <v>0.56999999999999995</v>
      </c>
      <c r="Z113" s="256">
        <v>0.56000000000000005</v>
      </c>
      <c r="AA113" s="256">
        <v>0.55000000000000004</v>
      </c>
      <c r="AB113" s="256">
        <v>0.55000000000000004</v>
      </c>
      <c r="AC113" s="256">
        <v>0.54</v>
      </c>
      <c r="AD113" s="256">
        <v>0.53</v>
      </c>
      <c r="AE113" s="256">
        <v>0.52</v>
      </c>
      <c r="AF113" s="256">
        <v>0.51</v>
      </c>
      <c r="AG113" s="256">
        <v>0.5</v>
      </c>
      <c r="AH113" s="256">
        <v>0.49</v>
      </c>
      <c r="AI113" s="256">
        <v>0.48</v>
      </c>
      <c r="AJ113" s="256">
        <v>0.47</v>
      </c>
      <c r="AK113" s="256">
        <v>0.47</v>
      </c>
      <c r="AL113" s="256">
        <v>0.46</v>
      </c>
      <c r="AM113" s="256">
        <v>0.45</v>
      </c>
      <c r="AN113" s="256">
        <v>0.44</v>
      </c>
      <c r="AO113" s="256">
        <v>0.43</v>
      </c>
      <c r="AP113" s="256">
        <v>0.42</v>
      </c>
      <c r="AQ113" s="256">
        <v>0.41</v>
      </c>
      <c r="AR113" s="256">
        <v>0.4</v>
      </c>
      <c r="AS113" s="256">
        <v>0.39</v>
      </c>
      <c r="AT113" s="256">
        <v>0.39</v>
      </c>
      <c r="AU113" s="256">
        <v>0.38</v>
      </c>
      <c r="AV113" s="256">
        <v>0.37</v>
      </c>
      <c r="AW113" s="256">
        <v>0.36</v>
      </c>
      <c r="AX113" s="256">
        <v>0.35</v>
      </c>
      <c r="AY113" s="256">
        <v>0.34</v>
      </c>
      <c r="AZ113" s="256">
        <v>0.34</v>
      </c>
      <c r="BA113" s="256">
        <v>0.33</v>
      </c>
      <c r="BB113" s="256">
        <v>0.32</v>
      </c>
      <c r="BC113" s="256">
        <v>0.31</v>
      </c>
      <c r="BD113" s="256">
        <v>0.31</v>
      </c>
      <c r="BE113" s="256">
        <v>0.3</v>
      </c>
      <c r="BF113" s="256">
        <v>0.3</v>
      </c>
      <c r="BG113" s="256">
        <v>0.3</v>
      </c>
      <c r="BH113" s="256">
        <v>0.3</v>
      </c>
      <c r="BI113" s="256">
        <v>0.3</v>
      </c>
      <c r="BJ113" s="256">
        <v>0.3</v>
      </c>
      <c r="BK113" s="255">
        <v>0</v>
      </c>
    </row>
    <row r="114" spans="1:63">
      <c r="A114" s="251">
        <v>32</v>
      </c>
      <c r="B114" s="254">
        <v>0.74</v>
      </c>
      <c r="C114" s="253">
        <v>0.74</v>
      </c>
      <c r="D114" s="253">
        <v>0.73</v>
      </c>
      <c r="E114" s="253">
        <v>0.73</v>
      </c>
      <c r="F114" s="253">
        <v>0.72</v>
      </c>
      <c r="G114" s="253">
        <v>0.71</v>
      </c>
      <c r="H114" s="253">
        <v>0.7</v>
      </c>
      <c r="I114" s="253">
        <v>0.7</v>
      </c>
      <c r="J114" s="253">
        <v>0.69</v>
      </c>
      <c r="K114" s="253">
        <v>0.69</v>
      </c>
      <c r="L114" s="253">
        <v>0.67</v>
      </c>
      <c r="M114" s="201">
        <v>0.66</v>
      </c>
      <c r="N114" s="201">
        <v>0.66</v>
      </c>
      <c r="O114" s="201">
        <v>0.65</v>
      </c>
      <c r="P114" s="201">
        <v>0.64</v>
      </c>
      <c r="Q114" s="201">
        <v>0.63</v>
      </c>
      <c r="R114" s="201">
        <v>0.62</v>
      </c>
      <c r="S114" s="201">
        <v>0.62</v>
      </c>
      <c r="T114" s="201">
        <v>0.61</v>
      </c>
      <c r="U114" s="201">
        <v>0.6</v>
      </c>
      <c r="V114" s="201">
        <v>0.59</v>
      </c>
      <c r="W114" s="201">
        <v>0.57999999999999996</v>
      </c>
      <c r="X114" s="201">
        <v>0.56999999999999995</v>
      </c>
      <c r="Y114" s="201">
        <v>0.56000000000000005</v>
      </c>
      <c r="Z114" s="201">
        <v>0.56000000000000005</v>
      </c>
      <c r="AA114" s="201">
        <v>0.55000000000000004</v>
      </c>
      <c r="AB114" s="201">
        <v>0.54</v>
      </c>
      <c r="AC114" s="201">
        <v>0.53</v>
      </c>
      <c r="AD114" s="201">
        <v>0.52</v>
      </c>
      <c r="AE114" s="201">
        <v>0.51</v>
      </c>
      <c r="AF114" s="201">
        <v>0.5</v>
      </c>
      <c r="AG114" s="201">
        <v>0.49</v>
      </c>
      <c r="AH114" s="201">
        <v>0.48</v>
      </c>
      <c r="AI114" s="201">
        <v>0.48</v>
      </c>
      <c r="AJ114" s="201">
        <v>0.47</v>
      </c>
      <c r="AK114" s="201">
        <v>0.46</v>
      </c>
      <c r="AL114" s="201">
        <v>0.45</v>
      </c>
      <c r="AM114" s="201">
        <v>0.44</v>
      </c>
      <c r="AN114" s="201">
        <v>0.43</v>
      </c>
      <c r="AO114" s="201">
        <v>0.42</v>
      </c>
      <c r="AP114" s="201">
        <v>0.41</v>
      </c>
      <c r="AQ114" s="201">
        <v>0.4</v>
      </c>
      <c r="AR114" s="201">
        <v>0.39</v>
      </c>
      <c r="AS114" s="201">
        <v>0.38</v>
      </c>
      <c r="AT114" s="201">
        <v>0.38</v>
      </c>
      <c r="AU114" s="201">
        <v>0.37</v>
      </c>
      <c r="AV114" s="201">
        <v>0.36</v>
      </c>
      <c r="AW114" s="201">
        <v>0.35</v>
      </c>
      <c r="AX114" s="201">
        <v>0.34</v>
      </c>
      <c r="AY114" s="201">
        <v>0.33</v>
      </c>
      <c r="AZ114" s="201">
        <v>0.33</v>
      </c>
      <c r="BA114" s="201">
        <v>0.32</v>
      </c>
      <c r="BB114" s="201">
        <v>0.31</v>
      </c>
      <c r="BC114" s="201">
        <v>0.3</v>
      </c>
      <c r="BD114" s="201">
        <v>0.3</v>
      </c>
      <c r="BE114" s="201">
        <v>0.28999999999999998</v>
      </c>
      <c r="BF114" s="201">
        <v>0.28999999999999998</v>
      </c>
      <c r="BG114" s="201">
        <v>0.28000000000000003</v>
      </c>
      <c r="BH114" s="201">
        <v>0.28000000000000003</v>
      </c>
      <c r="BI114" s="201">
        <v>0.28000000000000003</v>
      </c>
      <c r="BJ114" s="201">
        <v>0.27</v>
      </c>
      <c r="BK114" s="252">
        <v>0</v>
      </c>
    </row>
    <row r="115" spans="1:63">
      <c r="A115" s="251">
        <v>33</v>
      </c>
      <c r="B115" s="254">
        <v>0.74</v>
      </c>
      <c r="C115" s="253">
        <v>0.74</v>
      </c>
      <c r="D115" s="253">
        <v>0.73</v>
      </c>
      <c r="E115" s="253">
        <v>0.72</v>
      </c>
      <c r="F115" s="253">
        <v>0.71</v>
      </c>
      <c r="G115" s="253">
        <v>0.71</v>
      </c>
      <c r="H115" s="253">
        <v>0.7</v>
      </c>
      <c r="I115" s="253">
        <v>0.69</v>
      </c>
      <c r="J115" s="253">
        <v>0.68</v>
      </c>
      <c r="K115" s="253">
        <v>0.68</v>
      </c>
      <c r="L115" s="253">
        <v>0.67</v>
      </c>
      <c r="M115" s="201">
        <v>0.66</v>
      </c>
      <c r="N115" s="201">
        <v>0.65</v>
      </c>
      <c r="O115" s="201">
        <v>0.64</v>
      </c>
      <c r="P115" s="201">
        <v>0.63</v>
      </c>
      <c r="Q115" s="201">
        <v>0.63</v>
      </c>
      <c r="R115" s="201">
        <v>0.62</v>
      </c>
      <c r="S115" s="201">
        <v>0.61</v>
      </c>
      <c r="T115" s="201">
        <v>0.6</v>
      </c>
      <c r="U115" s="201">
        <v>0.59</v>
      </c>
      <c r="V115" s="201">
        <v>0.57999999999999996</v>
      </c>
      <c r="W115" s="201">
        <v>0.57999999999999996</v>
      </c>
      <c r="X115" s="201">
        <v>0.56999999999999995</v>
      </c>
      <c r="Y115" s="201">
        <v>0.56000000000000005</v>
      </c>
      <c r="Z115" s="201">
        <v>0.55000000000000004</v>
      </c>
      <c r="AA115" s="201">
        <v>0.54</v>
      </c>
      <c r="AB115" s="201">
        <v>0.53</v>
      </c>
      <c r="AC115" s="201">
        <v>0.52</v>
      </c>
      <c r="AD115" s="201">
        <v>0.51</v>
      </c>
      <c r="AE115" s="201">
        <v>0.5</v>
      </c>
      <c r="AF115" s="201">
        <v>0.5</v>
      </c>
      <c r="AG115" s="201">
        <v>0.49</v>
      </c>
      <c r="AH115" s="201">
        <v>0.48</v>
      </c>
      <c r="AI115" s="201">
        <v>0.47</v>
      </c>
      <c r="AJ115" s="201">
        <v>0.46</v>
      </c>
      <c r="AK115" s="201">
        <v>0.45</v>
      </c>
      <c r="AL115" s="201">
        <v>0.44</v>
      </c>
      <c r="AM115" s="201">
        <v>0.43</v>
      </c>
      <c r="AN115" s="201">
        <v>0.42</v>
      </c>
      <c r="AO115" s="201">
        <v>0.41</v>
      </c>
      <c r="AP115" s="201">
        <v>0.4</v>
      </c>
      <c r="AQ115" s="201">
        <v>0.39</v>
      </c>
      <c r="AR115" s="201">
        <v>0.38</v>
      </c>
      <c r="AS115" s="201">
        <v>0.37</v>
      </c>
      <c r="AT115" s="201">
        <v>0.37</v>
      </c>
      <c r="AU115" s="201">
        <v>0.36</v>
      </c>
      <c r="AV115" s="201">
        <v>0.35</v>
      </c>
      <c r="AW115" s="201">
        <v>0.34</v>
      </c>
      <c r="AX115" s="201">
        <v>0.33</v>
      </c>
      <c r="AY115" s="201">
        <v>0.32</v>
      </c>
      <c r="AZ115" s="201">
        <v>0.31</v>
      </c>
      <c r="BA115" s="201">
        <v>0.31</v>
      </c>
      <c r="BB115" s="201">
        <v>0.3</v>
      </c>
      <c r="BC115" s="201">
        <v>0.28999999999999998</v>
      </c>
      <c r="BD115" s="201">
        <v>0.28999999999999998</v>
      </c>
      <c r="BE115" s="201">
        <v>0.28000000000000003</v>
      </c>
      <c r="BF115" s="201">
        <v>0.28000000000000003</v>
      </c>
      <c r="BG115" s="201">
        <v>0.27</v>
      </c>
      <c r="BH115" s="201">
        <v>0.27</v>
      </c>
      <c r="BI115" s="201">
        <v>0.27</v>
      </c>
      <c r="BJ115" s="201">
        <v>0.26</v>
      </c>
      <c r="BK115" s="252">
        <v>0</v>
      </c>
    </row>
    <row r="116" spans="1:63">
      <c r="A116" s="251">
        <v>34</v>
      </c>
      <c r="B116" s="254">
        <v>0.73</v>
      </c>
      <c r="C116" s="253">
        <v>0.73</v>
      </c>
      <c r="D116" s="253">
        <v>0.72</v>
      </c>
      <c r="E116" s="253">
        <v>0.72</v>
      </c>
      <c r="F116" s="253">
        <v>0.71</v>
      </c>
      <c r="G116" s="253">
        <v>0.7</v>
      </c>
      <c r="H116" s="253">
        <v>0.69</v>
      </c>
      <c r="I116" s="253">
        <v>0.69</v>
      </c>
      <c r="J116" s="253">
        <v>0.68</v>
      </c>
      <c r="K116" s="253">
        <v>0.68</v>
      </c>
      <c r="L116" s="253">
        <v>0.66</v>
      </c>
      <c r="M116" s="201">
        <v>0.65</v>
      </c>
      <c r="N116" s="201">
        <v>0.64</v>
      </c>
      <c r="O116" s="201">
        <v>0.64</v>
      </c>
      <c r="P116" s="201">
        <v>0.63</v>
      </c>
      <c r="Q116" s="201">
        <v>0.62</v>
      </c>
      <c r="R116" s="201">
        <v>0.61</v>
      </c>
      <c r="S116" s="201">
        <v>0.6</v>
      </c>
      <c r="T116" s="201">
        <v>0.59</v>
      </c>
      <c r="U116" s="201">
        <v>0.59</v>
      </c>
      <c r="V116" s="201">
        <v>0.57999999999999996</v>
      </c>
      <c r="W116" s="201">
        <v>0.56999999999999995</v>
      </c>
      <c r="X116" s="201">
        <v>0.56000000000000005</v>
      </c>
      <c r="Y116" s="201">
        <v>0.55000000000000004</v>
      </c>
      <c r="Z116" s="201">
        <v>0.54</v>
      </c>
      <c r="AA116" s="201">
        <v>0.53</v>
      </c>
      <c r="AB116" s="201">
        <v>0.52</v>
      </c>
      <c r="AC116" s="201">
        <v>0.52</v>
      </c>
      <c r="AD116" s="201">
        <v>0.51</v>
      </c>
      <c r="AE116" s="201">
        <v>0.5</v>
      </c>
      <c r="AF116" s="201">
        <v>0.49</v>
      </c>
      <c r="AG116" s="201">
        <v>0.48</v>
      </c>
      <c r="AH116" s="201">
        <v>0.47</v>
      </c>
      <c r="AI116" s="201">
        <v>0.46</v>
      </c>
      <c r="AJ116" s="201">
        <v>0.45</v>
      </c>
      <c r="AK116" s="201">
        <v>0.44</v>
      </c>
      <c r="AL116" s="201">
        <v>0.43</v>
      </c>
      <c r="AM116" s="201">
        <v>0.42</v>
      </c>
      <c r="AN116" s="201">
        <v>0.41</v>
      </c>
      <c r="AO116" s="201">
        <v>0.4</v>
      </c>
      <c r="AP116" s="201">
        <v>0.39</v>
      </c>
      <c r="AQ116" s="201">
        <v>0.38</v>
      </c>
      <c r="AR116" s="201">
        <v>0.37</v>
      </c>
      <c r="AS116" s="201">
        <v>0.36</v>
      </c>
      <c r="AT116" s="201">
        <v>0.35</v>
      </c>
      <c r="AU116" s="201">
        <v>0.35</v>
      </c>
      <c r="AV116" s="201">
        <v>0.34</v>
      </c>
      <c r="AW116" s="201">
        <v>0.33</v>
      </c>
      <c r="AX116" s="201">
        <v>0.32</v>
      </c>
      <c r="AY116" s="201">
        <v>0.31</v>
      </c>
      <c r="AZ116" s="201">
        <v>0.3</v>
      </c>
      <c r="BA116" s="201">
        <v>0.28999999999999998</v>
      </c>
      <c r="BB116" s="201">
        <v>0.28999999999999998</v>
      </c>
      <c r="BC116" s="201">
        <v>0.28999999999999998</v>
      </c>
      <c r="BD116" s="201">
        <v>0.28000000000000003</v>
      </c>
      <c r="BE116" s="201">
        <v>0.28000000000000003</v>
      </c>
      <c r="BF116" s="201">
        <v>0.27</v>
      </c>
      <c r="BG116" s="201">
        <v>0.27</v>
      </c>
      <c r="BH116" s="201">
        <v>0.26</v>
      </c>
      <c r="BI116" s="201">
        <v>0.26</v>
      </c>
      <c r="BJ116" s="201">
        <v>0.26</v>
      </c>
      <c r="BK116" s="252">
        <v>0</v>
      </c>
    </row>
    <row r="117" spans="1:63">
      <c r="A117" s="251">
        <v>35</v>
      </c>
      <c r="B117" s="250">
        <v>0.73</v>
      </c>
      <c r="C117" s="249">
        <v>0.73</v>
      </c>
      <c r="D117" s="249">
        <v>0.72</v>
      </c>
      <c r="E117" s="249">
        <v>0.71</v>
      </c>
      <c r="F117" s="249">
        <v>0.7</v>
      </c>
      <c r="G117" s="249">
        <v>0.7</v>
      </c>
      <c r="H117" s="249">
        <v>0.69</v>
      </c>
      <c r="I117" s="249">
        <v>0.68</v>
      </c>
      <c r="J117" s="249">
        <v>0.67</v>
      </c>
      <c r="K117" s="249">
        <v>0.67</v>
      </c>
      <c r="L117" s="249">
        <v>0.66</v>
      </c>
      <c r="M117" s="248">
        <v>0.65</v>
      </c>
      <c r="N117" s="248">
        <v>0.64</v>
      </c>
      <c r="O117" s="248">
        <v>0.63</v>
      </c>
      <c r="P117" s="248">
        <v>0.62</v>
      </c>
      <c r="Q117" s="248">
        <v>0.61</v>
      </c>
      <c r="R117" s="248">
        <v>0.61</v>
      </c>
      <c r="S117" s="248">
        <v>0.6</v>
      </c>
      <c r="T117" s="248">
        <v>0.59</v>
      </c>
      <c r="U117" s="248">
        <v>0.57999999999999996</v>
      </c>
      <c r="V117" s="248">
        <v>0.56999999999999995</v>
      </c>
      <c r="W117" s="248">
        <v>0.56000000000000005</v>
      </c>
      <c r="X117" s="248">
        <v>0.55000000000000004</v>
      </c>
      <c r="Y117" s="248">
        <v>0.54</v>
      </c>
      <c r="Z117" s="248">
        <v>0.53</v>
      </c>
      <c r="AA117" s="248">
        <v>0.53</v>
      </c>
      <c r="AB117" s="248">
        <v>0.52</v>
      </c>
      <c r="AC117" s="248">
        <v>0.51</v>
      </c>
      <c r="AD117" s="248">
        <v>0.5</v>
      </c>
      <c r="AE117" s="248">
        <v>0.49</v>
      </c>
      <c r="AF117" s="248">
        <v>0.48</v>
      </c>
      <c r="AG117" s="248">
        <v>0.47</v>
      </c>
      <c r="AH117" s="248">
        <v>0.46</v>
      </c>
      <c r="AI117" s="248">
        <v>0.45</v>
      </c>
      <c r="AJ117" s="248">
        <v>0.44</v>
      </c>
      <c r="AK117" s="248">
        <v>0.43</v>
      </c>
      <c r="AL117" s="248">
        <v>0.42</v>
      </c>
      <c r="AM117" s="248">
        <v>0.41</v>
      </c>
      <c r="AN117" s="248">
        <v>0.4</v>
      </c>
      <c r="AO117" s="248">
        <v>0.39</v>
      </c>
      <c r="AP117" s="248">
        <v>0.38</v>
      </c>
      <c r="AQ117" s="248">
        <v>0.37</v>
      </c>
      <c r="AR117" s="248">
        <v>0.36</v>
      </c>
      <c r="AS117" s="248">
        <v>0.35</v>
      </c>
      <c r="AT117" s="248">
        <v>0.34</v>
      </c>
      <c r="AU117" s="248">
        <v>0.33</v>
      </c>
      <c r="AV117" s="248">
        <v>0.33</v>
      </c>
      <c r="AW117" s="248">
        <v>0.32</v>
      </c>
      <c r="AX117" s="248">
        <v>0.31</v>
      </c>
      <c r="AY117" s="248">
        <v>0.3</v>
      </c>
      <c r="AZ117" s="248">
        <v>0.28999999999999998</v>
      </c>
      <c r="BA117" s="248">
        <v>0.28000000000000003</v>
      </c>
      <c r="BB117" s="248">
        <v>0.28000000000000003</v>
      </c>
      <c r="BC117" s="248">
        <v>0.27</v>
      </c>
      <c r="BD117" s="248">
        <v>0.27</v>
      </c>
      <c r="BE117" s="248">
        <v>0.27</v>
      </c>
      <c r="BF117" s="248">
        <v>0.26</v>
      </c>
      <c r="BG117" s="248">
        <v>0.26</v>
      </c>
      <c r="BH117" s="248">
        <v>0.25</v>
      </c>
      <c r="BI117" s="248">
        <v>0.25</v>
      </c>
      <c r="BJ117" s="248">
        <v>0.25</v>
      </c>
      <c r="BK117" s="247">
        <v>0</v>
      </c>
    </row>
    <row r="118" spans="1:63">
      <c r="A118" s="251">
        <v>36</v>
      </c>
      <c r="B118" s="258">
        <v>0.72</v>
      </c>
      <c r="C118" s="257">
        <v>0.72</v>
      </c>
      <c r="D118" s="257">
        <v>0.71</v>
      </c>
      <c r="E118" s="257">
        <v>0.71</v>
      </c>
      <c r="F118" s="257">
        <v>0.7</v>
      </c>
      <c r="G118" s="257">
        <v>0.69</v>
      </c>
      <c r="H118" s="257">
        <v>0.68</v>
      </c>
      <c r="I118" s="257">
        <v>0.67</v>
      </c>
      <c r="J118" s="257">
        <v>0.67</v>
      </c>
      <c r="K118" s="257">
        <v>0.66</v>
      </c>
      <c r="L118" s="257">
        <v>0.65</v>
      </c>
      <c r="M118" s="256">
        <v>0.64</v>
      </c>
      <c r="N118" s="256">
        <v>0.63</v>
      </c>
      <c r="O118" s="256">
        <v>0.62</v>
      </c>
      <c r="P118" s="256">
        <v>0.62</v>
      </c>
      <c r="Q118" s="256">
        <v>0.61</v>
      </c>
      <c r="R118" s="256">
        <v>0.6</v>
      </c>
      <c r="S118" s="256">
        <v>0.59</v>
      </c>
      <c r="T118" s="256">
        <v>0.57999999999999996</v>
      </c>
      <c r="U118" s="256">
        <v>0.56999999999999995</v>
      </c>
      <c r="V118" s="256">
        <v>0.56000000000000005</v>
      </c>
      <c r="W118" s="256">
        <v>0.55000000000000004</v>
      </c>
      <c r="X118" s="256">
        <v>0.55000000000000004</v>
      </c>
      <c r="Y118" s="256">
        <v>0.54</v>
      </c>
      <c r="Z118" s="256">
        <v>0.53</v>
      </c>
      <c r="AA118" s="256">
        <v>0.52</v>
      </c>
      <c r="AB118" s="256">
        <v>0.51</v>
      </c>
      <c r="AC118" s="256">
        <v>0.5</v>
      </c>
      <c r="AD118" s="256">
        <v>0.49</v>
      </c>
      <c r="AE118" s="256">
        <v>0.48</v>
      </c>
      <c r="AF118" s="256">
        <v>0.47</v>
      </c>
      <c r="AG118" s="256">
        <v>0.46</v>
      </c>
      <c r="AH118" s="256">
        <v>0.45</v>
      </c>
      <c r="AI118" s="256">
        <v>0.44</v>
      </c>
      <c r="AJ118" s="256">
        <v>0.43</v>
      </c>
      <c r="AK118" s="256">
        <v>0.42</v>
      </c>
      <c r="AL118" s="256">
        <v>0.41</v>
      </c>
      <c r="AM118" s="256">
        <v>0.4</v>
      </c>
      <c r="AN118" s="256">
        <v>0.39</v>
      </c>
      <c r="AO118" s="256">
        <v>0.38</v>
      </c>
      <c r="AP118" s="256">
        <v>0.37</v>
      </c>
      <c r="AQ118" s="256">
        <v>0.36</v>
      </c>
      <c r="AR118" s="256">
        <v>0.35</v>
      </c>
      <c r="AS118" s="256">
        <v>0.34</v>
      </c>
      <c r="AT118" s="256">
        <v>0.33</v>
      </c>
      <c r="AU118" s="256">
        <v>0.32</v>
      </c>
      <c r="AV118" s="256">
        <v>0.31</v>
      </c>
      <c r="AW118" s="256">
        <v>0.3</v>
      </c>
      <c r="AX118" s="256">
        <v>0.3</v>
      </c>
      <c r="AY118" s="256">
        <v>0.28999999999999998</v>
      </c>
      <c r="AZ118" s="256">
        <v>0.28000000000000003</v>
      </c>
      <c r="BA118" s="256">
        <v>0.27</v>
      </c>
      <c r="BB118" s="256">
        <v>0.27</v>
      </c>
      <c r="BC118" s="256">
        <v>0.26</v>
      </c>
      <c r="BD118" s="256">
        <v>0.26</v>
      </c>
      <c r="BE118" s="256">
        <v>0.25</v>
      </c>
      <c r="BF118" s="256">
        <v>0.25</v>
      </c>
      <c r="BG118" s="256">
        <v>0.25</v>
      </c>
      <c r="BH118" s="256">
        <v>0.24</v>
      </c>
      <c r="BI118" s="256">
        <v>0.24</v>
      </c>
      <c r="BJ118" s="256">
        <v>0.24</v>
      </c>
      <c r="BK118" s="255">
        <v>0</v>
      </c>
    </row>
    <row r="119" spans="1:63">
      <c r="A119" s="251">
        <v>37</v>
      </c>
      <c r="B119" s="254">
        <v>0.72</v>
      </c>
      <c r="C119" s="253">
        <v>0.72</v>
      </c>
      <c r="D119" s="253">
        <v>0.71</v>
      </c>
      <c r="E119" s="253">
        <v>0.7</v>
      </c>
      <c r="F119" s="253">
        <v>0.69</v>
      </c>
      <c r="G119" s="253">
        <v>0.69</v>
      </c>
      <c r="H119" s="253">
        <v>0.68</v>
      </c>
      <c r="I119" s="253">
        <v>0.67</v>
      </c>
      <c r="J119" s="201">
        <v>0.66</v>
      </c>
      <c r="K119" s="253">
        <v>0.65</v>
      </c>
      <c r="L119" s="253">
        <v>0.64</v>
      </c>
      <c r="M119" s="201">
        <v>0.64</v>
      </c>
      <c r="N119" s="201">
        <v>0.63</v>
      </c>
      <c r="O119" s="201">
        <v>0.62</v>
      </c>
      <c r="P119" s="201">
        <v>0.61</v>
      </c>
      <c r="Q119" s="201">
        <v>0.6</v>
      </c>
      <c r="R119" s="201">
        <v>0.59</v>
      </c>
      <c r="S119" s="201">
        <v>0.57999999999999996</v>
      </c>
      <c r="T119" s="201">
        <v>0.56999999999999995</v>
      </c>
      <c r="U119" s="201">
        <v>0.56999999999999995</v>
      </c>
      <c r="V119" s="201">
        <v>0.56000000000000005</v>
      </c>
      <c r="W119" s="201">
        <v>0.55000000000000004</v>
      </c>
      <c r="X119" s="201">
        <v>0.54</v>
      </c>
      <c r="Y119" s="201">
        <v>0.53</v>
      </c>
      <c r="Z119" s="201">
        <v>0.52</v>
      </c>
      <c r="AA119" s="201">
        <v>0.51</v>
      </c>
      <c r="AB119" s="201">
        <v>0.5</v>
      </c>
      <c r="AC119" s="201">
        <v>0.49</v>
      </c>
      <c r="AD119" s="201">
        <v>0.48</v>
      </c>
      <c r="AE119" s="201">
        <v>0.47</v>
      </c>
      <c r="AF119" s="201">
        <v>0.46</v>
      </c>
      <c r="AG119" s="201">
        <v>0.45</v>
      </c>
      <c r="AH119" s="201">
        <v>0.44</v>
      </c>
      <c r="AI119" s="201">
        <v>0.43</v>
      </c>
      <c r="AJ119" s="201">
        <v>0.42</v>
      </c>
      <c r="AK119" s="201">
        <v>0.41</v>
      </c>
      <c r="AL119" s="201">
        <v>0.4</v>
      </c>
      <c r="AM119" s="201">
        <v>0.39</v>
      </c>
      <c r="AN119" s="201">
        <v>0.38</v>
      </c>
      <c r="AO119" s="201">
        <v>0.37</v>
      </c>
      <c r="AP119" s="201">
        <v>0.36</v>
      </c>
      <c r="AQ119" s="201">
        <v>0.35</v>
      </c>
      <c r="AR119" s="201">
        <v>0.34</v>
      </c>
      <c r="AS119" s="201">
        <v>0.33</v>
      </c>
      <c r="AT119" s="201">
        <v>0.32</v>
      </c>
      <c r="AU119" s="201">
        <v>0.31</v>
      </c>
      <c r="AV119" s="201">
        <v>0.3</v>
      </c>
      <c r="AW119" s="201">
        <v>0.28999999999999998</v>
      </c>
      <c r="AX119" s="201">
        <v>0.28000000000000003</v>
      </c>
      <c r="AY119" s="201">
        <v>0.27</v>
      </c>
      <c r="AZ119" s="201">
        <v>0.26</v>
      </c>
      <c r="BA119" s="201">
        <v>0.26</v>
      </c>
      <c r="BB119" s="201">
        <v>0.26</v>
      </c>
      <c r="BC119" s="201">
        <v>0.26</v>
      </c>
      <c r="BD119" s="201">
        <v>0.25</v>
      </c>
      <c r="BE119" s="201">
        <v>0.25</v>
      </c>
      <c r="BF119" s="201">
        <v>0.24</v>
      </c>
      <c r="BG119" s="201">
        <v>0.24</v>
      </c>
      <c r="BH119" s="201">
        <v>0.24</v>
      </c>
      <c r="BI119" s="201">
        <v>0.23</v>
      </c>
      <c r="BJ119" s="201">
        <v>0.23</v>
      </c>
      <c r="BK119" s="252">
        <v>0</v>
      </c>
    </row>
    <row r="120" spans="1:63">
      <c r="A120" s="251">
        <v>38</v>
      </c>
      <c r="B120" s="254">
        <v>0.71</v>
      </c>
      <c r="C120" s="253">
        <v>0.71</v>
      </c>
      <c r="D120" s="253">
        <v>0.7</v>
      </c>
      <c r="E120" s="253">
        <v>0.7</v>
      </c>
      <c r="F120" s="253">
        <v>0.69</v>
      </c>
      <c r="G120" s="253">
        <v>0.68</v>
      </c>
      <c r="H120" s="253">
        <v>0.67</v>
      </c>
      <c r="I120" s="253">
        <v>0.66</v>
      </c>
      <c r="J120" s="253">
        <v>0.65</v>
      </c>
      <c r="K120" s="253">
        <v>0.65</v>
      </c>
      <c r="L120" s="253">
        <v>0.64</v>
      </c>
      <c r="M120" s="201">
        <v>0.63</v>
      </c>
      <c r="N120" s="201">
        <v>0.62</v>
      </c>
      <c r="O120" s="201">
        <v>0.61</v>
      </c>
      <c r="P120" s="201">
        <v>0.6</v>
      </c>
      <c r="Q120" s="201">
        <v>0.59</v>
      </c>
      <c r="R120" s="201">
        <v>0.57999999999999996</v>
      </c>
      <c r="S120" s="201">
        <v>0.57999999999999996</v>
      </c>
      <c r="T120" s="201">
        <v>0.56999999999999995</v>
      </c>
      <c r="U120" s="201">
        <v>0.56000000000000005</v>
      </c>
      <c r="V120" s="201">
        <v>0.55000000000000004</v>
      </c>
      <c r="W120" s="201">
        <v>0.54</v>
      </c>
      <c r="X120" s="201">
        <v>0.53</v>
      </c>
      <c r="Y120" s="201">
        <v>0.52</v>
      </c>
      <c r="Z120" s="201">
        <v>0.51</v>
      </c>
      <c r="AA120" s="201">
        <v>0.5</v>
      </c>
      <c r="AB120" s="201">
        <v>0.49</v>
      </c>
      <c r="AC120" s="201">
        <v>0.48</v>
      </c>
      <c r="AD120" s="201">
        <v>0.47</v>
      </c>
      <c r="AE120" s="201">
        <v>0.46</v>
      </c>
      <c r="AF120" s="201">
        <v>0.45</v>
      </c>
      <c r="AG120" s="201">
        <v>0.44</v>
      </c>
      <c r="AH120" s="201">
        <v>0.43</v>
      </c>
      <c r="AI120" s="201">
        <v>0.42</v>
      </c>
      <c r="AJ120" s="201">
        <v>0.41</v>
      </c>
      <c r="AK120" s="201">
        <v>0.4</v>
      </c>
      <c r="AL120" s="201">
        <v>0.39</v>
      </c>
      <c r="AM120" s="201">
        <v>0.38</v>
      </c>
      <c r="AN120" s="201">
        <v>0.37</v>
      </c>
      <c r="AO120" s="201">
        <v>0.36</v>
      </c>
      <c r="AP120" s="201">
        <v>0.35</v>
      </c>
      <c r="AQ120" s="201">
        <v>0.34</v>
      </c>
      <c r="AR120" s="201">
        <v>0.33</v>
      </c>
      <c r="AS120" s="201">
        <v>0.32</v>
      </c>
      <c r="AT120" s="201">
        <v>0.31</v>
      </c>
      <c r="AU120" s="201">
        <v>0.3</v>
      </c>
      <c r="AV120" s="201">
        <v>0.28999999999999998</v>
      </c>
      <c r="AW120" s="201">
        <v>0.28000000000000003</v>
      </c>
      <c r="AX120" s="201">
        <v>0.27</v>
      </c>
      <c r="AY120" s="201">
        <v>0.26</v>
      </c>
      <c r="AZ120" s="201">
        <v>0.25</v>
      </c>
      <c r="BA120" s="201">
        <v>0.25</v>
      </c>
      <c r="BB120" s="201">
        <v>0.25</v>
      </c>
      <c r="BC120" s="201">
        <v>0.24</v>
      </c>
      <c r="BD120" s="201">
        <v>0.24</v>
      </c>
      <c r="BE120" s="201">
        <v>0.24</v>
      </c>
      <c r="BF120" s="201">
        <v>0.23</v>
      </c>
      <c r="BG120" s="201">
        <v>0.23</v>
      </c>
      <c r="BH120" s="201">
        <v>0.23</v>
      </c>
      <c r="BI120" s="201">
        <v>0.22</v>
      </c>
      <c r="BJ120" s="201">
        <v>0.22</v>
      </c>
      <c r="BK120" s="252">
        <v>0</v>
      </c>
    </row>
    <row r="121" spans="1:63">
      <c r="A121" s="251">
        <v>39</v>
      </c>
      <c r="B121" s="254">
        <v>0.71</v>
      </c>
      <c r="C121" s="253">
        <v>0.71</v>
      </c>
      <c r="D121" s="253">
        <v>0.7</v>
      </c>
      <c r="E121" s="253">
        <v>0.69</v>
      </c>
      <c r="F121" s="253">
        <v>0.68</v>
      </c>
      <c r="G121" s="253">
        <v>0.67</v>
      </c>
      <c r="H121" s="253">
        <v>0.66</v>
      </c>
      <c r="I121" s="253">
        <v>0.66</v>
      </c>
      <c r="J121" s="253">
        <v>0.65</v>
      </c>
      <c r="K121" s="253">
        <v>0.64</v>
      </c>
      <c r="L121" s="253">
        <v>0.63</v>
      </c>
      <c r="M121" s="201">
        <v>0.62</v>
      </c>
      <c r="N121" s="201">
        <v>0.61</v>
      </c>
      <c r="O121" s="201">
        <v>0.6</v>
      </c>
      <c r="P121" s="201">
        <v>0.6</v>
      </c>
      <c r="Q121" s="201">
        <v>0.59</v>
      </c>
      <c r="R121" s="201">
        <v>0.57999999999999996</v>
      </c>
      <c r="S121" s="201">
        <v>0.56999999999999995</v>
      </c>
      <c r="T121" s="201">
        <v>0.56000000000000005</v>
      </c>
      <c r="U121" s="201">
        <v>0.55000000000000004</v>
      </c>
      <c r="V121" s="201">
        <v>0.54</v>
      </c>
      <c r="W121" s="201">
        <v>0.53</v>
      </c>
      <c r="X121" s="201">
        <v>0.52</v>
      </c>
      <c r="Y121" s="201">
        <v>0.51</v>
      </c>
      <c r="Z121" s="201">
        <v>0.5</v>
      </c>
      <c r="AA121" s="201">
        <v>0.49</v>
      </c>
      <c r="AB121" s="201">
        <v>0.48</v>
      </c>
      <c r="AC121" s="201">
        <v>0.47</v>
      </c>
      <c r="AD121" s="201">
        <v>0.46</v>
      </c>
      <c r="AE121" s="201">
        <v>0.45</v>
      </c>
      <c r="AF121" s="201">
        <v>0.44</v>
      </c>
      <c r="AG121" s="201">
        <v>0.43</v>
      </c>
      <c r="AH121" s="201">
        <v>0.42</v>
      </c>
      <c r="AI121" s="201">
        <v>0.41</v>
      </c>
      <c r="AJ121" s="201">
        <v>0.4</v>
      </c>
      <c r="AK121" s="201">
        <v>0.39</v>
      </c>
      <c r="AL121" s="201">
        <v>0.38</v>
      </c>
      <c r="AM121" s="201">
        <v>0.37</v>
      </c>
      <c r="AN121" s="201">
        <v>0.36</v>
      </c>
      <c r="AO121" s="201">
        <v>0.35</v>
      </c>
      <c r="AP121" s="201">
        <v>0.33</v>
      </c>
      <c r="AQ121" s="201">
        <v>0.32</v>
      </c>
      <c r="AR121" s="201">
        <v>0.31</v>
      </c>
      <c r="AS121" s="201">
        <v>0.3</v>
      </c>
      <c r="AT121" s="201">
        <v>0.28999999999999998</v>
      </c>
      <c r="AU121" s="201">
        <v>0.28000000000000003</v>
      </c>
      <c r="AV121" s="201">
        <v>0.27</v>
      </c>
      <c r="AW121" s="201">
        <v>0.26</v>
      </c>
      <c r="AX121" s="201">
        <v>0.25</v>
      </c>
      <c r="AY121" s="201">
        <v>0.25</v>
      </c>
      <c r="AZ121" s="201">
        <v>0.24</v>
      </c>
      <c r="BA121" s="201">
        <v>0.24</v>
      </c>
      <c r="BB121" s="201">
        <v>0.24</v>
      </c>
      <c r="BC121" s="201">
        <v>0.23</v>
      </c>
      <c r="BD121" s="201">
        <v>0.23</v>
      </c>
      <c r="BE121" s="201">
        <v>0.22</v>
      </c>
      <c r="BF121" s="201">
        <v>0.22</v>
      </c>
      <c r="BG121" s="201">
        <v>0.22</v>
      </c>
      <c r="BH121" s="201">
        <v>0.21</v>
      </c>
      <c r="BI121" s="201">
        <v>0.21</v>
      </c>
      <c r="BJ121" s="201">
        <v>0.21</v>
      </c>
      <c r="BK121" s="252">
        <v>0</v>
      </c>
    </row>
    <row r="122" spans="1:63">
      <c r="A122" s="251">
        <v>40</v>
      </c>
      <c r="B122" s="250">
        <v>0.7</v>
      </c>
      <c r="C122" s="249">
        <v>0.7</v>
      </c>
      <c r="D122" s="249">
        <v>0.69</v>
      </c>
      <c r="E122" s="249">
        <v>0.69</v>
      </c>
      <c r="F122" s="249">
        <v>0.67</v>
      </c>
      <c r="G122" s="249">
        <v>0.67</v>
      </c>
      <c r="H122" s="249">
        <v>0.66</v>
      </c>
      <c r="I122" s="249">
        <v>0.65</v>
      </c>
      <c r="J122" s="249">
        <v>0.64</v>
      </c>
      <c r="K122" s="249">
        <v>0.63</v>
      </c>
      <c r="L122" s="249">
        <v>0.62</v>
      </c>
      <c r="M122" s="248">
        <v>0.61</v>
      </c>
      <c r="N122" s="248">
        <v>0.61</v>
      </c>
      <c r="O122" s="248">
        <v>0.6</v>
      </c>
      <c r="P122" s="248">
        <v>0.59</v>
      </c>
      <c r="Q122" s="248">
        <v>0.57999999999999996</v>
      </c>
      <c r="R122" s="248">
        <v>0.56999999999999995</v>
      </c>
      <c r="S122" s="248">
        <v>0.56000000000000005</v>
      </c>
      <c r="T122" s="248">
        <v>0.55000000000000004</v>
      </c>
      <c r="U122" s="248">
        <v>0.54</v>
      </c>
      <c r="V122" s="248">
        <v>0.53</v>
      </c>
      <c r="W122" s="248">
        <v>0.52</v>
      </c>
      <c r="X122" s="248">
        <v>0.51</v>
      </c>
      <c r="Y122" s="248">
        <v>0.5</v>
      </c>
      <c r="Z122" s="248">
        <v>0.49</v>
      </c>
      <c r="AA122" s="248">
        <v>0.48</v>
      </c>
      <c r="AB122" s="248">
        <v>0.47</v>
      </c>
      <c r="AC122" s="248">
        <v>0.46</v>
      </c>
      <c r="AD122" s="248">
        <v>0.45</v>
      </c>
      <c r="AE122" s="248">
        <v>0.44</v>
      </c>
      <c r="AF122" s="248">
        <v>0.43</v>
      </c>
      <c r="AG122" s="248">
        <v>0.42</v>
      </c>
      <c r="AH122" s="248">
        <v>0.41</v>
      </c>
      <c r="AI122" s="248">
        <v>0.4</v>
      </c>
      <c r="AJ122" s="248">
        <v>0.39</v>
      </c>
      <c r="AK122" s="248">
        <v>0.38</v>
      </c>
      <c r="AL122" s="248">
        <v>0.36</v>
      </c>
      <c r="AM122" s="248">
        <v>0.35</v>
      </c>
      <c r="AN122" s="248">
        <v>0.34</v>
      </c>
      <c r="AO122" s="248">
        <v>0.33</v>
      </c>
      <c r="AP122" s="248">
        <v>0.32</v>
      </c>
      <c r="AQ122" s="248">
        <v>0.31</v>
      </c>
      <c r="AR122" s="248">
        <v>0.3</v>
      </c>
      <c r="AS122" s="248">
        <v>0.28999999999999998</v>
      </c>
      <c r="AT122" s="248">
        <v>0.28000000000000003</v>
      </c>
      <c r="AU122" s="248">
        <v>0.27</v>
      </c>
      <c r="AV122" s="248">
        <v>0.26</v>
      </c>
      <c r="AW122" s="248">
        <v>0.25</v>
      </c>
      <c r="AX122" s="248">
        <v>0.24</v>
      </c>
      <c r="AY122" s="248">
        <v>0.24</v>
      </c>
      <c r="AZ122" s="248">
        <v>0.23</v>
      </c>
      <c r="BA122" s="248">
        <v>0.23</v>
      </c>
      <c r="BB122" s="248">
        <v>0.23</v>
      </c>
      <c r="BC122" s="248">
        <v>0.23</v>
      </c>
      <c r="BD122" s="248">
        <v>0.22</v>
      </c>
      <c r="BE122" s="248">
        <v>0.22</v>
      </c>
      <c r="BF122" s="248">
        <v>0.22</v>
      </c>
      <c r="BG122" s="248">
        <v>0.21</v>
      </c>
      <c r="BH122" s="248">
        <v>0.21</v>
      </c>
      <c r="BI122" s="248">
        <v>0.21</v>
      </c>
      <c r="BJ122" s="248">
        <v>0.2</v>
      </c>
      <c r="BK122" s="247">
        <v>0</v>
      </c>
    </row>
    <row r="123" spans="1:63">
      <c r="A123" s="251">
        <v>41</v>
      </c>
      <c r="B123" s="258">
        <v>0.69</v>
      </c>
      <c r="C123" s="257">
        <v>0.69</v>
      </c>
      <c r="D123" s="257">
        <v>0.69</v>
      </c>
      <c r="E123" s="257">
        <v>0.68</v>
      </c>
      <c r="F123" s="257">
        <v>0.67</v>
      </c>
      <c r="G123" s="257">
        <v>0.66</v>
      </c>
      <c r="H123" s="257">
        <v>0.65</v>
      </c>
      <c r="I123" s="257">
        <v>0.64</v>
      </c>
      <c r="J123" s="257">
        <v>0.63</v>
      </c>
      <c r="K123" s="257">
        <v>0.62</v>
      </c>
      <c r="L123" s="257">
        <v>0.62</v>
      </c>
      <c r="M123" s="256">
        <v>0.61</v>
      </c>
      <c r="N123" s="256">
        <v>0.6</v>
      </c>
      <c r="O123" s="256">
        <v>0.59</v>
      </c>
      <c r="P123" s="201">
        <v>0.57999999999999996</v>
      </c>
      <c r="Q123" s="201">
        <v>0.56999999999999995</v>
      </c>
      <c r="R123" s="201">
        <v>0.56000000000000005</v>
      </c>
      <c r="S123" s="201">
        <v>0.55000000000000004</v>
      </c>
      <c r="T123" s="201">
        <v>0.54</v>
      </c>
      <c r="U123" s="259">
        <v>0.53</v>
      </c>
      <c r="V123" s="201">
        <v>0.52</v>
      </c>
      <c r="W123" s="201">
        <v>0.51</v>
      </c>
      <c r="X123" s="201">
        <v>0.5</v>
      </c>
      <c r="Y123" s="201">
        <v>0.49</v>
      </c>
      <c r="Z123" s="201">
        <v>0.48</v>
      </c>
      <c r="AA123" s="201">
        <v>0.47</v>
      </c>
      <c r="AB123" s="201">
        <v>0.46</v>
      </c>
      <c r="AC123" s="256">
        <v>0.45</v>
      </c>
      <c r="AD123" s="256">
        <v>0.44</v>
      </c>
      <c r="AE123" s="256">
        <v>0.43</v>
      </c>
      <c r="AF123" s="256">
        <v>0.42</v>
      </c>
      <c r="AG123" s="256">
        <v>0.41</v>
      </c>
      <c r="AH123" s="256">
        <v>0.4</v>
      </c>
      <c r="AI123" s="256">
        <v>0.39</v>
      </c>
      <c r="AJ123" s="256">
        <v>0.37</v>
      </c>
      <c r="AK123" s="256">
        <v>0.36</v>
      </c>
      <c r="AL123" s="256">
        <v>0.35</v>
      </c>
      <c r="AM123" s="256">
        <v>0.34</v>
      </c>
      <c r="AN123" s="256">
        <v>0.33</v>
      </c>
      <c r="AO123" s="256">
        <v>0.32</v>
      </c>
      <c r="AP123" s="256">
        <v>0.31</v>
      </c>
      <c r="AQ123" s="256">
        <v>0.3</v>
      </c>
      <c r="AR123" s="256">
        <v>0.28999999999999998</v>
      </c>
      <c r="AS123" s="256">
        <v>0.27</v>
      </c>
      <c r="AT123" s="256">
        <v>0.26</v>
      </c>
      <c r="AU123" s="256">
        <v>0.25</v>
      </c>
      <c r="AV123" s="256">
        <v>0.24</v>
      </c>
      <c r="AW123" s="256">
        <v>0.23</v>
      </c>
      <c r="AX123" s="256">
        <v>0.23</v>
      </c>
      <c r="AY123" s="256">
        <v>0.23</v>
      </c>
      <c r="AZ123" s="256">
        <v>0.22</v>
      </c>
      <c r="BA123" s="256">
        <v>0.22</v>
      </c>
      <c r="BB123" s="256">
        <v>0.22</v>
      </c>
      <c r="BC123" s="256">
        <v>0.21</v>
      </c>
      <c r="BD123" s="256">
        <v>0.21</v>
      </c>
      <c r="BE123" s="256">
        <v>0.21</v>
      </c>
      <c r="BF123" s="256">
        <v>0.2</v>
      </c>
      <c r="BG123" s="256">
        <v>0.2</v>
      </c>
      <c r="BH123" s="256">
        <v>0.2</v>
      </c>
      <c r="BI123" s="256">
        <v>0.19</v>
      </c>
      <c r="BJ123" s="256">
        <v>0.19</v>
      </c>
      <c r="BK123" s="255">
        <v>0</v>
      </c>
    </row>
    <row r="124" spans="1:63">
      <c r="A124" s="251">
        <v>42</v>
      </c>
      <c r="B124" s="254">
        <v>0.69</v>
      </c>
      <c r="C124" s="253">
        <v>0.69</v>
      </c>
      <c r="D124" s="253">
        <v>0.68</v>
      </c>
      <c r="E124" s="253">
        <v>0.67</v>
      </c>
      <c r="F124" s="253">
        <v>0.66</v>
      </c>
      <c r="G124" s="253">
        <v>0.65</v>
      </c>
      <c r="H124" s="253">
        <v>0.64</v>
      </c>
      <c r="I124" s="253">
        <v>0.63</v>
      </c>
      <c r="J124" s="253">
        <v>0.63</v>
      </c>
      <c r="K124" s="253">
        <v>0.62</v>
      </c>
      <c r="L124" s="253">
        <v>0.61</v>
      </c>
      <c r="M124" s="201">
        <v>0.6</v>
      </c>
      <c r="N124" s="201">
        <v>0.59</v>
      </c>
      <c r="O124" s="201">
        <v>0.57999999999999996</v>
      </c>
      <c r="P124" s="201">
        <v>0.56999999999999995</v>
      </c>
      <c r="Q124" s="201">
        <v>0.56000000000000005</v>
      </c>
      <c r="R124" s="201">
        <v>0.55000000000000004</v>
      </c>
      <c r="S124" s="201">
        <v>0.54</v>
      </c>
      <c r="T124" s="201">
        <v>0.53</v>
      </c>
      <c r="U124" s="259">
        <v>0.52</v>
      </c>
      <c r="V124" s="259">
        <v>0.51</v>
      </c>
      <c r="W124" s="201">
        <v>0.5</v>
      </c>
      <c r="X124" s="201">
        <v>0.49</v>
      </c>
      <c r="Y124" s="201">
        <v>0.48</v>
      </c>
      <c r="Z124" s="201">
        <v>0.47</v>
      </c>
      <c r="AA124" s="201">
        <v>0.46</v>
      </c>
      <c r="AB124" s="201">
        <v>0.45</v>
      </c>
      <c r="AC124" s="201">
        <v>0.44</v>
      </c>
      <c r="AD124" s="201">
        <v>0.43</v>
      </c>
      <c r="AE124" s="201">
        <v>0.42</v>
      </c>
      <c r="AF124" s="201">
        <v>0.41</v>
      </c>
      <c r="AG124" s="201">
        <v>0.4</v>
      </c>
      <c r="AH124" s="201">
        <v>0.38</v>
      </c>
      <c r="AI124" s="201">
        <v>0.37</v>
      </c>
      <c r="AJ124" s="201">
        <v>0.36</v>
      </c>
      <c r="AK124" s="201">
        <v>0.35</v>
      </c>
      <c r="AL124" s="201">
        <v>0.34</v>
      </c>
      <c r="AM124" s="201">
        <v>0.33</v>
      </c>
      <c r="AN124" s="201">
        <v>0.32</v>
      </c>
      <c r="AO124" s="201">
        <v>0.3</v>
      </c>
      <c r="AP124" s="201">
        <v>0.28999999999999998</v>
      </c>
      <c r="AQ124" s="201">
        <v>0.28000000000000003</v>
      </c>
      <c r="AR124" s="201">
        <v>0.27</v>
      </c>
      <c r="AS124" s="201">
        <v>0.26</v>
      </c>
      <c r="AT124" s="201">
        <v>0.25</v>
      </c>
      <c r="AU124" s="201">
        <v>0.24</v>
      </c>
      <c r="AV124" s="201">
        <v>0.23</v>
      </c>
      <c r="AW124" s="201">
        <v>0.22</v>
      </c>
      <c r="AX124" s="201">
        <v>0.22</v>
      </c>
      <c r="AY124" s="201">
        <v>0.21</v>
      </c>
      <c r="AZ124" s="201">
        <v>0.21</v>
      </c>
      <c r="BA124" s="201">
        <v>0.21</v>
      </c>
      <c r="BB124" s="201">
        <v>0.2</v>
      </c>
      <c r="BC124" s="201">
        <v>0.2</v>
      </c>
      <c r="BD124" s="201">
        <v>0.2</v>
      </c>
      <c r="BE124" s="201">
        <v>0.2</v>
      </c>
      <c r="BF124" s="201">
        <v>0.19</v>
      </c>
      <c r="BG124" s="201">
        <v>0.19</v>
      </c>
      <c r="BH124" s="201">
        <v>0.19</v>
      </c>
      <c r="BI124" s="201">
        <v>0.18</v>
      </c>
      <c r="BJ124" s="201">
        <v>0.18</v>
      </c>
      <c r="BK124" s="252">
        <v>0</v>
      </c>
    </row>
    <row r="125" spans="1:63">
      <c r="A125" s="251">
        <v>43</v>
      </c>
      <c r="B125" s="254">
        <v>0.68</v>
      </c>
      <c r="C125" s="253">
        <v>0.68</v>
      </c>
      <c r="D125" s="253">
        <v>0.67</v>
      </c>
      <c r="E125" s="253">
        <v>0.66</v>
      </c>
      <c r="F125" s="253">
        <v>0.65</v>
      </c>
      <c r="G125" s="253">
        <v>0.64</v>
      </c>
      <c r="H125" s="253">
        <v>0.64</v>
      </c>
      <c r="I125" s="253">
        <v>0.63</v>
      </c>
      <c r="J125" s="253">
        <v>0.62</v>
      </c>
      <c r="K125" s="253">
        <v>0.61</v>
      </c>
      <c r="L125" s="253">
        <v>0.6</v>
      </c>
      <c r="M125" s="201">
        <v>0.59</v>
      </c>
      <c r="N125" s="201">
        <v>0.57999999999999996</v>
      </c>
      <c r="O125" s="201">
        <v>0.56999999999999995</v>
      </c>
      <c r="P125" s="201">
        <v>0.56000000000000005</v>
      </c>
      <c r="Q125" s="201">
        <v>0.55000000000000004</v>
      </c>
      <c r="R125" s="201">
        <v>0.54</v>
      </c>
      <c r="S125" s="201">
        <v>0.53</v>
      </c>
      <c r="T125" s="201">
        <v>0.52</v>
      </c>
      <c r="U125" s="259">
        <v>0.51</v>
      </c>
      <c r="V125" s="259">
        <v>0.5</v>
      </c>
      <c r="W125" s="201">
        <v>0.49</v>
      </c>
      <c r="X125" s="201">
        <v>0.48</v>
      </c>
      <c r="Y125" s="201">
        <v>0.47</v>
      </c>
      <c r="Z125" s="201">
        <v>0.46</v>
      </c>
      <c r="AA125" s="201">
        <v>0.45</v>
      </c>
      <c r="AB125" s="201">
        <v>0.44</v>
      </c>
      <c r="AC125" s="201">
        <v>0.43</v>
      </c>
      <c r="AD125" s="201">
        <v>0.42</v>
      </c>
      <c r="AE125" s="201">
        <v>0.41</v>
      </c>
      <c r="AF125" s="201">
        <v>0.39</v>
      </c>
      <c r="AG125" s="201">
        <v>0.38</v>
      </c>
      <c r="AH125" s="201">
        <v>0.37</v>
      </c>
      <c r="AI125" s="201">
        <v>0.36</v>
      </c>
      <c r="AJ125" s="201">
        <v>0.35</v>
      </c>
      <c r="AK125" s="201">
        <v>0.34</v>
      </c>
      <c r="AL125" s="201">
        <v>0.32</v>
      </c>
      <c r="AM125" s="201">
        <v>0.31</v>
      </c>
      <c r="AN125" s="201">
        <v>0.3</v>
      </c>
      <c r="AO125" s="201">
        <v>0.28999999999999998</v>
      </c>
      <c r="AP125" s="201">
        <v>0.28000000000000003</v>
      </c>
      <c r="AQ125" s="201">
        <v>0.27</v>
      </c>
      <c r="AR125" s="201">
        <v>0.25</v>
      </c>
      <c r="AS125" s="201">
        <v>0.24</v>
      </c>
      <c r="AT125" s="201">
        <v>0.23</v>
      </c>
      <c r="AU125" s="201">
        <v>0.22</v>
      </c>
      <c r="AV125" s="201">
        <v>0.21</v>
      </c>
      <c r="AW125" s="201">
        <v>0.21</v>
      </c>
      <c r="AX125" s="201">
        <v>0.2</v>
      </c>
      <c r="AY125" s="201">
        <v>0.2</v>
      </c>
      <c r="AZ125" s="201">
        <v>0.2</v>
      </c>
      <c r="BA125" s="201">
        <v>0.2</v>
      </c>
      <c r="BB125" s="201">
        <v>0.19</v>
      </c>
      <c r="BC125" s="201">
        <v>0.19</v>
      </c>
      <c r="BD125" s="201">
        <v>0.19</v>
      </c>
      <c r="BE125" s="201">
        <v>0.18</v>
      </c>
      <c r="BF125" s="201">
        <v>0.18</v>
      </c>
      <c r="BG125" s="201">
        <v>0.18</v>
      </c>
      <c r="BH125" s="201">
        <v>0.18</v>
      </c>
      <c r="BI125" s="201">
        <v>0.17</v>
      </c>
      <c r="BJ125" s="201">
        <v>0.17</v>
      </c>
      <c r="BK125" s="252">
        <v>0</v>
      </c>
    </row>
    <row r="126" spans="1:63">
      <c r="A126" s="251">
        <v>44</v>
      </c>
      <c r="B126" s="254">
        <v>0.67</v>
      </c>
      <c r="C126" s="253">
        <v>0.67</v>
      </c>
      <c r="D126" s="253">
        <v>0.66</v>
      </c>
      <c r="E126" s="253">
        <v>0.65</v>
      </c>
      <c r="F126" s="253">
        <v>0.65</v>
      </c>
      <c r="G126" s="253">
        <v>0.64</v>
      </c>
      <c r="H126" s="253">
        <v>0.63</v>
      </c>
      <c r="I126" s="253">
        <v>0.62</v>
      </c>
      <c r="J126" s="253">
        <v>0.61</v>
      </c>
      <c r="K126" s="253">
        <v>0.6</v>
      </c>
      <c r="L126" s="253">
        <v>0.59</v>
      </c>
      <c r="M126" s="201">
        <v>0.57999999999999996</v>
      </c>
      <c r="N126" s="201">
        <v>0.56999999999999995</v>
      </c>
      <c r="O126" s="201">
        <v>0.56000000000000005</v>
      </c>
      <c r="P126" s="201">
        <v>0.55000000000000004</v>
      </c>
      <c r="Q126" s="201">
        <v>0.54</v>
      </c>
      <c r="R126" s="201">
        <v>0.53</v>
      </c>
      <c r="S126" s="201">
        <v>0.52</v>
      </c>
      <c r="T126" s="201">
        <v>0.51</v>
      </c>
      <c r="U126" s="259">
        <v>0.5</v>
      </c>
      <c r="V126" s="259">
        <v>0.49</v>
      </c>
      <c r="W126" s="201">
        <v>0.48</v>
      </c>
      <c r="X126" s="201">
        <v>0.47</v>
      </c>
      <c r="Y126" s="201">
        <v>0.46</v>
      </c>
      <c r="Z126" s="201">
        <v>0.45</v>
      </c>
      <c r="AA126" s="201">
        <v>0.44</v>
      </c>
      <c r="AB126" s="201">
        <v>0.43</v>
      </c>
      <c r="AC126" s="201">
        <v>0.42</v>
      </c>
      <c r="AD126" s="201">
        <v>0.4</v>
      </c>
      <c r="AE126" s="201">
        <v>0.39</v>
      </c>
      <c r="AF126" s="201">
        <v>0.38</v>
      </c>
      <c r="AG126" s="201">
        <v>0.37</v>
      </c>
      <c r="AH126" s="201">
        <v>0.36</v>
      </c>
      <c r="AI126" s="201">
        <v>0.35</v>
      </c>
      <c r="AJ126" s="201">
        <v>0.33</v>
      </c>
      <c r="AK126" s="201">
        <v>0.32</v>
      </c>
      <c r="AL126" s="201">
        <v>0.31</v>
      </c>
      <c r="AM126" s="201">
        <v>0.3</v>
      </c>
      <c r="AN126" s="201">
        <v>0.28999999999999998</v>
      </c>
      <c r="AO126" s="201">
        <v>0.27</v>
      </c>
      <c r="AP126" s="201">
        <v>0.26</v>
      </c>
      <c r="AQ126" s="201">
        <v>0.25</v>
      </c>
      <c r="AR126" s="201">
        <v>0.24</v>
      </c>
      <c r="AS126" s="201">
        <v>0.23</v>
      </c>
      <c r="AT126" s="201">
        <v>0.21</v>
      </c>
      <c r="AU126" s="201">
        <v>0.2</v>
      </c>
      <c r="AV126" s="201">
        <v>0.2</v>
      </c>
      <c r="AW126" s="201">
        <v>0.2</v>
      </c>
      <c r="AX126" s="201">
        <v>0.2</v>
      </c>
      <c r="AY126" s="201">
        <v>0.19</v>
      </c>
      <c r="AZ126" s="201">
        <v>0.19</v>
      </c>
      <c r="BA126" s="201">
        <v>0.19</v>
      </c>
      <c r="BB126" s="201">
        <v>0.19</v>
      </c>
      <c r="BC126" s="201">
        <v>0.18</v>
      </c>
      <c r="BD126" s="201">
        <v>0.18</v>
      </c>
      <c r="BE126" s="201">
        <v>0.18</v>
      </c>
      <c r="BF126" s="201">
        <v>0.18</v>
      </c>
      <c r="BG126" s="201">
        <v>0.17</v>
      </c>
      <c r="BH126" s="201">
        <v>0.17</v>
      </c>
      <c r="BI126" s="201">
        <v>0.17</v>
      </c>
      <c r="BJ126" s="201">
        <v>0.16</v>
      </c>
      <c r="BK126" s="252">
        <v>0</v>
      </c>
    </row>
    <row r="127" spans="1:63">
      <c r="A127" s="251">
        <v>45</v>
      </c>
      <c r="B127" s="250">
        <v>0.66</v>
      </c>
      <c r="C127" s="249">
        <v>0.66</v>
      </c>
      <c r="D127" s="249">
        <v>0.66</v>
      </c>
      <c r="E127" s="249">
        <v>0.65</v>
      </c>
      <c r="F127" s="249">
        <v>0.64</v>
      </c>
      <c r="G127" s="249">
        <v>0.63</v>
      </c>
      <c r="H127" s="249">
        <v>0.62</v>
      </c>
      <c r="I127" s="249">
        <v>0.61</v>
      </c>
      <c r="J127" s="249">
        <v>0.6</v>
      </c>
      <c r="K127" s="249">
        <v>0.59</v>
      </c>
      <c r="L127" s="249">
        <v>0.57999999999999996</v>
      </c>
      <c r="M127" s="248">
        <v>0.56999999999999995</v>
      </c>
      <c r="N127" s="248">
        <v>0.56000000000000005</v>
      </c>
      <c r="O127" s="248">
        <v>0.55000000000000004</v>
      </c>
      <c r="P127" s="201">
        <v>0.54</v>
      </c>
      <c r="Q127" s="201">
        <v>0.53</v>
      </c>
      <c r="R127" s="201">
        <v>0.52</v>
      </c>
      <c r="S127" s="201">
        <v>0.51</v>
      </c>
      <c r="T127" s="259">
        <v>0.5</v>
      </c>
      <c r="U127" s="259">
        <v>0.49</v>
      </c>
      <c r="V127" s="259">
        <v>0.48</v>
      </c>
      <c r="W127" s="201">
        <v>0.47</v>
      </c>
      <c r="X127" s="201">
        <v>0.46</v>
      </c>
      <c r="Y127" s="201">
        <v>0.45</v>
      </c>
      <c r="Z127" s="201">
        <v>0.44</v>
      </c>
      <c r="AA127" s="201">
        <v>0.43</v>
      </c>
      <c r="AB127" s="201">
        <v>0.41</v>
      </c>
      <c r="AC127" s="248">
        <v>0.4</v>
      </c>
      <c r="AD127" s="248">
        <v>0.39</v>
      </c>
      <c r="AE127" s="248">
        <v>0.38</v>
      </c>
      <c r="AF127" s="248">
        <v>0.37</v>
      </c>
      <c r="AG127" s="248">
        <v>0.36</v>
      </c>
      <c r="AH127" s="248">
        <v>0.34</v>
      </c>
      <c r="AI127" s="248">
        <v>0.33</v>
      </c>
      <c r="AJ127" s="248">
        <v>0.32</v>
      </c>
      <c r="AK127" s="248">
        <v>0.31</v>
      </c>
      <c r="AL127" s="248">
        <v>0.28999999999999998</v>
      </c>
      <c r="AM127" s="248">
        <v>0.28000000000000003</v>
      </c>
      <c r="AN127" s="248">
        <v>0.27</v>
      </c>
      <c r="AO127" s="248">
        <v>0.26</v>
      </c>
      <c r="AP127" s="248">
        <v>0.24</v>
      </c>
      <c r="AQ127" s="248">
        <v>0.23</v>
      </c>
      <c r="AR127" s="248">
        <v>0.22</v>
      </c>
      <c r="AS127" s="248">
        <v>0.21</v>
      </c>
      <c r="AT127" s="248">
        <v>0.2</v>
      </c>
      <c r="AU127" s="248">
        <v>0.19</v>
      </c>
      <c r="AV127" s="248">
        <v>0.19</v>
      </c>
      <c r="AW127" s="248">
        <v>0.19</v>
      </c>
      <c r="AX127" s="248">
        <v>0.18</v>
      </c>
      <c r="AY127" s="248">
        <v>0.18</v>
      </c>
      <c r="AZ127" s="248">
        <v>0.18</v>
      </c>
      <c r="BA127" s="248">
        <v>0.18</v>
      </c>
      <c r="BB127" s="248">
        <v>0.17</v>
      </c>
      <c r="BC127" s="248">
        <v>0.17</v>
      </c>
      <c r="BD127" s="248">
        <v>0.17</v>
      </c>
      <c r="BE127" s="248">
        <v>0.17</v>
      </c>
      <c r="BF127" s="248">
        <v>0.16</v>
      </c>
      <c r="BG127" s="248">
        <v>0.16</v>
      </c>
      <c r="BH127" s="248">
        <v>0.16</v>
      </c>
      <c r="BI127" s="248">
        <v>0.16</v>
      </c>
      <c r="BJ127" s="248">
        <v>0.15</v>
      </c>
      <c r="BK127" s="247">
        <v>0</v>
      </c>
    </row>
    <row r="128" spans="1:63">
      <c r="A128" s="251">
        <v>46</v>
      </c>
      <c r="B128" s="258">
        <v>0.66</v>
      </c>
      <c r="C128" s="257">
        <v>0.66</v>
      </c>
      <c r="D128" s="257">
        <v>0.65</v>
      </c>
      <c r="E128" s="257">
        <v>0.64</v>
      </c>
      <c r="F128" s="257">
        <v>0.63</v>
      </c>
      <c r="G128" s="257">
        <v>0.62</v>
      </c>
      <c r="H128" s="257">
        <v>0.61</v>
      </c>
      <c r="I128" s="257">
        <v>0.6</v>
      </c>
      <c r="J128" s="257">
        <v>0.59</v>
      </c>
      <c r="K128" s="257">
        <v>0.57999999999999996</v>
      </c>
      <c r="L128" s="257">
        <v>0.56999999999999995</v>
      </c>
      <c r="M128" s="256">
        <v>0.56000000000000005</v>
      </c>
      <c r="N128" s="256">
        <v>0.55000000000000004</v>
      </c>
      <c r="O128" s="256">
        <v>0.54</v>
      </c>
      <c r="P128" s="256">
        <v>0.53</v>
      </c>
      <c r="Q128" s="256">
        <v>0.52</v>
      </c>
      <c r="R128" s="256">
        <v>0.51</v>
      </c>
      <c r="S128" s="256">
        <v>0.5</v>
      </c>
      <c r="T128" s="256">
        <v>0.49</v>
      </c>
      <c r="U128" s="256">
        <v>0.48</v>
      </c>
      <c r="V128" s="256">
        <v>0.47</v>
      </c>
      <c r="W128" s="256">
        <v>0.46</v>
      </c>
      <c r="X128" s="256">
        <v>0.45</v>
      </c>
      <c r="Y128" s="256">
        <v>0.44</v>
      </c>
      <c r="Z128" s="256">
        <v>0.42</v>
      </c>
      <c r="AA128" s="256">
        <v>0.41</v>
      </c>
      <c r="AB128" s="256">
        <v>0.4</v>
      </c>
      <c r="AC128" s="256">
        <v>0.39</v>
      </c>
      <c r="AD128" s="256">
        <v>0.38</v>
      </c>
      <c r="AE128" s="256">
        <v>0.37</v>
      </c>
      <c r="AF128" s="256">
        <v>0.35</v>
      </c>
      <c r="AG128" s="256">
        <v>0.34</v>
      </c>
      <c r="AH128" s="256">
        <v>0.33</v>
      </c>
      <c r="AI128" s="256">
        <v>0.32</v>
      </c>
      <c r="AJ128" s="256">
        <v>0.3</v>
      </c>
      <c r="AK128" s="256">
        <v>0.28999999999999998</v>
      </c>
      <c r="AL128" s="256">
        <v>0.28000000000000003</v>
      </c>
      <c r="AM128" s="256">
        <v>0.26</v>
      </c>
      <c r="AN128" s="256">
        <v>0.25</v>
      </c>
      <c r="AO128" s="256">
        <v>0.24</v>
      </c>
      <c r="AP128" s="256">
        <v>0.23</v>
      </c>
      <c r="AQ128" s="256">
        <v>0.21</v>
      </c>
      <c r="AR128" s="256">
        <v>0.2</v>
      </c>
      <c r="AS128" s="256">
        <v>0.19</v>
      </c>
      <c r="AT128" s="256">
        <v>0.18</v>
      </c>
      <c r="AU128" s="256">
        <v>0.18</v>
      </c>
      <c r="AV128" s="256">
        <v>0.18</v>
      </c>
      <c r="AW128" s="256">
        <v>0.18</v>
      </c>
      <c r="AX128" s="256">
        <v>0.17</v>
      </c>
      <c r="AY128" s="256">
        <v>0.17</v>
      </c>
      <c r="AZ128" s="256">
        <v>0.17</v>
      </c>
      <c r="BA128" s="256">
        <v>0.17</v>
      </c>
      <c r="BB128" s="256">
        <v>0.16</v>
      </c>
      <c r="BC128" s="256">
        <v>0.16</v>
      </c>
      <c r="BD128" s="256">
        <v>0.16</v>
      </c>
      <c r="BE128" s="256">
        <v>0.16</v>
      </c>
      <c r="BF128" s="256">
        <v>0.15</v>
      </c>
      <c r="BG128" s="256">
        <v>0.15</v>
      </c>
      <c r="BH128" s="256">
        <v>0.15</v>
      </c>
      <c r="BI128" s="256">
        <v>0.15</v>
      </c>
      <c r="BJ128" s="256">
        <v>0.15</v>
      </c>
      <c r="BK128" s="255">
        <v>0</v>
      </c>
    </row>
    <row r="129" spans="1:63">
      <c r="A129" s="251">
        <v>47</v>
      </c>
      <c r="B129" s="254">
        <v>0.65</v>
      </c>
      <c r="C129" s="253">
        <v>0.65</v>
      </c>
      <c r="D129" s="253">
        <v>0.64</v>
      </c>
      <c r="E129" s="253">
        <v>0.63</v>
      </c>
      <c r="F129" s="253">
        <v>0.62</v>
      </c>
      <c r="G129" s="253">
        <v>0.61</v>
      </c>
      <c r="H129" s="253">
        <v>0.6</v>
      </c>
      <c r="I129" s="253">
        <v>0.59</v>
      </c>
      <c r="J129" s="253">
        <v>0.57999999999999996</v>
      </c>
      <c r="K129" s="253">
        <v>0.56999999999999995</v>
      </c>
      <c r="L129" s="253">
        <v>0.56000000000000005</v>
      </c>
      <c r="M129" s="201">
        <v>0.55000000000000004</v>
      </c>
      <c r="N129" s="201">
        <v>0.54</v>
      </c>
      <c r="O129" s="201">
        <v>0.53</v>
      </c>
      <c r="P129" s="201">
        <v>0.52</v>
      </c>
      <c r="Q129" s="201">
        <v>0.51</v>
      </c>
      <c r="R129" s="201">
        <v>0.5</v>
      </c>
      <c r="S129" s="201">
        <v>0.49</v>
      </c>
      <c r="T129" s="201">
        <v>0.48</v>
      </c>
      <c r="U129" s="201">
        <v>0.47</v>
      </c>
      <c r="V129" s="201">
        <v>0.46</v>
      </c>
      <c r="W129" s="201">
        <v>0.45</v>
      </c>
      <c r="X129" s="201">
        <v>0.43</v>
      </c>
      <c r="Y129" s="201">
        <v>0.42</v>
      </c>
      <c r="Z129" s="201">
        <v>0.41</v>
      </c>
      <c r="AA129" s="201">
        <v>0.4</v>
      </c>
      <c r="AB129" s="201">
        <v>0.39</v>
      </c>
      <c r="AC129" s="201">
        <v>0.38</v>
      </c>
      <c r="AD129" s="201">
        <v>0.36</v>
      </c>
      <c r="AE129" s="201">
        <v>0.35</v>
      </c>
      <c r="AF129" s="201">
        <v>0.34</v>
      </c>
      <c r="AG129" s="201">
        <v>0.33</v>
      </c>
      <c r="AH129" s="201">
        <v>0.31</v>
      </c>
      <c r="AI129" s="201">
        <v>0.3</v>
      </c>
      <c r="AJ129" s="201">
        <v>0.28999999999999998</v>
      </c>
      <c r="AK129" s="201">
        <v>0.27</v>
      </c>
      <c r="AL129" s="201">
        <v>0.26</v>
      </c>
      <c r="AM129" s="201">
        <v>0.25</v>
      </c>
      <c r="AN129" s="201">
        <v>0.23</v>
      </c>
      <c r="AO129" s="201">
        <v>0.22</v>
      </c>
      <c r="AP129" s="201">
        <v>0.21</v>
      </c>
      <c r="AQ129" s="201">
        <v>0.19</v>
      </c>
      <c r="AR129" s="201">
        <v>0.18</v>
      </c>
      <c r="AS129" s="201">
        <v>0.17</v>
      </c>
      <c r="AT129" s="201">
        <v>0.17</v>
      </c>
      <c r="AU129" s="201">
        <v>0.17</v>
      </c>
      <c r="AV129" s="201">
        <v>0.17</v>
      </c>
      <c r="AW129" s="201">
        <v>0.16</v>
      </c>
      <c r="AX129" s="201">
        <v>0.16</v>
      </c>
      <c r="AY129" s="201">
        <v>0.16</v>
      </c>
      <c r="AZ129" s="201">
        <v>0.16</v>
      </c>
      <c r="BA129" s="201">
        <v>0.15</v>
      </c>
      <c r="BB129" s="201">
        <v>0.15</v>
      </c>
      <c r="BC129" s="201">
        <v>0.15</v>
      </c>
      <c r="BD129" s="201">
        <v>0.15</v>
      </c>
      <c r="BE129" s="201">
        <v>0.15</v>
      </c>
      <c r="BF129" s="201">
        <v>0.14000000000000001</v>
      </c>
      <c r="BG129" s="201">
        <v>0</v>
      </c>
      <c r="BH129" s="201">
        <v>0</v>
      </c>
      <c r="BI129" s="201">
        <v>0</v>
      </c>
      <c r="BJ129" s="201">
        <v>0</v>
      </c>
      <c r="BK129" s="252">
        <v>0</v>
      </c>
    </row>
    <row r="130" spans="1:63">
      <c r="A130" s="251">
        <v>48</v>
      </c>
      <c r="B130" s="254">
        <v>0.64</v>
      </c>
      <c r="C130" s="253">
        <v>0.64</v>
      </c>
      <c r="D130" s="253">
        <v>0.63</v>
      </c>
      <c r="E130" s="253">
        <v>0.62</v>
      </c>
      <c r="F130" s="253">
        <v>0.61</v>
      </c>
      <c r="G130" s="253">
        <v>0.6</v>
      </c>
      <c r="H130" s="253">
        <v>0.59</v>
      </c>
      <c r="I130" s="253">
        <v>0.57999999999999996</v>
      </c>
      <c r="J130" s="253">
        <v>0.56999999999999995</v>
      </c>
      <c r="K130" s="253">
        <v>0.56000000000000005</v>
      </c>
      <c r="L130" s="253">
        <v>0.55000000000000004</v>
      </c>
      <c r="M130" s="201">
        <v>0.54</v>
      </c>
      <c r="N130" s="201">
        <v>0.53</v>
      </c>
      <c r="O130" s="201">
        <v>0.52</v>
      </c>
      <c r="P130" s="201">
        <v>0.51</v>
      </c>
      <c r="Q130" s="201">
        <v>0.5</v>
      </c>
      <c r="R130" s="201">
        <v>0.49</v>
      </c>
      <c r="S130" s="201">
        <v>0.48</v>
      </c>
      <c r="T130" s="201">
        <v>0.47</v>
      </c>
      <c r="U130" s="201">
        <v>0.46</v>
      </c>
      <c r="V130" s="201">
        <v>0.44</v>
      </c>
      <c r="W130" s="201">
        <v>0.43</v>
      </c>
      <c r="X130" s="201">
        <v>0.42</v>
      </c>
      <c r="Y130" s="201">
        <v>0.41</v>
      </c>
      <c r="Z130" s="201">
        <v>0.4</v>
      </c>
      <c r="AA130" s="201">
        <v>0.39</v>
      </c>
      <c r="AB130" s="201">
        <v>0.37</v>
      </c>
      <c r="AC130" s="201">
        <v>0.36</v>
      </c>
      <c r="AD130" s="201">
        <v>0.35</v>
      </c>
      <c r="AE130" s="201">
        <v>0.34</v>
      </c>
      <c r="AF130" s="201">
        <v>0.32</v>
      </c>
      <c r="AG130" s="201">
        <v>0.31</v>
      </c>
      <c r="AH130" s="201">
        <v>0.3</v>
      </c>
      <c r="AI130" s="201">
        <v>0.28000000000000003</v>
      </c>
      <c r="AJ130" s="201">
        <v>0.27</v>
      </c>
      <c r="AK130" s="201">
        <v>0.26</v>
      </c>
      <c r="AL130" s="201">
        <v>0.24</v>
      </c>
      <c r="AM130" s="201">
        <v>0.23</v>
      </c>
      <c r="AN130" s="201">
        <v>0.22</v>
      </c>
      <c r="AO130" s="201">
        <v>0.2</v>
      </c>
      <c r="AP130" s="201">
        <v>0.19</v>
      </c>
      <c r="AQ130" s="201">
        <v>0.17</v>
      </c>
      <c r="AR130" s="201">
        <v>0.16</v>
      </c>
      <c r="AS130" s="201">
        <v>0.16</v>
      </c>
      <c r="AT130" s="201">
        <v>0.16</v>
      </c>
      <c r="AU130" s="201">
        <v>0.16</v>
      </c>
      <c r="AV130" s="201">
        <v>0.15</v>
      </c>
      <c r="AW130" s="201">
        <v>0.15</v>
      </c>
      <c r="AX130" s="201">
        <v>0.15</v>
      </c>
      <c r="AY130" s="201">
        <v>0.15</v>
      </c>
      <c r="AZ130" s="201">
        <v>0.15</v>
      </c>
      <c r="BA130" s="201">
        <v>0.14000000000000001</v>
      </c>
      <c r="BB130" s="201">
        <v>0</v>
      </c>
      <c r="BC130" s="201">
        <v>0</v>
      </c>
      <c r="BD130" s="201">
        <v>0</v>
      </c>
      <c r="BE130" s="201">
        <v>0</v>
      </c>
      <c r="BF130" s="201">
        <v>0</v>
      </c>
      <c r="BG130" s="201">
        <v>0</v>
      </c>
      <c r="BH130" s="201">
        <v>0</v>
      </c>
      <c r="BI130" s="201">
        <v>0</v>
      </c>
      <c r="BJ130" s="201">
        <v>0</v>
      </c>
      <c r="BK130" s="252">
        <v>0</v>
      </c>
    </row>
    <row r="131" spans="1:63">
      <c r="A131" s="251">
        <v>49</v>
      </c>
      <c r="B131" s="254">
        <v>0.63</v>
      </c>
      <c r="C131" s="253">
        <v>0.63</v>
      </c>
      <c r="D131" s="253">
        <v>0.62</v>
      </c>
      <c r="E131" s="253">
        <v>0.61</v>
      </c>
      <c r="F131" s="253">
        <v>0.6</v>
      </c>
      <c r="G131" s="253">
        <v>0.59</v>
      </c>
      <c r="H131" s="253">
        <v>0.57999999999999996</v>
      </c>
      <c r="I131" s="253">
        <v>0.56999999999999995</v>
      </c>
      <c r="J131" s="253">
        <v>0.56000000000000005</v>
      </c>
      <c r="K131" s="253">
        <v>0.55000000000000004</v>
      </c>
      <c r="L131" s="253">
        <v>0.54</v>
      </c>
      <c r="M131" s="201">
        <v>0.53</v>
      </c>
      <c r="N131" s="201">
        <v>0.52</v>
      </c>
      <c r="O131" s="201">
        <v>0.51</v>
      </c>
      <c r="P131" s="201">
        <v>0.5</v>
      </c>
      <c r="Q131" s="201">
        <v>0.49</v>
      </c>
      <c r="R131" s="201">
        <v>0.48</v>
      </c>
      <c r="S131" s="201">
        <v>0.47</v>
      </c>
      <c r="T131" s="201">
        <v>0.45</v>
      </c>
      <c r="U131" s="201">
        <v>0.44</v>
      </c>
      <c r="V131" s="201">
        <v>0.43</v>
      </c>
      <c r="W131" s="201">
        <v>0.42</v>
      </c>
      <c r="X131" s="201">
        <v>0.41</v>
      </c>
      <c r="Y131" s="201">
        <v>0.4</v>
      </c>
      <c r="Z131" s="201">
        <v>0.38</v>
      </c>
      <c r="AA131" s="201">
        <v>0.37</v>
      </c>
      <c r="AB131" s="201">
        <v>0.36</v>
      </c>
      <c r="AC131" s="201">
        <v>0.35</v>
      </c>
      <c r="AD131" s="201">
        <v>0.33</v>
      </c>
      <c r="AE131" s="201">
        <v>0.32</v>
      </c>
      <c r="AF131" s="201">
        <v>0.31</v>
      </c>
      <c r="AG131" s="201">
        <v>0.28999999999999998</v>
      </c>
      <c r="AH131" s="201">
        <v>0.28000000000000003</v>
      </c>
      <c r="AI131" s="201">
        <v>0.26</v>
      </c>
      <c r="AJ131" s="201">
        <v>0.25</v>
      </c>
      <c r="AK131" s="201">
        <v>0.24</v>
      </c>
      <c r="AL131" s="201">
        <v>0.22</v>
      </c>
      <c r="AM131" s="201">
        <v>0.21</v>
      </c>
      <c r="AN131" s="201">
        <v>0.2</v>
      </c>
      <c r="AO131" s="201">
        <v>0.18</v>
      </c>
      <c r="AP131" s="201">
        <v>0.17</v>
      </c>
      <c r="AQ131" s="201">
        <v>0.15</v>
      </c>
      <c r="AR131" s="201">
        <v>0.15</v>
      </c>
      <c r="AS131" s="201">
        <v>0.15</v>
      </c>
      <c r="AT131" s="201">
        <v>0.15</v>
      </c>
      <c r="AU131" s="201">
        <v>0.15</v>
      </c>
      <c r="AV131" s="201">
        <v>0.14000000000000001</v>
      </c>
      <c r="AW131" s="201">
        <v>0.14000000000000001</v>
      </c>
      <c r="AX131" s="201">
        <v>0</v>
      </c>
      <c r="AY131" s="201">
        <v>0</v>
      </c>
      <c r="AZ131" s="201">
        <v>0</v>
      </c>
      <c r="BA131" s="201">
        <v>0</v>
      </c>
      <c r="BB131" s="201">
        <v>0</v>
      </c>
      <c r="BC131" s="201">
        <v>0</v>
      </c>
      <c r="BD131" s="201">
        <v>0</v>
      </c>
      <c r="BE131" s="201">
        <v>0</v>
      </c>
      <c r="BF131" s="201">
        <v>0</v>
      </c>
      <c r="BG131" s="201">
        <v>0</v>
      </c>
      <c r="BH131" s="201">
        <v>0</v>
      </c>
      <c r="BI131" s="201">
        <v>0</v>
      </c>
      <c r="BJ131" s="201">
        <v>0</v>
      </c>
      <c r="BK131" s="252">
        <v>0</v>
      </c>
    </row>
    <row r="132" spans="1:63">
      <c r="A132" s="251">
        <v>50</v>
      </c>
      <c r="B132" s="250">
        <v>0.62</v>
      </c>
      <c r="C132" s="249">
        <v>0.62</v>
      </c>
      <c r="D132" s="249">
        <v>0.61</v>
      </c>
      <c r="E132" s="249">
        <v>0.6</v>
      </c>
      <c r="F132" s="249">
        <v>0.59</v>
      </c>
      <c r="G132" s="249">
        <v>0.57999999999999996</v>
      </c>
      <c r="H132" s="249">
        <v>0.56999999999999995</v>
      </c>
      <c r="I132" s="249">
        <v>0.56000000000000005</v>
      </c>
      <c r="J132" s="249">
        <v>0.55000000000000004</v>
      </c>
      <c r="K132" s="249">
        <v>0.54</v>
      </c>
      <c r="L132" s="249">
        <v>0.53</v>
      </c>
      <c r="M132" s="248">
        <v>0.52</v>
      </c>
      <c r="N132" s="248">
        <v>0.51</v>
      </c>
      <c r="O132" s="248">
        <v>0.5</v>
      </c>
      <c r="P132" s="248">
        <v>0.49</v>
      </c>
      <c r="Q132" s="248">
        <v>0.48</v>
      </c>
      <c r="R132" s="248">
        <v>0.46</v>
      </c>
      <c r="S132" s="248">
        <v>0.45</v>
      </c>
      <c r="T132" s="248">
        <v>0.44</v>
      </c>
      <c r="U132" s="248">
        <v>0.43</v>
      </c>
      <c r="V132" s="248">
        <v>0.42</v>
      </c>
      <c r="W132" s="248">
        <v>0.41</v>
      </c>
      <c r="X132" s="248">
        <v>0.39</v>
      </c>
      <c r="Y132" s="248">
        <v>0.38</v>
      </c>
      <c r="Z132" s="248">
        <v>0.37</v>
      </c>
      <c r="AA132" s="248">
        <v>0.36</v>
      </c>
      <c r="AB132" s="248">
        <v>0.34</v>
      </c>
      <c r="AC132" s="248">
        <v>0.33</v>
      </c>
      <c r="AD132" s="248">
        <v>0.32</v>
      </c>
      <c r="AE132" s="248">
        <v>0.3</v>
      </c>
      <c r="AF132" s="248">
        <v>0.28999999999999998</v>
      </c>
      <c r="AG132" s="248">
        <v>0.27</v>
      </c>
      <c r="AH132" s="248">
        <v>0.26</v>
      </c>
      <c r="AI132" s="248">
        <v>0.25</v>
      </c>
      <c r="AJ132" s="248">
        <v>0.23</v>
      </c>
      <c r="AK132" s="248">
        <v>0.22</v>
      </c>
      <c r="AL132" s="248">
        <v>0.2</v>
      </c>
      <c r="AM132" s="248">
        <v>0.19</v>
      </c>
      <c r="AN132" s="248">
        <v>0.17</v>
      </c>
      <c r="AO132" s="248">
        <v>0.16</v>
      </c>
      <c r="AP132" s="248">
        <v>0.15</v>
      </c>
      <c r="AQ132" s="248">
        <v>0.15</v>
      </c>
      <c r="AR132" s="248">
        <v>0.14000000000000001</v>
      </c>
      <c r="AS132" s="248">
        <v>0</v>
      </c>
      <c r="AT132" s="248">
        <v>0</v>
      </c>
      <c r="AU132" s="248">
        <v>0</v>
      </c>
      <c r="AV132" s="248">
        <v>0</v>
      </c>
      <c r="AW132" s="248">
        <v>0</v>
      </c>
      <c r="AX132" s="248">
        <v>0</v>
      </c>
      <c r="AY132" s="248">
        <v>0</v>
      </c>
      <c r="AZ132" s="248">
        <v>0</v>
      </c>
      <c r="BA132" s="248">
        <v>0</v>
      </c>
      <c r="BB132" s="248">
        <v>0</v>
      </c>
      <c r="BC132" s="248">
        <v>0</v>
      </c>
      <c r="BD132" s="248">
        <v>0</v>
      </c>
      <c r="BE132" s="248">
        <v>0</v>
      </c>
      <c r="BF132" s="248">
        <v>0</v>
      </c>
      <c r="BG132" s="248">
        <v>0</v>
      </c>
      <c r="BH132" s="248">
        <v>0</v>
      </c>
      <c r="BI132" s="248">
        <v>0</v>
      </c>
      <c r="BJ132" s="248">
        <v>0</v>
      </c>
      <c r="BK132" s="247">
        <v>0</v>
      </c>
    </row>
    <row r="133" spans="1:63">
      <c r="A133" s="251">
        <v>51</v>
      </c>
      <c r="B133" s="258">
        <v>0.61</v>
      </c>
      <c r="C133" s="257">
        <v>0.61</v>
      </c>
      <c r="D133" s="257">
        <v>0.6</v>
      </c>
      <c r="E133" s="257">
        <v>0.59</v>
      </c>
      <c r="F133" s="257">
        <v>0.57999999999999996</v>
      </c>
      <c r="G133" s="257">
        <v>0.56999999999999995</v>
      </c>
      <c r="H133" s="257">
        <v>0.56000000000000005</v>
      </c>
      <c r="I133" s="257">
        <v>0.55000000000000004</v>
      </c>
      <c r="J133" s="257">
        <v>0.54</v>
      </c>
      <c r="K133" s="257">
        <v>0.53</v>
      </c>
      <c r="L133" s="257">
        <v>0.52</v>
      </c>
      <c r="M133" s="256">
        <v>0.51</v>
      </c>
      <c r="N133" s="256">
        <v>0.5</v>
      </c>
      <c r="O133" s="256">
        <v>0.49</v>
      </c>
      <c r="P133" s="256">
        <v>0.47</v>
      </c>
      <c r="Q133" s="256">
        <v>0.46</v>
      </c>
      <c r="R133" s="256">
        <v>0.45</v>
      </c>
      <c r="S133" s="256">
        <v>0.44</v>
      </c>
      <c r="T133" s="256">
        <v>0.43</v>
      </c>
      <c r="U133" s="256">
        <v>0.42</v>
      </c>
      <c r="V133" s="256">
        <v>0.4</v>
      </c>
      <c r="W133" s="256">
        <v>0.39</v>
      </c>
      <c r="X133" s="256">
        <v>0.38</v>
      </c>
      <c r="Y133" s="256">
        <v>0.37</v>
      </c>
      <c r="Z133" s="256">
        <v>0.35</v>
      </c>
      <c r="AA133" s="256">
        <v>0.34</v>
      </c>
      <c r="AB133" s="256">
        <v>0.33</v>
      </c>
      <c r="AC133" s="256">
        <v>0.31</v>
      </c>
      <c r="AD133" s="256">
        <v>0.3</v>
      </c>
      <c r="AE133" s="256">
        <v>0.28000000000000003</v>
      </c>
      <c r="AF133" s="256">
        <v>0.27</v>
      </c>
      <c r="AG133" s="256">
        <v>0.26</v>
      </c>
      <c r="AH133" s="256">
        <v>0.24</v>
      </c>
      <c r="AI133" s="256">
        <v>0.23</v>
      </c>
      <c r="AJ133" s="256">
        <v>0.21</v>
      </c>
      <c r="AK133" s="256">
        <v>0.2</v>
      </c>
      <c r="AL133" s="256">
        <v>0.18</v>
      </c>
      <c r="AM133" s="256">
        <v>0.17</v>
      </c>
      <c r="AN133" s="256">
        <v>0.15</v>
      </c>
      <c r="AO133" s="256">
        <v>0</v>
      </c>
      <c r="AP133" s="256">
        <v>0</v>
      </c>
      <c r="AQ133" s="256">
        <v>0</v>
      </c>
      <c r="AR133" s="256">
        <v>0</v>
      </c>
      <c r="AS133" s="256">
        <v>0</v>
      </c>
      <c r="AT133" s="256">
        <v>0</v>
      </c>
      <c r="AU133" s="256">
        <v>0</v>
      </c>
      <c r="AV133" s="256">
        <v>0</v>
      </c>
      <c r="AW133" s="256">
        <v>0</v>
      </c>
      <c r="AX133" s="256">
        <v>0</v>
      </c>
      <c r="AY133" s="256">
        <v>0</v>
      </c>
      <c r="AZ133" s="256">
        <v>0</v>
      </c>
      <c r="BA133" s="256">
        <v>0</v>
      </c>
      <c r="BB133" s="256">
        <v>0</v>
      </c>
      <c r="BC133" s="256">
        <v>0</v>
      </c>
      <c r="BD133" s="256">
        <v>0</v>
      </c>
      <c r="BE133" s="256">
        <v>0</v>
      </c>
      <c r="BF133" s="256">
        <v>0</v>
      </c>
      <c r="BG133" s="256">
        <v>0</v>
      </c>
      <c r="BH133" s="256">
        <v>0</v>
      </c>
      <c r="BI133" s="256">
        <v>0</v>
      </c>
      <c r="BJ133" s="256">
        <v>0</v>
      </c>
      <c r="BK133" s="255">
        <v>0</v>
      </c>
    </row>
    <row r="134" spans="1:63">
      <c r="A134" s="251">
        <v>52</v>
      </c>
      <c r="B134" s="254">
        <v>0.6</v>
      </c>
      <c r="C134" s="253">
        <v>0.6</v>
      </c>
      <c r="D134" s="253">
        <v>0.59</v>
      </c>
      <c r="E134" s="253">
        <v>0.57999999999999996</v>
      </c>
      <c r="F134" s="253">
        <v>0.56999999999999995</v>
      </c>
      <c r="G134" s="253">
        <v>0.56000000000000005</v>
      </c>
      <c r="H134" s="253">
        <v>0.55000000000000004</v>
      </c>
      <c r="I134" s="253">
        <v>0.54</v>
      </c>
      <c r="J134" s="253">
        <v>0.53</v>
      </c>
      <c r="K134" s="253">
        <v>0.52</v>
      </c>
      <c r="L134" s="253">
        <v>0.51</v>
      </c>
      <c r="M134" s="201">
        <v>0.49</v>
      </c>
      <c r="N134" s="201">
        <v>0.48</v>
      </c>
      <c r="O134" s="201">
        <v>0.47</v>
      </c>
      <c r="P134" s="201">
        <v>0.46</v>
      </c>
      <c r="Q134" s="201">
        <v>0.45</v>
      </c>
      <c r="R134" s="201">
        <v>0.44</v>
      </c>
      <c r="S134" s="201">
        <v>0.42</v>
      </c>
      <c r="T134" s="201">
        <v>0.41</v>
      </c>
      <c r="U134" s="201">
        <v>0.4</v>
      </c>
      <c r="V134" s="201">
        <v>0.39</v>
      </c>
      <c r="W134" s="201">
        <v>0.37</v>
      </c>
      <c r="X134" s="201">
        <v>0.36</v>
      </c>
      <c r="Y134" s="201">
        <v>0.35</v>
      </c>
      <c r="Z134" s="201">
        <v>0.34</v>
      </c>
      <c r="AA134" s="201">
        <v>0.32</v>
      </c>
      <c r="AB134" s="201">
        <v>0.31</v>
      </c>
      <c r="AC134" s="201">
        <v>0.28999999999999998</v>
      </c>
      <c r="AD134" s="201">
        <v>0.28000000000000003</v>
      </c>
      <c r="AE134" s="201">
        <v>0.27</v>
      </c>
      <c r="AF134" s="201">
        <v>0.25</v>
      </c>
      <c r="AG134" s="201">
        <v>0.24</v>
      </c>
      <c r="AH134" s="201">
        <v>0.22</v>
      </c>
      <c r="AI134" s="201">
        <v>0.21</v>
      </c>
      <c r="AJ134" s="201">
        <v>0.19</v>
      </c>
      <c r="AK134" s="201">
        <v>0.18</v>
      </c>
      <c r="AL134" s="201">
        <v>0.16</v>
      </c>
      <c r="AM134" s="201">
        <v>0.15</v>
      </c>
      <c r="AN134" s="201">
        <v>0</v>
      </c>
      <c r="AO134" s="201">
        <v>0</v>
      </c>
      <c r="AP134" s="201">
        <v>0</v>
      </c>
      <c r="AQ134" s="201">
        <v>0</v>
      </c>
      <c r="AR134" s="201">
        <v>0</v>
      </c>
      <c r="AS134" s="201">
        <v>0</v>
      </c>
      <c r="AT134" s="201">
        <v>0</v>
      </c>
      <c r="AU134" s="201">
        <v>0</v>
      </c>
      <c r="AV134" s="201">
        <v>0</v>
      </c>
      <c r="AW134" s="201">
        <v>0</v>
      </c>
      <c r="AX134" s="201">
        <v>0</v>
      </c>
      <c r="AY134" s="201">
        <v>0</v>
      </c>
      <c r="AZ134" s="201">
        <v>0</v>
      </c>
      <c r="BA134" s="201">
        <v>0</v>
      </c>
      <c r="BB134" s="201">
        <v>0</v>
      </c>
      <c r="BC134" s="201">
        <v>0</v>
      </c>
      <c r="BD134" s="201">
        <v>0</v>
      </c>
      <c r="BE134" s="201">
        <v>0</v>
      </c>
      <c r="BF134" s="201">
        <v>0</v>
      </c>
      <c r="BG134" s="201">
        <v>0</v>
      </c>
      <c r="BH134" s="201">
        <v>0</v>
      </c>
      <c r="BI134" s="201">
        <v>0</v>
      </c>
      <c r="BJ134" s="201">
        <v>0</v>
      </c>
      <c r="BK134" s="252">
        <v>0</v>
      </c>
    </row>
    <row r="135" spans="1:63">
      <c r="A135" s="251">
        <v>53</v>
      </c>
      <c r="B135" s="254">
        <v>0.59</v>
      </c>
      <c r="C135" s="253">
        <v>0.59</v>
      </c>
      <c r="D135" s="253">
        <v>0.57999999999999996</v>
      </c>
      <c r="E135" s="253">
        <v>0.56999999999999995</v>
      </c>
      <c r="F135" s="253">
        <v>0.56000000000000005</v>
      </c>
      <c r="G135" s="253">
        <v>0.55000000000000004</v>
      </c>
      <c r="H135" s="253">
        <v>0.54</v>
      </c>
      <c r="I135" s="253">
        <v>0.53</v>
      </c>
      <c r="J135" s="253">
        <v>0.51</v>
      </c>
      <c r="K135" s="253">
        <v>0.5</v>
      </c>
      <c r="L135" s="253">
        <v>0.49</v>
      </c>
      <c r="M135" s="201">
        <v>0.48</v>
      </c>
      <c r="N135" s="201">
        <v>0.47</v>
      </c>
      <c r="O135" s="201">
        <v>0.46</v>
      </c>
      <c r="P135" s="201">
        <v>0.45</v>
      </c>
      <c r="Q135" s="201">
        <v>0.43</v>
      </c>
      <c r="R135" s="201">
        <v>0.42</v>
      </c>
      <c r="S135" s="201">
        <v>0.41</v>
      </c>
      <c r="T135" s="201">
        <v>0.4</v>
      </c>
      <c r="U135" s="201">
        <v>0.38</v>
      </c>
      <c r="V135" s="201">
        <v>0.37</v>
      </c>
      <c r="W135" s="201">
        <v>0.36</v>
      </c>
      <c r="X135" s="201">
        <v>0.35</v>
      </c>
      <c r="Y135" s="201">
        <v>0.33</v>
      </c>
      <c r="Z135" s="201">
        <v>0.32</v>
      </c>
      <c r="AA135" s="201">
        <v>0.3</v>
      </c>
      <c r="AB135" s="201">
        <v>0.28999999999999998</v>
      </c>
      <c r="AC135" s="201">
        <v>0.28000000000000003</v>
      </c>
      <c r="AD135" s="201">
        <v>0.26</v>
      </c>
      <c r="AE135" s="201">
        <v>0.25</v>
      </c>
      <c r="AF135" s="201">
        <v>0.23</v>
      </c>
      <c r="AG135" s="201">
        <v>0.22</v>
      </c>
      <c r="AH135" s="201">
        <v>0.2</v>
      </c>
      <c r="AI135" s="201">
        <v>0.19</v>
      </c>
      <c r="AJ135" s="201">
        <v>0.17</v>
      </c>
      <c r="AK135" s="201">
        <v>0.15</v>
      </c>
      <c r="AL135" s="201">
        <v>0</v>
      </c>
      <c r="AM135" s="201">
        <v>0</v>
      </c>
      <c r="AN135" s="201">
        <v>0</v>
      </c>
      <c r="AO135" s="201">
        <v>0</v>
      </c>
      <c r="AP135" s="201">
        <v>0</v>
      </c>
      <c r="AQ135" s="201">
        <v>0</v>
      </c>
      <c r="AR135" s="201">
        <v>0</v>
      </c>
      <c r="AS135" s="201">
        <v>0</v>
      </c>
      <c r="AT135" s="201">
        <v>0</v>
      </c>
      <c r="AU135" s="201">
        <v>0</v>
      </c>
      <c r="AV135" s="201">
        <v>0</v>
      </c>
      <c r="AW135" s="201">
        <v>0</v>
      </c>
      <c r="AX135" s="201">
        <v>0</v>
      </c>
      <c r="AY135" s="201">
        <v>0</v>
      </c>
      <c r="AZ135" s="201">
        <v>0</v>
      </c>
      <c r="BA135" s="201">
        <v>0</v>
      </c>
      <c r="BB135" s="201">
        <v>0</v>
      </c>
      <c r="BC135" s="201">
        <v>0</v>
      </c>
      <c r="BD135" s="201">
        <v>0</v>
      </c>
      <c r="BE135" s="201">
        <v>0</v>
      </c>
      <c r="BF135" s="201">
        <v>0</v>
      </c>
      <c r="BG135" s="201">
        <v>0</v>
      </c>
      <c r="BH135" s="201">
        <v>0</v>
      </c>
      <c r="BI135" s="201">
        <v>0</v>
      </c>
      <c r="BJ135" s="201">
        <v>0</v>
      </c>
      <c r="BK135" s="252">
        <v>0</v>
      </c>
    </row>
    <row r="136" spans="1:63">
      <c r="A136" s="251">
        <v>54</v>
      </c>
      <c r="B136" s="254">
        <v>0.57999999999999996</v>
      </c>
      <c r="C136" s="253">
        <v>0.57999999999999996</v>
      </c>
      <c r="D136" s="253">
        <v>0.56999999999999995</v>
      </c>
      <c r="E136" s="253">
        <v>0.55000000000000004</v>
      </c>
      <c r="F136" s="253">
        <v>0.54</v>
      </c>
      <c r="G136" s="253">
        <v>0.53</v>
      </c>
      <c r="H136" s="253">
        <v>0.52</v>
      </c>
      <c r="I136" s="253">
        <v>0.51</v>
      </c>
      <c r="J136" s="253">
        <v>0.5</v>
      </c>
      <c r="K136" s="253">
        <v>0.49</v>
      </c>
      <c r="L136" s="253">
        <v>0.48</v>
      </c>
      <c r="M136" s="201">
        <v>0.47</v>
      </c>
      <c r="N136" s="201">
        <v>0.46</v>
      </c>
      <c r="O136" s="201">
        <v>0.44</v>
      </c>
      <c r="P136" s="201">
        <v>0.43</v>
      </c>
      <c r="Q136" s="201">
        <v>0.42</v>
      </c>
      <c r="R136" s="201">
        <v>0.41</v>
      </c>
      <c r="S136" s="201">
        <v>0.39</v>
      </c>
      <c r="T136" s="201">
        <v>0.38</v>
      </c>
      <c r="U136" s="201">
        <v>0.37</v>
      </c>
      <c r="V136" s="201">
        <v>0.35</v>
      </c>
      <c r="W136" s="201">
        <v>0.34</v>
      </c>
      <c r="X136" s="201">
        <v>0.33</v>
      </c>
      <c r="Y136" s="201">
        <v>0.31</v>
      </c>
      <c r="Z136" s="201">
        <v>0.3</v>
      </c>
      <c r="AA136" s="201">
        <v>0.28999999999999998</v>
      </c>
      <c r="AB136" s="201">
        <v>0.27</v>
      </c>
      <c r="AC136" s="201">
        <v>0.26</v>
      </c>
      <c r="AD136" s="201">
        <v>0.24</v>
      </c>
      <c r="AE136" s="201">
        <v>0.23</v>
      </c>
      <c r="AF136" s="201">
        <v>0.21</v>
      </c>
      <c r="AG136" s="201">
        <v>0.19</v>
      </c>
      <c r="AH136" s="201">
        <v>0.18</v>
      </c>
      <c r="AI136" s="201">
        <v>0.16</v>
      </c>
      <c r="AJ136" s="201">
        <v>0.15</v>
      </c>
      <c r="AK136" s="201">
        <v>0</v>
      </c>
      <c r="AL136" s="201">
        <v>0</v>
      </c>
      <c r="AM136" s="201">
        <v>0</v>
      </c>
      <c r="AN136" s="201">
        <v>0</v>
      </c>
      <c r="AO136" s="201">
        <v>0</v>
      </c>
      <c r="AP136" s="201">
        <v>0</v>
      </c>
      <c r="AQ136" s="201">
        <v>0</v>
      </c>
      <c r="AR136" s="201">
        <v>0</v>
      </c>
      <c r="AS136" s="201">
        <v>0</v>
      </c>
      <c r="AT136" s="201">
        <v>0</v>
      </c>
      <c r="AU136" s="201">
        <v>0</v>
      </c>
      <c r="AV136" s="201">
        <v>0</v>
      </c>
      <c r="AW136" s="201">
        <v>0</v>
      </c>
      <c r="AX136" s="201">
        <v>0</v>
      </c>
      <c r="AY136" s="201">
        <v>0</v>
      </c>
      <c r="AZ136" s="201">
        <v>0</v>
      </c>
      <c r="BA136" s="201">
        <v>0</v>
      </c>
      <c r="BB136" s="201">
        <v>0</v>
      </c>
      <c r="BC136" s="201">
        <v>0</v>
      </c>
      <c r="BD136" s="201">
        <v>0</v>
      </c>
      <c r="BE136" s="201">
        <v>0</v>
      </c>
      <c r="BF136" s="201">
        <v>0</v>
      </c>
      <c r="BG136" s="201">
        <v>0</v>
      </c>
      <c r="BH136" s="201">
        <v>0</v>
      </c>
      <c r="BI136" s="201">
        <v>0</v>
      </c>
      <c r="BJ136" s="201">
        <v>0</v>
      </c>
      <c r="BK136" s="252">
        <v>0</v>
      </c>
    </row>
    <row r="137" spans="1:63">
      <c r="A137" s="251">
        <v>55</v>
      </c>
      <c r="B137" s="250">
        <v>0.56000000000000005</v>
      </c>
      <c r="C137" s="249">
        <v>0.56000000000000005</v>
      </c>
      <c r="D137" s="249">
        <v>0.55000000000000004</v>
      </c>
      <c r="E137" s="249">
        <v>0.54</v>
      </c>
      <c r="F137" s="249">
        <v>0.53</v>
      </c>
      <c r="G137" s="249">
        <v>0.52</v>
      </c>
      <c r="H137" s="249">
        <v>0.51</v>
      </c>
      <c r="I137" s="249">
        <v>0.5</v>
      </c>
      <c r="J137" s="249">
        <v>0.49</v>
      </c>
      <c r="K137" s="249">
        <v>0.48</v>
      </c>
      <c r="L137" s="249">
        <v>0.46</v>
      </c>
      <c r="M137" s="248">
        <v>0.45</v>
      </c>
      <c r="N137" s="248">
        <v>0.44</v>
      </c>
      <c r="O137" s="248">
        <v>0.43</v>
      </c>
      <c r="P137" s="248">
        <v>0.42</v>
      </c>
      <c r="Q137" s="248">
        <v>0.4</v>
      </c>
      <c r="R137" s="248">
        <v>0.39</v>
      </c>
      <c r="S137" s="248">
        <v>0.38</v>
      </c>
      <c r="T137" s="248">
        <v>0.36</v>
      </c>
      <c r="U137" s="248">
        <v>0.35</v>
      </c>
      <c r="V137" s="248">
        <v>0.34</v>
      </c>
      <c r="W137" s="248">
        <v>0.32</v>
      </c>
      <c r="X137" s="248">
        <v>0.31</v>
      </c>
      <c r="Y137" s="248">
        <v>0.28999999999999998</v>
      </c>
      <c r="Z137" s="248">
        <v>0.28000000000000003</v>
      </c>
      <c r="AA137" s="248">
        <v>0.27</v>
      </c>
      <c r="AB137" s="248">
        <v>0.25</v>
      </c>
      <c r="AC137" s="248">
        <v>0.24</v>
      </c>
      <c r="AD137" s="248">
        <v>0.22</v>
      </c>
      <c r="AE137" s="248">
        <v>0.2</v>
      </c>
      <c r="AF137" s="248">
        <v>0.19</v>
      </c>
      <c r="AG137" s="248">
        <v>0.17</v>
      </c>
      <c r="AH137" s="248">
        <v>0.16</v>
      </c>
      <c r="AI137" s="248">
        <v>0</v>
      </c>
      <c r="AJ137" s="248">
        <v>0</v>
      </c>
      <c r="AK137" s="248">
        <v>0</v>
      </c>
      <c r="AL137" s="248">
        <v>0</v>
      </c>
      <c r="AM137" s="248">
        <v>0</v>
      </c>
      <c r="AN137" s="248">
        <v>0</v>
      </c>
      <c r="AO137" s="248">
        <v>0</v>
      </c>
      <c r="AP137" s="248">
        <v>0</v>
      </c>
      <c r="AQ137" s="248">
        <v>0</v>
      </c>
      <c r="AR137" s="248">
        <v>0</v>
      </c>
      <c r="AS137" s="248">
        <v>0</v>
      </c>
      <c r="AT137" s="248">
        <v>0</v>
      </c>
      <c r="AU137" s="248">
        <v>0</v>
      </c>
      <c r="AV137" s="248">
        <v>0</v>
      </c>
      <c r="AW137" s="248">
        <v>0</v>
      </c>
      <c r="AX137" s="248">
        <v>0</v>
      </c>
      <c r="AY137" s="248">
        <v>0</v>
      </c>
      <c r="AZ137" s="248">
        <v>0</v>
      </c>
      <c r="BA137" s="248">
        <v>0</v>
      </c>
      <c r="BB137" s="248">
        <v>0</v>
      </c>
      <c r="BC137" s="248">
        <v>0</v>
      </c>
      <c r="BD137" s="248">
        <v>0</v>
      </c>
      <c r="BE137" s="248">
        <v>0</v>
      </c>
      <c r="BF137" s="248">
        <v>0</v>
      </c>
      <c r="BG137" s="248">
        <v>0</v>
      </c>
      <c r="BH137" s="248">
        <v>0</v>
      </c>
      <c r="BI137" s="248">
        <v>0</v>
      </c>
      <c r="BJ137" s="248">
        <v>0</v>
      </c>
      <c r="BK137" s="247">
        <v>0</v>
      </c>
    </row>
    <row r="138" spans="1:63">
      <c r="A138" s="251">
        <v>56</v>
      </c>
      <c r="B138" s="258">
        <v>0.55000000000000004</v>
      </c>
      <c r="C138" s="257">
        <v>0.55000000000000004</v>
      </c>
      <c r="D138" s="257">
        <v>0.54</v>
      </c>
      <c r="E138" s="257">
        <v>0.53</v>
      </c>
      <c r="F138" s="257">
        <v>0.52</v>
      </c>
      <c r="G138" s="257">
        <v>0.51</v>
      </c>
      <c r="H138" s="257">
        <v>0.5</v>
      </c>
      <c r="I138" s="257">
        <v>0.48</v>
      </c>
      <c r="J138" s="257">
        <v>0.47</v>
      </c>
      <c r="K138" s="257">
        <v>0.46</v>
      </c>
      <c r="L138" s="257">
        <v>0.45</v>
      </c>
      <c r="M138" s="256">
        <v>0.44</v>
      </c>
      <c r="N138" s="256">
        <v>0.42</v>
      </c>
      <c r="O138" s="256">
        <v>0.41</v>
      </c>
      <c r="P138" s="256">
        <v>0.4</v>
      </c>
      <c r="Q138" s="256">
        <v>0.39</v>
      </c>
      <c r="R138" s="256">
        <v>0.37</v>
      </c>
      <c r="S138" s="256">
        <v>0.36</v>
      </c>
      <c r="T138" s="256">
        <v>0.35</v>
      </c>
      <c r="U138" s="256">
        <v>0.33</v>
      </c>
      <c r="V138" s="256">
        <v>0.32</v>
      </c>
      <c r="W138" s="256">
        <v>0.3</v>
      </c>
      <c r="X138" s="256">
        <v>0.28999999999999998</v>
      </c>
      <c r="Y138" s="256">
        <v>0.28000000000000003</v>
      </c>
      <c r="Z138" s="256">
        <v>0.26</v>
      </c>
      <c r="AA138" s="256">
        <v>0.24</v>
      </c>
      <c r="AB138" s="256">
        <v>0.23</v>
      </c>
      <c r="AC138" s="256">
        <v>0.21</v>
      </c>
      <c r="AD138" s="256">
        <v>0.2</v>
      </c>
      <c r="AE138" s="256">
        <v>0.18</v>
      </c>
      <c r="AF138" s="256">
        <v>0.17</v>
      </c>
      <c r="AG138" s="256">
        <v>0.15</v>
      </c>
      <c r="AH138" s="256">
        <v>0</v>
      </c>
      <c r="AI138" s="256">
        <v>0</v>
      </c>
      <c r="AJ138" s="256">
        <v>0</v>
      </c>
      <c r="AK138" s="256">
        <v>0</v>
      </c>
      <c r="AL138" s="256">
        <v>0</v>
      </c>
      <c r="AM138" s="256">
        <v>0</v>
      </c>
      <c r="AN138" s="256">
        <v>0</v>
      </c>
      <c r="AO138" s="256">
        <v>0</v>
      </c>
      <c r="AP138" s="256">
        <v>0</v>
      </c>
      <c r="AQ138" s="256">
        <v>0</v>
      </c>
      <c r="AR138" s="256">
        <v>0</v>
      </c>
      <c r="AS138" s="256">
        <v>0</v>
      </c>
      <c r="AT138" s="256">
        <v>0</v>
      </c>
      <c r="AU138" s="256">
        <v>0</v>
      </c>
      <c r="AV138" s="256">
        <v>0</v>
      </c>
      <c r="AW138" s="256">
        <v>0</v>
      </c>
      <c r="AX138" s="256">
        <v>0</v>
      </c>
      <c r="AY138" s="256">
        <v>0</v>
      </c>
      <c r="AZ138" s="256">
        <v>0</v>
      </c>
      <c r="BA138" s="256">
        <v>0</v>
      </c>
      <c r="BB138" s="256">
        <v>0</v>
      </c>
      <c r="BC138" s="256">
        <v>0</v>
      </c>
      <c r="BD138" s="256">
        <v>0</v>
      </c>
      <c r="BE138" s="256">
        <v>0</v>
      </c>
      <c r="BF138" s="256">
        <v>0</v>
      </c>
      <c r="BG138" s="256">
        <v>0</v>
      </c>
      <c r="BH138" s="256">
        <v>0</v>
      </c>
      <c r="BI138" s="256">
        <v>0</v>
      </c>
      <c r="BJ138" s="256">
        <v>0</v>
      </c>
      <c r="BK138" s="255">
        <v>0</v>
      </c>
    </row>
    <row r="139" spans="1:63">
      <c r="A139" s="251">
        <v>57</v>
      </c>
      <c r="B139" s="254">
        <v>0.54</v>
      </c>
      <c r="C139" s="253">
        <v>0.54</v>
      </c>
      <c r="D139" s="253">
        <v>0.53</v>
      </c>
      <c r="E139" s="253">
        <v>0.51</v>
      </c>
      <c r="F139" s="253">
        <v>0.5</v>
      </c>
      <c r="G139" s="253">
        <v>0.49</v>
      </c>
      <c r="H139" s="253">
        <v>0.48</v>
      </c>
      <c r="I139" s="253">
        <v>0.47</v>
      </c>
      <c r="J139" s="253">
        <v>0.46</v>
      </c>
      <c r="K139" s="253">
        <v>0.45</v>
      </c>
      <c r="L139" s="253">
        <v>0.43</v>
      </c>
      <c r="M139" s="201">
        <v>0.42</v>
      </c>
      <c r="N139" s="201">
        <v>0.41</v>
      </c>
      <c r="O139" s="201">
        <v>0.4</v>
      </c>
      <c r="P139" s="201">
        <v>0.38</v>
      </c>
      <c r="Q139" s="201">
        <v>0.37</v>
      </c>
      <c r="R139" s="201">
        <v>0.36</v>
      </c>
      <c r="S139" s="201">
        <v>0.34</v>
      </c>
      <c r="T139" s="201">
        <v>0.33</v>
      </c>
      <c r="U139" s="201">
        <v>0.31</v>
      </c>
      <c r="V139" s="201">
        <v>0.3</v>
      </c>
      <c r="W139" s="201">
        <v>0.26</v>
      </c>
      <c r="X139" s="201">
        <v>0.27</v>
      </c>
      <c r="Y139" s="201">
        <v>0.25</v>
      </c>
      <c r="Z139" s="201">
        <v>0.24</v>
      </c>
      <c r="AA139" s="201">
        <v>0.22</v>
      </c>
      <c r="AB139" s="201">
        <v>0.21</v>
      </c>
      <c r="AC139" s="201">
        <v>0.19</v>
      </c>
      <c r="AD139" s="201">
        <v>0.17</v>
      </c>
      <c r="AE139" s="201">
        <v>0.16</v>
      </c>
      <c r="AF139" s="201">
        <v>0</v>
      </c>
      <c r="AG139" s="201">
        <v>0</v>
      </c>
      <c r="AH139" s="201">
        <v>0</v>
      </c>
      <c r="AI139" s="201">
        <v>0</v>
      </c>
      <c r="AJ139" s="201">
        <v>0</v>
      </c>
      <c r="AK139" s="201">
        <v>0</v>
      </c>
      <c r="AL139" s="201">
        <v>0</v>
      </c>
      <c r="AM139" s="201">
        <v>0</v>
      </c>
      <c r="AN139" s="201">
        <v>0</v>
      </c>
      <c r="AO139" s="201">
        <v>0</v>
      </c>
      <c r="AP139" s="201">
        <v>0</v>
      </c>
      <c r="AQ139" s="201">
        <v>0</v>
      </c>
      <c r="AR139" s="201">
        <v>0</v>
      </c>
      <c r="AS139" s="201">
        <v>0</v>
      </c>
      <c r="AT139" s="201">
        <v>0</v>
      </c>
      <c r="AU139" s="201">
        <v>0</v>
      </c>
      <c r="AV139" s="201">
        <v>0</v>
      </c>
      <c r="AW139" s="201">
        <v>0</v>
      </c>
      <c r="AX139" s="201">
        <v>0</v>
      </c>
      <c r="AY139" s="201">
        <v>0</v>
      </c>
      <c r="AZ139" s="201">
        <v>0</v>
      </c>
      <c r="BA139" s="201">
        <v>0</v>
      </c>
      <c r="BB139" s="201">
        <v>0</v>
      </c>
      <c r="BC139" s="201">
        <v>0</v>
      </c>
      <c r="BD139" s="201">
        <v>0</v>
      </c>
      <c r="BE139" s="201">
        <v>0</v>
      </c>
      <c r="BF139" s="201">
        <v>0</v>
      </c>
      <c r="BG139" s="201">
        <v>0</v>
      </c>
      <c r="BH139" s="201">
        <v>0</v>
      </c>
      <c r="BI139" s="201">
        <v>0</v>
      </c>
      <c r="BJ139" s="201">
        <v>0</v>
      </c>
      <c r="BK139" s="252">
        <v>0</v>
      </c>
    </row>
    <row r="140" spans="1:63">
      <c r="A140" s="251">
        <v>58</v>
      </c>
      <c r="B140" s="254">
        <v>0.52</v>
      </c>
      <c r="C140" s="253">
        <v>0.52</v>
      </c>
      <c r="D140" s="253">
        <v>0.51</v>
      </c>
      <c r="E140" s="253">
        <v>0.5</v>
      </c>
      <c r="F140" s="253">
        <v>0.49</v>
      </c>
      <c r="G140" s="253">
        <v>0.48</v>
      </c>
      <c r="H140" s="253">
        <v>0.47</v>
      </c>
      <c r="I140" s="253">
        <v>0.45</v>
      </c>
      <c r="J140" s="253">
        <v>0.44</v>
      </c>
      <c r="K140" s="253">
        <v>0.43</v>
      </c>
      <c r="L140" s="253">
        <v>0.42</v>
      </c>
      <c r="M140" s="201">
        <v>0.4</v>
      </c>
      <c r="N140" s="201">
        <v>0.39</v>
      </c>
      <c r="O140" s="201">
        <v>0.38</v>
      </c>
      <c r="P140" s="201">
        <v>0.36</v>
      </c>
      <c r="Q140" s="201">
        <v>0.35</v>
      </c>
      <c r="R140" s="201">
        <v>0.34</v>
      </c>
      <c r="S140" s="201">
        <v>0.32</v>
      </c>
      <c r="T140" s="201">
        <v>0.31</v>
      </c>
      <c r="U140" s="201">
        <v>0.28999999999999998</v>
      </c>
      <c r="V140" s="201">
        <v>0.28000000000000003</v>
      </c>
      <c r="W140" s="201">
        <v>0.26</v>
      </c>
      <c r="X140" s="201">
        <v>0.25</v>
      </c>
      <c r="Y140" s="201">
        <v>0.23</v>
      </c>
      <c r="Z140" s="201">
        <v>0.22</v>
      </c>
      <c r="AA140" s="201">
        <v>0.2</v>
      </c>
      <c r="AB140" s="201">
        <v>0.18</v>
      </c>
      <c r="AC140" s="201">
        <v>0.17</v>
      </c>
      <c r="AD140" s="201">
        <v>0.15</v>
      </c>
      <c r="AE140" s="201">
        <v>0</v>
      </c>
      <c r="AF140" s="201">
        <v>0</v>
      </c>
      <c r="AG140" s="201">
        <v>0</v>
      </c>
      <c r="AH140" s="201">
        <v>0</v>
      </c>
      <c r="AI140" s="201">
        <v>0</v>
      </c>
      <c r="AJ140" s="201">
        <v>0</v>
      </c>
      <c r="AK140" s="201">
        <v>0</v>
      </c>
      <c r="AL140" s="201">
        <v>0</v>
      </c>
      <c r="AM140" s="201">
        <v>0</v>
      </c>
      <c r="AN140" s="201">
        <v>0</v>
      </c>
      <c r="AO140" s="201">
        <v>0</v>
      </c>
      <c r="AP140" s="201">
        <v>0</v>
      </c>
      <c r="AQ140" s="201">
        <v>0</v>
      </c>
      <c r="AR140" s="201">
        <v>0</v>
      </c>
      <c r="AS140" s="201">
        <v>0</v>
      </c>
      <c r="AT140" s="201">
        <v>0</v>
      </c>
      <c r="AU140" s="201">
        <v>0</v>
      </c>
      <c r="AV140" s="201">
        <v>0</v>
      </c>
      <c r="AW140" s="201">
        <v>0</v>
      </c>
      <c r="AX140" s="201">
        <v>0</v>
      </c>
      <c r="AY140" s="201">
        <v>0</v>
      </c>
      <c r="AZ140" s="201">
        <v>0</v>
      </c>
      <c r="BA140" s="201">
        <v>0</v>
      </c>
      <c r="BB140" s="201">
        <v>0</v>
      </c>
      <c r="BC140" s="201">
        <v>0</v>
      </c>
      <c r="BD140" s="201">
        <v>0</v>
      </c>
      <c r="BE140" s="201">
        <v>0</v>
      </c>
      <c r="BF140" s="201">
        <v>0</v>
      </c>
      <c r="BG140" s="201">
        <v>0</v>
      </c>
      <c r="BH140" s="201">
        <v>0</v>
      </c>
      <c r="BI140" s="201">
        <v>0</v>
      </c>
      <c r="BJ140" s="201">
        <v>0</v>
      </c>
      <c r="BK140" s="252">
        <v>0</v>
      </c>
    </row>
    <row r="141" spans="1:63">
      <c r="A141" s="251">
        <v>59</v>
      </c>
      <c r="B141" s="254">
        <v>0.51</v>
      </c>
      <c r="C141" s="253">
        <v>0.51</v>
      </c>
      <c r="D141" s="253">
        <v>0.5</v>
      </c>
      <c r="E141" s="253">
        <v>0.48</v>
      </c>
      <c r="F141" s="253">
        <v>0.47</v>
      </c>
      <c r="G141" s="253">
        <v>0.46</v>
      </c>
      <c r="H141" s="253">
        <v>0.45</v>
      </c>
      <c r="I141" s="253">
        <v>0.44</v>
      </c>
      <c r="J141" s="253">
        <v>0.42</v>
      </c>
      <c r="K141" s="253">
        <v>0.41</v>
      </c>
      <c r="L141" s="253">
        <v>0.4</v>
      </c>
      <c r="M141" s="201">
        <v>0.39</v>
      </c>
      <c r="N141" s="201">
        <v>0.37</v>
      </c>
      <c r="O141" s="201">
        <v>0.36</v>
      </c>
      <c r="P141" s="201">
        <v>0.35</v>
      </c>
      <c r="Q141" s="201">
        <v>0.33</v>
      </c>
      <c r="R141" s="201">
        <v>0.32</v>
      </c>
      <c r="S141" s="201">
        <v>0.3</v>
      </c>
      <c r="T141" s="201">
        <v>0.28999999999999998</v>
      </c>
      <c r="U141" s="201">
        <v>0.27</v>
      </c>
      <c r="V141" s="201">
        <v>0.26</v>
      </c>
      <c r="W141" s="201">
        <v>0.24</v>
      </c>
      <c r="X141" s="201">
        <v>0.23</v>
      </c>
      <c r="Y141" s="201">
        <v>0.21</v>
      </c>
      <c r="Z141" s="201">
        <v>0.19</v>
      </c>
      <c r="AA141" s="201">
        <v>0.18</v>
      </c>
      <c r="AB141" s="201">
        <v>0.16</v>
      </c>
      <c r="AC141" s="201">
        <v>0.14000000000000001</v>
      </c>
      <c r="AD141" s="201">
        <v>0</v>
      </c>
      <c r="AE141" s="201">
        <v>0</v>
      </c>
      <c r="AF141" s="201">
        <v>0</v>
      </c>
      <c r="AG141" s="201">
        <v>0</v>
      </c>
      <c r="AH141" s="201">
        <v>0</v>
      </c>
      <c r="AI141" s="201">
        <v>0</v>
      </c>
      <c r="AJ141" s="201">
        <v>0</v>
      </c>
      <c r="AK141" s="201">
        <v>0</v>
      </c>
      <c r="AL141" s="201">
        <v>0</v>
      </c>
      <c r="AM141" s="201">
        <v>0</v>
      </c>
      <c r="AN141" s="201">
        <v>0</v>
      </c>
      <c r="AO141" s="201">
        <v>0</v>
      </c>
      <c r="AP141" s="201">
        <v>0</v>
      </c>
      <c r="AQ141" s="201">
        <v>0</v>
      </c>
      <c r="AR141" s="201">
        <v>0</v>
      </c>
      <c r="AS141" s="201">
        <v>0</v>
      </c>
      <c r="AT141" s="201">
        <v>0</v>
      </c>
      <c r="AU141" s="201">
        <v>0</v>
      </c>
      <c r="AV141" s="201">
        <v>0</v>
      </c>
      <c r="AW141" s="201">
        <v>0</v>
      </c>
      <c r="AX141" s="201">
        <v>0</v>
      </c>
      <c r="AY141" s="201">
        <v>0</v>
      </c>
      <c r="AZ141" s="201">
        <v>0</v>
      </c>
      <c r="BA141" s="201">
        <v>0</v>
      </c>
      <c r="BB141" s="201">
        <v>0</v>
      </c>
      <c r="BC141" s="201">
        <v>0</v>
      </c>
      <c r="BD141" s="201">
        <v>0</v>
      </c>
      <c r="BE141" s="201">
        <v>0</v>
      </c>
      <c r="BF141" s="201">
        <v>0</v>
      </c>
      <c r="BG141" s="201">
        <v>0</v>
      </c>
      <c r="BH141" s="201">
        <v>0</v>
      </c>
      <c r="BI141" s="201">
        <v>0</v>
      </c>
      <c r="BJ141" s="201">
        <v>0</v>
      </c>
      <c r="BK141" s="252">
        <v>0</v>
      </c>
    </row>
    <row r="142" spans="1:63">
      <c r="A142" s="251">
        <v>60</v>
      </c>
      <c r="B142" s="250">
        <v>0.49</v>
      </c>
      <c r="C142" s="249">
        <v>0.49</v>
      </c>
      <c r="D142" s="249">
        <v>0.48</v>
      </c>
      <c r="E142" s="249">
        <v>0.47</v>
      </c>
      <c r="F142" s="249">
        <v>0.46</v>
      </c>
      <c r="G142" s="249">
        <v>0.44</v>
      </c>
      <c r="H142" s="249">
        <v>0.43</v>
      </c>
      <c r="I142" s="249">
        <v>0.42</v>
      </c>
      <c r="J142" s="249">
        <v>0.41</v>
      </c>
      <c r="K142" s="249">
        <v>0.39</v>
      </c>
      <c r="L142" s="249">
        <v>0.38</v>
      </c>
      <c r="M142" s="248">
        <v>0.37</v>
      </c>
      <c r="N142" s="248">
        <v>0.35</v>
      </c>
      <c r="O142" s="248">
        <v>0.34</v>
      </c>
      <c r="P142" s="248">
        <v>0.33</v>
      </c>
      <c r="Q142" s="248">
        <v>0.31</v>
      </c>
      <c r="R142" s="248">
        <v>0.3</v>
      </c>
      <c r="S142" s="248">
        <v>0.28000000000000003</v>
      </c>
      <c r="T142" s="248">
        <v>0.27</v>
      </c>
      <c r="U142" s="248">
        <v>0.25</v>
      </c>
      <c r="V142" s="248">
        <v>0.24</v>
      </c>
      <c r="W142" s="248">
        <v>0.22</v>
      </c>
      <c r="X142" s="248">
        <v>0.2</v>
      </c>
      <c r="Y142" s="248">
        <v>0.19</v>
      </c>
      <c r="Z142" s="248">
        <v>0.17</v>
      </c>
      <c r="AA142" s="248">
        <v>0.15</v>
      </c>
      <c r="AB142" s="248">
        <v>0</v>
      </c>
      <c r="AC142" s="248">
        <v>0</v>
      </c>
      <c r="AD142" s="248">
        <v>0</v>
      </c>
      <c r="AE142" s="248">
        <v>0</v>
      </c>
      <c r="AF142" s="248">
        <v>0</v>
      </c>
      <c r="AG142" s="248">
        <v>0</v>
      </c>
      <c r="AH142" s="248">
        <v>0</v>
      </c>
      <c r="AI142" s="248">
        <v>0</v>
      </c>
      <c r="AJ142" s="248">
        <v>0</v>
      </c>
      <c r="AK142" s="248">
        <v>0</v>
      </c>
      <c r="AL142" s="248">
        <v>0</v>
      </c>
      <c r="AM142" s="248">
        <v>0</v>
      </c>
      <c r="AN142" s="248">
        <v>0</v>
      </c>
      <c r="AO142" s="248">
        <v>0</v>
      </c>
      <c r="AP142" s="248">
        <v>0</v>
      </c>
      <c r="AQ142" s="248">
        <v>0</v>
      </c>
      <c r="AR142" s="248">
        <v>0</v>
      </c>
      <c r="AS142" s="248">
        <v>0</v>
      </c>
      <c r="AT142" s="248">
        <v>0</v>
      </c>
      <c r="AU142" s="248">
        <v>0</v>
      </c>
      <c r="AV142" s="248">
        <v>0</v>
      </c>
      <c r="AW142" s="248">
        <v>0</v>
      </c>
      <c r="AX142" s="248">
        <v>0</v>
      </c>
      <c r="AY142" s="248">
        <v>0</v>
      </c>
      <c r="AZ142" s="248">
        <v>0</v>
      </c>
      <c r="BA142" s="248">
        <v>0</v>
      </c>
      <c r="BB142" s="248">
        <v>0</v>
      </c>
      <c r="BC142" s="248">
        <v>0</v>
      </c>
      <c r="BD142" s="248">
        <v>0</v>
      </c>
      <c r="BE142" s="248">
        <v>0</v>
      </c>
      <c r="BF142" s="248">
        <v>0</v>
      </c>
      <c r="BG142" s="248">
        <v>0</v>
      </c>
      <c r="BH142" s="248">
        <v>0</v>
      </c>
      <c r="BI142" s="248">
        <v>0</v>
      </c>
      <c r="BJ142" s="248">
        <v>0</v>
      </c>
      <c r="BK142" s="247">
        <v>0</v>
      </c>
    </row>
    <row r="143" spans="1:63">
      <c r="A143" s="251">
        <v>61</v>
      </c>
      <c r="B143" s="258">
        <v>0.48</v>
      </c>
      <c r="C143" s="257">
        <v>0.48</v>
      </c>
      <c r="D143" s="257">
        <v>0.46</v>
      </c>
      <c r="E143" s="257">
        <v>0.45</v>
      </c>
      <c r="F143" s="257">
        <v>0.44</v>
      </c>
      <c r="G143" s="257">
        <v>0.43</v>
      </c>
      <c r="H143" s="257">
        <v>0.41</v>
      </c>
      <c r="I143" s="257">
        <v>0.4</v>
      </c>
      <c r="J143" s="257">
        <v>0.39</v>
      </c>
      <c r="K143" s="257">
        <v>0.38</v>
      </c>
      <c r="L143" s="257">
        <v>0.36</v>
      </c>
      <c r="M143" s="256">
        <v>0.35</v>
      </c>
      <c r="N143" s="256">
        <v>0.33</v>
      </c>
      <c r="O143" s="256">
        <v>0.32</v>
      </c>
      <c r="P143" s="256">
        <v>0.31</v>
      </c>
      <c r="Q143" s="256">
        <v>0.28999999999999998</v>
      </c>
      <c r="R143" s="256">
        <v>0.28000000000000003</v>
      </c>
      <c r="S143" s="256">
        <v>0.26</v>
      </c>
      <c r="T143" s="256">
        <v>0.24</v>
      </c>
      <c r="U143" s="256">
        <v>0.23</v>
      </c>
      <c r="V143" s="256">
        <v>0.21</v>
      </c>
      <c r="W143" s="256">
        <v>0.2</v>
      </c>
      <c r="X143" s="256">
        <v>0.18</v>
      </c>
      <c r="Y143" s="256">
        <v>0.16</v>
      </c>
      <c r="Z143" s="256">
        <v>0.14000000000000001</v>
      </c>
      <c r="AA143" s="256">
        <v>0</v>
      </c>
      <c r="AB143" s="256">
        <v>0</v>
      </c>
      <c r="AC143" s="256">
        <v>0</v>
      </c>
      <c r="AD143" s="256">
        <v>0</v>
      </c>
      <c r="AE143" s="256">
        <v>0</v>
      </c>
      <c r="AF143" s="256">
        <v>0</v>
      </c>
      <c r="AG143" s="256">
        <v>0</v>
      </c>
      <c r="AH143" s="256">
        <v>0</v>
      </c>
      <c r="AI143" s="256">
        <v>0</v>
      </c>
      <c r="AJ143" s="256">
        <v>0</v>
      </c>
      <c r="AK143" s="256">
        <v>0</v>
      </c>
      <c r="AL143" s="256">
        <v>0</v>
      </c>
      <c r="AM143" s="256">
        <v>0</v>
      </c>
      <c r="AN143" s="256">
        <v>0</v>
      </c>
      <c r="AO143" s="256">
        <v>0</v>
      </c>
      <c r="AP143" s="256">
        <v>0</v>
      </c>
      <c r="AQ143" s="256">
        <v>0</v>
      </c>
      <c r="AR143" s="256">
        <v>0</v>
      </c>
      <c r="AS143" s="256">
        <v>0</v>
      </c>
      <c r="AT143" s="256">
        <v>0</v>
      </c>
      <c r="AU143" s="256">
        <v>0</v>
      </c>
      <c r="AV143" s="256">
        <v>0</v>
      </c>
      <c r="AW143" s="256">
        <v>0</v>
      </c>
      <c r="AX143" s="256">
        <v>0</v>
      </c>
      <c r="AY143" s="256">
        <v>0</v>
      </c>
      <c r="AZ143" s="256">
        <v>0</v>
      </c>
      <c r="BA143" s="256">
        <v>0</v>
      </c>
      <c r="BB143" s="256">
        <v>0</v>
      </c>
      <c r="BC143" s="256">
        <v>0</v>
      </c>
      <c r="BD143" s="256">
        <v>0</v>
      </c>
      <c r="BE143" s="256">
        <v>0</v>
      </c>
      <c r="BF143" s="256">
        <v>0</v>
      </c>
      <c r="BG143" s="256">
        <v>0</v>
      </c>
      <c r="BH143" s="256">
        <v>0</v>
      </c>
      <c r="BI143" s="256">
        <v>0</v>
      </c>
      <c r="BJ143" s="256">
        <v>0</v>
      </c>
      <c r="BK143" s="255">
        <v>0</v>
      </c>
    </row>
    <row r="144" spans="1:63">
      <c r="A144" s="251">
        <v>62</v>
      </c>
      <c r="B144" s="254">
        <v>0.46</v>
      </c>
      <c r="C144" s="253">
        <v>0.46</v>
      </c>
      <c r="D144" s="253">
        <v>0.45</v>
      </c>
      <c r="E144" s="253">
        <v>0.43</v>
      </c>
      <c r="F144" s="253">
        <v>0.42</v>
      </c>
      <c r="G144" s="253">
        <v>0.41</v>
      </c>
      <c r="H144" s="253">
        <v>0.4</v>
      </c>
      <c r="I144" s="253">
        <v>0.38</v>
      </c>
      <c r="J144" s="253">
        <v>0.37</v>
      </c>
      <c r="K144" s="253">
        <v>0.36</v>
      </c>
      <c r="L144" s="253">
        <v>0.34</v>
      </c>
      <c r="M144" s="201">
        <v>0.33</v>
      </c>
      <c r="N144" s="201">
        <v>0.31</v>
      </c>
      <c r="O144" s="201">
        <v>0.3</v>
      </c>
      <c r="P144" s="201">
        <v>0.28000000000000003</v>
      </c>
      <c r="Q144" s="201">
        <v>0.27</v>
      </c>
      <c r="R144" s="201">
        <v>0.25</v>
      </c>
      <c r="S144" s="201">
        <v>0.24</v>
      </c>
      <c r="T144" s="201">
        <v>0.22</v>
      </c>
      <c r="U144" s="201">
        <v>0.2</v>
      </c>
      <c r="V144" s="201">
        <v>0.19</v>
      </c>
      <c r="W144" s="201">
        <v>0.17</v>
      </c>
      <c r="X144" s="201">
        <v>0.15</v>
      </c>
      <c r="Y144" s="201">
        <v>0</v>
      </c>
      <c r="Z144" s="201">
        <v>0</v>
      </c>
      <c r="AA144" s="201">
        <v>0</v>
      </c>
      <c r="AB144" s="201">
        <v>0</v>
      </c>
      <c r="AC144" s="201">
        <v>0</v>
      </c>
      <c r="AD144" s="201">
        <v>0</v>
      </c>
      <c r="AE144" s="201">
        <v>0</v>
      </c>
      <c r="AF144" s="201">
        <v>0</v>
      </c>
      <c r="AG144" s="201">
        <v>0</v>
      </c>
      <c r="AH144" s="201">
        <v>0</v>
      </c>
      <c r="AI144" s="201">
        <v>0</v>
      </c>
      <c r="AJ144" s="201">
        <v>0</v>
      </c>
      <c r="AK144" s="201">
        <v>0</v>
      </c>
      <c r="AL144" s="201">
        <v>0</v>
      </c>
      <c r="AM144" s="201">
        <v>0</v>
      </c>
      <c r="AN144" s="201">
        <v>0</v>
      </c>
      <c r="AO144" s="201">
        <v>0</v>
      </c>
      <c r="AP144" s="201">
        <v>0</v>
      </c>
      <c r="AQ144" s="201">
        <v>0</v>
      </c>
      <c r="AR144" s="201">
        <v>0</v>
      </c>
      <c r="AS144" s="201">
        <v>0</v>
      </c>
      <c r="AT144" s="201">
        <v>0</v>
      </c>
      <c r="AU144" s="201">
        <v>0</v>
      </c>
      <c r="AV144" s="201">
        <v>0</v>
      </c>
      <c r="AW144" s="201">
        <v>0</v>
      </c>
      <c r="AX144" s="201">
        <v>0</v>
      </c>
      <c r="AY144" s="201">
        <v>0</v>
      </c>
      <c r="AZ144" s="201">
        <v>0</v>
      </c>
      <c r="BA144" s="201">
        <v>0</v>
      </c>
      <c r="BB144" s="201">
        <v>0</v>
      </c>
      <c r="BC144" s="201">
        <v>0</v>
      </c>
      <c r="BD144" s="201">
        <v>0</v>
      </c>
      <c r="BE144" s="201">
        <v>0</v>
      </c>
      <c r="BF144" s="201">
        <v>0</v>
      </c>
      <c r="BG144" s="201">
        <v>0</v>
      </c>
      <c r="BH144" s="201">
        <v>0</v>
      </c>
      <c r="BI144" s="201">
        <v>0</v>
      </c>
      <c r="BJ144" s="201">
        <v>0</v>
      </c>
      <c r="BK144" s="252">
        <v>0</v>
      </c>
    </row>
    <row r="145" spans="1:79">
      <c r="A145" s="251">
        <v>63</v>
      </c>
      <c r="B145" s="254">
        <v>0.44</v>
      </c>
      <c r="C145" s="253">
        <v>0.44</v>
      </c>
      <c r="D145" s="253">
        <v>0.43</v>
      </c>
      <c r="E145" s="253">
        <v>0.42</v>
      </c>
      <c r="F145" s="253">
        <v>0.4</v>
      </c>
      <c r="G145" s="253">
        <v>0.39</v>
      </c>
      <c r="H145" s="253">
        <v>0.38</v>
      </c>
      <c r="I145" s="253">
        <v>0.36</v>
      </c>
      <c r="J145" s="253">
        <v>0.35</v>
      </c>
      <c r="K145" s="253">
        <v>0.34</v>
      </c>
      <c r="L145" s="253">
        <v>0.32</v>
      </c>
      <c r="M145" s="201">
        <v>0.31</v>
      </c>
      <c r="N145" s="201">
        <v>0.28999999999999998</v>
      </c>
      <c r="O145" s="201">
        <v>0.28000000000000003</v>
      </c>
      <c r="P145" s="201">
        <v>0.26</v>
      </c>
      <c r="Q145" s="201">
        <v>0.25</v>
      </c>
      <c r="R145" s="201">
        <v>0.23</v>
      </c>
      <c r="S145" s="201">
        <v>0.21</v>
      </c>
      <c r="T145" s="201">
        <v>0.2</v>
      </c>
      <c r="U145" s="201">
        <v>0.18</v>
      </c>
      <c r="V145" s="201">
        <v>0.16</v>
      </c>
      <c r="W145" s="201">
        <v>0.15</v>
      </c>
      <c r="X145" s="201">
        <v>0</v>
      </c>
      <c r="Y145" s="201">
        <v>0</v>
      </c>
      <c r="Z145" s="201">
        <v>0</v>
      </c>
      <c r="AA145" s="201">
        <v>0</v>
      </c>
      <c r="AB145" s="201">
        <v>0</v>
      </c>
      <c r="AC145" s="201">
        <v>0</v>
      </c>
      <c r="AD145" s="201">
        <v>0</v>
      </c>
      <c r="AE145" s="201">
        <v>0</v>
      </c>
      <c r="AF145" s="201">
        <v>0</v>
      </c>
      <c r="AG145" s="201">
        <v>0</v>
      </c>
      <c r="AH145" s="201">
        <v>0</v>
      </c>
      <c r="AI145" s="201">
        <v>0</v>
      </c>
      <c r="AJ145" s="201">
        <v>0</v>
      </c>
      <c r="AK145" s="201">
        <v>0</v>
      </c>
      <c r="AL145" s="201">
        <v>0</v>
      </c>
      <c r="AM145" s="201">
        <v>0</v>
      </c>
      <c r="AN145" s="201">
        <v>0</v>
      </c>
      <c r="AO145" s="201">
        <v>0</v>
      </c>
      <c r="AP145" s="201">
        <v>0</v>
      </c>
      <c r="AQ145" s="201">
        <v>0</v>
      </c>
      <c r="AR145" s="201">
        <v>0</v>
      </c>
      <c r="AS145" s="201">
        <v>0</v>
      </c>
      <c r="AT145" s="201">
        <v>0</v>
      </c>
      <c r="AU145" s="201">
        <v>0</v>
      </c>
      <c r="AV145" s="201">
        <v>0</v>
      </c>
      <c r="AW145" s="201">
        <v>0</v>
      </c>
      <c r="AX145" s="201">
        <v>0</v>
      </c>
      <c r="AY145" s="201">
        <v>0</v>
      </c>
      <c r="AZ145" s="201">
        <v>0</v>
      </c>
      <c r="BA145" s="201">
        <v>0</v>
      </c>
      <c r="BB145" s="201">
        <v>0</v>
      </c>
      <c r="BC145" s="201">
        <v>0</v>
      </c>
      <c r="BD145" s="201">
        <v>0</v>
      </c>
      <c r="BE145" s="201">
        <v>0</v>
      </c>
      <c r="BF145" s="201">
        <v>0</v>
      </c>
      <c r="BG145" s="201">
        <v>0</v>
      </c>
      <c r="BH145" s="201">
        <v>0</v>
      </c>
      <c r="BI145" s="201">
        <v>0</v>
      </c>
      <c r="BJ145" s="201">
        <v>0</v>
      </c>
      <c r="BK145" s="252">
        <v>0</v>
      </c>
    </row>
    <row r="146" spans="1:79">
      <c r="A146" s="251">
        <v>64</v>
      </c>
      <c r="B146" s="254">
        <v>0.42</v>
      </c>
      <c r="C146" s="253">
        <v>0.42</v>
      </c>
      <c r="D146" s="253">
        <v>0.41</v>
      </c>
      <c r="E146" s="253">
        <v>0.4</v>
      </c>
      <c r="F146" s="253">
        <v>0.38</v>
      </c>
      <c r="G146" s="253">
        <v>0.37</v>
      </c>
      <c r="H146" s="253">
        <v>0.36</v>
      </c>
      <c r="I146" s="253">
        <v>0.34</v>
      </c>
      <c r="J146" s="253">
        <v>0.33</v>
      </c>
      <c r="K146" s="253">
        <v>0.31</v>
      </c>
      <c r="L146" s="253">
        <v>0.3</v>
      </c>
      <c r="M146" s="201">
        <v>0.28000000000000003</v>
      </c>
      <c r="N146" s="201">
        <v>0.27</v>
      </c>
      <c r="O146" s="201">
        <v>0.25</v>
      </c>
      <c r="P146" s="201">
        <v>0.24</v>
      </c>
      <c r="Q146" s="201">
        <v>0.22</v>
      </c>
      <c r="R146" s="201">
        <v>0.21</v>
      </c>
      <c r="S146" s="201">
        <v>0.19</v>
      </c>
      <c r="T146" s="201">
        <v>0.17</v>
      </c>
      <c r="U146" s="201">
        <v>0.15</v>
      </c>
      <c r="V146" s="201">
        <v>0</v>
      </c>
      <c r="W146" s="201">
        <v>0</v>
      </c>
      <c r="X146" s="201">
        <v>0</v>
      </c>
      <c r="Y146" s="201">
        <v>0</v>
      </c>
      <c r="Z146" s="201">
        <v>0</v>
      </c>
      <c r="AA146" s="201">
        <v>0</v>
      </c>
      <c r="AB146" s="201">
        <v>0</v>
      </c>
      <c r="AC146" s="201">
        <v>0</v>
      </c>
      <c r="AD146" s="201">
        <v>0</v>
      </c>
      <c r="AE146" s="201">
        <v>0</v>
      </c>
      <c r="AF146" s="201">
        <v>0</v>
      </c>
      <c r="AG146" s="201">
        <v>0</v>
      </c>
      <c r="AH146" s="201">
        <v>0</v>
      </c>
      <c r="AI146" s="201">
        <v>0</v>
      </c>
      <c r="AJ146" s="201">
        <v>0</v>
      </c>
      <c r="AK146" s="201">
        <v>0</v>
      </c>
      <c r="AL146" s="201">
        <v>0</v>
      </c>
      <c r="AM146" s="201">
        <v>0</v>
      </c>
      <c r="AN146" s="201">
        <v>0</v>
      </c>
      <c r="AO146" s="201">
        <v>0</v>
      </c>
      <c r="AP146" s="201">
        <v>0</v>
      </c>
      <c r="AQ146" s="201">
        <v>0</v>
      </c>
      <c r="AR146" s="201">
        <v>0</v>
      </c>
      <c r="AS146" s="201">
        <v>0</v>
      </c>
      <c r="AT146" s="201">
        <v>0</v>
      </c>
      <c r="AU146" s="201">
        <v>0</v>
      </c>
      <c r="AV146" s="201">
        <v>0</v>
      </c>
      <c r="AW146" s="201">
        <v>0</v>
      </c>
      <c r="AX146" s="201">
        <v>0</v>
      </c>
      <c r="AY146" s="201">
        <v>0</v>
      </c>
      <c r="AZ146" s="201">
        <v>0</v>
      </c>
      <c r="BA146" s="201">
        <v>0</v>
      </c>
      <c r="BB146" s="201">
        <v>0</v>
      </c>
      <c r="BC146" s="201">
        <v>0</v>
      </c>
      <c r="BD146" s="201">
        <v>0</v>
      </c>
      <c r="BE146" s="201">
        <v>0</v>
      </c>
      <c r="BF146" s="201">
        <v>0</v>
      </c>
      <c r="BG146" s="201">
        <v>0</v>
      </c>
      <c r="BH146" s="201">
        <v>0</v>
      </c>
      <c r="BI146" s="201">
        <v>0</v>
      </c>
      <c r="BJ146" s="201">
        <v>0</v>
      </c>
      <c r="BK146" s="252">
        <v>0</v>
      </c>
    </row>
    <row r="147" spans="1:79">
      <c r="A147" s="251">
        <v>65</v>
      </c>
      <c r="B147" s="250">
        <v>0.4</v>
      </c>
      <c r="C147" s="249">
        <v>0.4</v>
      </c>
      <c r="D147" s="249">
        <v>0.39</v>
      </c>
      <c r="E147" s="249">
        <v>0.38</v>
      </c>
      <c r="F147" s="249">
        <v>0.36</v>
      </c>
      <c r="G147" s="249">
        <v>0.35</v>
      </c>
      <c r="H147" s="249">
        <v>0.33</v>
      </c>
      <c r="I147" s="249">
        <v>0.32</v>
      </c>
      <c r="J147" s="249">
        <v>0.31</v>
      </c>
      <c r="K147" s="249">
        <v>0.28999999999999998</v>
      </c>
      <c r="L147" s="249">
        <v>0.28000000000000003</v>
      </c>
      <c r="M147" s="248">
        <v>0.26</v>
      </c>
      <c r="N147" s="248">
        <v>0.25</v>
      </c>
      <c r="O147" s="248">
        <v>0.23</v>
      </c>
      <c r="P147" s="248">
        <v>0.21</v>
      </c>
      <c r="Q147" s="248">
        <v>0.2</v>
      </c>
      <c r="R147" s="248">
        <v>0.18</v>
      </c>
      <c r="S147" s="248">
        <v>0.16</v>
      </c>
      <c r="T147" s="248">
        <v>0.15</v>
      </c>
      <c r="U147" s="248">
        <v>0</v>
      </c>
      <c r="V147" s="248">
        <v>0</v>
      </c>
      <c r="W147" s="248">
        <v>0</v>
      </c>
      <c r="X147" s="248">
        <v>0</v>
      </c>
      <c r="Y147" s="248">
        <v>0</v>
      </c>
      <c r="Z147" s="248">
        <v>0</v>
      </c>
      <c r="AA147" s="248">
        <v>0</v>
      </c>
      <c r="AB147" s="248">
        <v>0</v>
      </c>
      <c r="AC147" s="248">
        <v>0</v>
      </c>
      <c r="AD147" s="248">
        <v>0</v>
      </c>
      <c r="AE147" s="248">
        <v>0</v>
      </c>
      <c r="AF147" s="248">
        <v>0</v>
      </c>
      <c r="AG147" s="248">
        <v>0</v>
      </c>
      <c r="AH147" s="248">
        <v>0</v>
      </c>
      <c r="AI147" s="248">
        <v>0</v>
      </c>
      <c r="AJ147" s="248">
        <v>0</v>
      </c>
      <c r="AK147" s="248">
        <v>0</v>
      </c>
      <c r="AL147" s="248">
        <v>0</v>
      </c>
      <c r="AM147" s="248">
        <v>0</v>
      </c>
      <c r="AN147" s="248">
        <v>0</v>
      </c>
      <c r="AO147" s="248">
        <v>0</v>
      </c>
      <c r="AP147" s="248">
        <v>0</v>
      </c>
      <c r="AQ147" s="248">
        <v>0</v>
      </c>
      <c r="AR147" s="248">
        <v>0</v>
      </c>
      <c r="AS147" s="248">
        <v>0</v>
      </c>
      <c r="AT147" s="248">
        <v>0</v>
      </c>
      <c r="AU147" s="248">
        <v>0</v>
      </c>
      <c r="AV147" s="248">
        <v>0</v>
      </c>
      <c r="AW147" s="248">
        <v>0</v>
      </c>
      <c r="AX147" s="248">
        <v>0</v>
      </c>
      <c r="AY147" s="248">
        <v>0</v>
      </c>
      <c r="AZ147" s="248">
        <v>0</v>
      </c>
      <c r="BA147" s="248">
        <v>0</v>
      </c>
      <c r="BB147" s="248">
        <v>0</v>
      </c>
      <c r="BC147" s="248">
        <v>0</v>
      </c>
      <c r="BD147" s="248">
        <v>0</v>
      </c>
      <c r="BE147" s="248">
        <v>0</v>
      </c>
      <c r="BF147" s="248">
        <v>0</v>
      </c>
      <c r="BG147" s="248">
        <v>0</v>
      </c>
      <c r="BH147" s="248">
        <v>0</v>
      </c>
      <c r="BI147" s="248">
        <v>0</v>
      </c>
      <c r="BJ147" s="248">
        <v>0</v>
      </c>
      <c r="BK147" s="247">
        <v>0</v>
      </c>
    </row>
    <row r="148" spans="1:79">
      <c r="A148" s="251">
        <v>66</v>
      </c>
      <c r="B148" s="258">
        <v>0.39</v>
      </c>
      <c r="C148" s="257">
        <v>0.39</v>
      </c>
      <c r="D148" s="257">
        <v>0.37</v>
      </c>
      <c r="E148" s="257">
        <v>0.36</v>
      </c>
      <c r="F148" s="257">
        <v>0.34</v>
      </c>
      <c r="G148" s="257">
        <v>0.33</v>
      </c>
      <c r="H148" s="257">
        <v>0.31</v>
      </c>
      <c r="I148" s="257">
        <v>0.3</v>
      </c>
      <c r="J148" s="257">
        <v>0.28000000000000003</v>
      </c>
      <c r="K148" s="257">
        <v>0.27</v>
      </c>
      <c r="L148" s="257">
        <v>0.25</v>
      </c>
      <c r="M148" s="256">
        <v>0.24</v>
      </c>
      <c r="N148" s="256">
        <v>0.22</v>
      </c>
      <c r="O148" s="256">
        <v>0.21</v>
      </c>
      <c r="P148" s="256">
        <v>0.19</v>
      </c>
      <c r="Q148" s="256">
        <v>0.17</v>
      </c>
      <c r="R148" s="256">
        <v>0.15</v>
      </c>
      <c r="S148" s="256">
        <v>0</v>
      </c>
      <c r="T148" s="256">
        <v>0</v>
      </c>
      <c r="U148" s="256">
        <v>0</v>
      </c>
      <c r="V148" s="256">
        <v>0</v>
      </c>
      <c r="W148" s="256">
        <v>0</v>
      </c>
      <c r="X148" s="256">
        <v>0</v>
      </c>
      <c r="Y148" s="256">
        <v>0</v>
      </c>
      <c r="Z148" s="256">
        <v>0</v>
      </c>
      <c r="AA148" s="256">
        <v>0</v>
      </c>
      <c r="AB148" s="256">
        <v>0</v>
      </c>
      <c r="AC148" s="256">
        <v>0</v>
      </c>
      <c r="AD148" s="256">
        <v>0</v>
      </c>
      <c r="AE148" s="256">
        <v>0</v>
      </c>
      <c r="AF148" s="256">
        <v>0</v>
      </c>
      <c r="AG148" s="256">
        <v>0</v>
      </c>
      <c r="AH148" s="256">
        <v>0</v>
      </c>
      <c r="AI148" s="256">
        <v>0</v>
      </c>
      <c r="AJ148" s="256">
        <v>0</v>
      </c>
      <c r="AK148" s="256">
        <v>0</v>
      </c>
      <c r="AL148" s="256">
        <v>0</v>
      </c>
      <c r="AM148" s="256">
        <v>0</v>
      </c>
      <c r="AN148" s="256">
        <v>0</v>
      </c>
      <c r="AO148" s="256">
        <v>0</v>
      </c>
      <c r="AP148" s="256">
        <v>0</v>
      </c>
      <c r="AQ148" s="256">
        <v>0</v>
      </c>
      <c r="AR148" s="256">
        <v>0</v>
      </c>
      <c r="AS148" s="256">
        <v>0</v>
      </c>
      <c r="AT148" s="256">
        <v>0</v>
      </c>
      <c r="AU148" s="256">
        <v>0</v>
      </c>
      <c r="AV148" s="256">
        <v>0</v>
      </c>
      <c r="AW148" s="256">
        <v>0</v>
      </c>
      <c r="AX148" s="256">
        <v>0</v>
      </c>
      <c r="AY148" s="256">
        <v>0</v>
      </c>
      <c r="AZ148" s="256">
        <v>0</v>
      </c>
      <c r="BA148" s="256">
        <v>0</v>
      </c>
      <c r="BB148" s="256">
        <v>0</v>
      </c>
      <c r="BC148" s="256">
        <v>0</v>
      </c>
      <c r="BD148" s="256">
        <v>0</v>
      </c>
      <c r="BE148" s="256">
        <v>0</v>
      </c>
      <c r="BF148" s="256">
        <v>0</v>
      </c>
      <c r="BG148" s="256">
        <v>0</v>
      </c>
      <c r="BH148" s="256">
        <v>0</v>
      </c>
      <c r="BI148" s="256">
        <v>0</v>
      </c>
      <c r="BJ148" s="256">
        <v>0</v>
      </c>
      <c r="BK148" s="255">
        <v>0</v>
      </c>
    </row>
    <row r="149" spans="1:79">
      <c r="A149" s="251">
        <v>67</v>
      </c>
      <c r="B149" s="254">
        <v>0.36</v>
      </c>
      <c r="C149" s="253">
        <v>0.36</v>
      </c>
      <c r="D149" s="253">
        <v>0.35</v>
      </c>
      <c r="E149" s="253">
        <v>0.33</v>
      </c>
      <c r="F149" s="253">
        <v>0.32</v>
      </c>
      <c r="G149" s="253">
        <v>0.3</v>
      </c>
      <c r="H149" s="253">
        <v>0.28999999999999998</v>
      </c>
      <c r="I149" s="253">
        <v>0.28000000000000003</v>
      </c>
      <c r="J149" s="253">
        <v>0.26</v>
      </c>
      <c r="K149" s="253">
        <v>0.24</v>
      </c>
      <c r="L149" s="253">
        <v>0.23</v>
      </c>
      <c r="M149" s="201">
        <v>0.21</v>
      </c>
      <c r="N149" s="201">
        <v>0.2</v>
      </c>
      <c r="O149" s="201">
        <v>0.18</v>
      </c>
      <c r="P149" s="201">
        <v>0.16</v>
      </c>
      <c r="Q149" s="201">
        <v>0.14000000000000001</v>
      </c>
      <c r="R149" s="201">
        <v>0</v>
      </c>
      <c r="S149" s="201">
        <v>0</v>
      </c>
      <c r="T149" s="201">
        <v>0</v>
      </c>
      <c r="U149" s="201">
        <v>0</v>
      </c>
      <c r="V149" s="201">
        <v>0</v>
      </c>
      <c r="W149" s="201">
        <v>0</v>
      </c>
      <c r="X149" s="201">
        <v>0</v>
      </c>
      <c r="Y149" s="201">
        <v>0</v>
      </c>
      <c r="Z149" s="201">
        <v>0</v>
      </c>
      <c r="AA149" s="201">
        <v>0</v>
      </c>
      <c r="AB149" s="201">
        <v>0</v>
      </c>
      <c r="AC149" s="201">
        <v>0</v>
      </c>
      <c r="AD149" s="201">
        <v>0</v>
      </c>
      <c r="AE149" s="201">
        <v>0</v>
      </c>
      <c r="AF149" s="201">
        <v>0</v>
      </c>
      <c r="AG149" s="201">
        <v>0</v>
      </c>
      <c r="AH149" s="201">
        <v>0</v>
      </c>
      <c r="AI149" s="201">
        <v>0</v>
      </c>
      <c r="AJ149" s="201">
        <v>0</v>
      </c>
      <c r="AK149" s="201">
        <v>0</v>
      </c>
      <c r="AL149" s="201">
        <v>0</v>
      </c>
      <c r="AM149" s="201">
        <v>0</v>
      </c>
      <c r="AN149" s="201">
        <v>0</v>
      </c>
      <c r="AO149" s="201">
        <v>0</v>
      </c>
      <c r="AP149" s="201">
        <v>0</v>
      </c>
      <c r="AQ149" s="201">
        <v>0</v>
      </c>
      <c r="AR149" s="201">
        <v>0</v>
      </c>
      <c r="AS149" s="201">
        <v>0</v>
      </c>
      <c r="AT149" s="201">
        <v>0</v>
      </c>
      <c r="AU149" s="201">
        <v>0</v>
      </c>
      <c r="AV149" s="201">
        <v>0</v>
      </c>
      <c r="AW149" s="201">
        <v>0</v>
      </c>
      <c r="AX149" s="201">
        <v>0</v>
      </c>
      <c r="AY149" s="201">
        <v>0</v>
      </c>
      <c r="AZ149" s="201">
        <v>0</v>
      </c>
      <c r="BA149" s="201">
        <v>0</v>
      </c>
      <c r="BB149" s="201">
        <v>0</v>
      </c>
      <c r="BC149" s="201">
        <v>0</v>
      </c>
      <c r="BD149" s="201">
        <v>0</v>
      </c>
      <c r="BE149" s="201">
        <v>0</v>
      </c>
      <c r="BF149" s="201">
        <v>0</v>
      </c>
      <c r="BG149" s="201">
        <v>0</v>
      </c>
      <c r="BH149" s="201">
        <v>0</v>
      </c>
      <c r="BI149" s="201">
        <v>0</v>
      </c>
      <c r="BJ149" s="201">
        <v>0</v>
      </c>
      <c r="BK149" s="252">
        <v>0</v>
      </c>
    </row>
    <row r="150" spans="1:79">
      <c r="A150" s="251">
        <v>68</v>
      </c>
      <c r="B150" s="254">
        <v>0.34</v>
      </c>
      <c r="C150" s="253">
        <v>0.34</v>
      </c>
      <c r="D150" s="253">
        <v>0.33</v>
      </c>
      <c r="E150" s="253">
        <v>0.31</v>
      </c>
      <c r="F150" s="253">
        <v>0.3</v>
      </c>
      <c r="G150" s="253">
        <v>0.28000000000000003</v>
      </c>
      <c r="H150" s="253">
        <v>0.27</v>
      </c>
      <c r="I150" s="253">
        <v>0.25</v>
      </c>
      <c r="J150" s="253">
        <v>0.24</v>
      </c>
      <c r="K150" s="253">
        <v>0.22</v>
      </c>
      <c r="L150" s="253">
        <v>0.2</v>
      </c>
      <c r="M150" s="201">
        <v>0.19</v>
      </c>
      <c r="N150" s="201">
        <v>0.17</v>
      </c>
      <c r="O150" s="201">
        <v>0.15</v>
      </c>
      <c r="P150" s="201">
        <v>0</v>
      </c>
      <c r="Q150" s="201">
        <v>0</v>
      </c>
      <c r="R150" s="201">
        <v>0</v>
      </c>
      <c r="S150" s="201">
        <v>0</v>
      </c>
      <c r="T150" s="201">
        <v>0</v>
      </c>
      <c r="U150" s="201">
        <v>0</v>
      </c>
      <c r="V150" s="201">
        <v>0</v>
      </c>
      <c r="W150" s="201">
        <v>0</v>
      </c>
      <c r="X150" s="201">
        <v>0</v>
      </c>
      <c r="Y150" s="201">
        <v>0</v>
      </c>
      <c r="Z150" s="201">
        <v>0</v>
      </c>
      <c r="AA150" s="201">
        <v>0</v>
      </c>
      <c r="AB150" s="201">
        <v>0</v>
      </c>
      <c r="AC150" s="201">
        <v>0</v>
      </c>
      <c r="AD150" s="201">
        <v>0</v>
      </c>
      <c r="AE150" s="201">
        <v>0</v>
      </c>
      <c r="AF150" s="201">
        <v>0</v>
      </c>
      <c r="AG150" s="201">
        <v>0</v>
      </c>
      <c r="AH150" s="201">
        <v>0</v>
      </c>
      <c r="AI150" s="201">
        <v>0</v>
      </c>
      <c r="AJ150" s="201">
        <v>0</v>
      </c>
      <c r="AK150" s="201">
        <v>0</v>
      </c>
      <c r="AL150" s="201">
        <v>0</v>
      </c>
      <c r="AM150" s="201">
        <v>0</v>
      </c>
      <c r="AN150" s="201">
        <v>0</v>
      </c>
      <c r="AO150" s="201">
        <v>0</v>
      </c>
      <c r="AP150" s="201">
        <v>0</v>
      </c>
      <c r="AQ150" s="201">
        <v>0</v>
      </c>
      <c r="AR150" s="201">
        <v>0</v>
      </c>
      <c r="AS150" s="201">
        <v>0</v>
      </c>
      <c r="AT150" s="201">
        <v>0</v>
      </c>
      <c r="AU150" s="201">
        <v>0</v>
      </c>
      <c r="AV150" s="201">
        <v>0</v>
      </c>
      <c r="AW150" s="201">
        <v>0</v>
      </c>
      <c r="AX150" s="201">
        <v>0</v>
      </c>
      <c r="AY150" s="201">
        <v>0</v>
      </c>
      <c r="AZ150" s="201">
        <v>0</v>
      </c>
      <c r="BA150" s="201">
        <v>0</v>
      </c>
      <c r="BB150" s="201">
        <v>0</v>
      </c>
      <c r="BC150" s="201">
        <v>0</v>
      </c>
      <c r="BD150" s="201">
        <v>0</v>
      </c>
      <c r="BE150" s="201">
        <v>0</v>
      </c>
      <c r="BF150" s="201">
        <v>0</v>
      </c>
      <c r="BG150" s="201">
        <v>0</v>
      </c>
      <c r="BH150" s="201">
        <v>0</v>
      </c>
      <c r="BI150" s="201">
        <v>0</v>
      </c>
      <c r="BJ150" s="201">
        <v>0</v>
      </c>
      <c r="BK150" s="252">
        <v>0</v>
      </c>
    </row>
    <row r="151" spans="1:79">
      <c r="A151" s="251">
        <v>69</v>
      </c>
      <c r="B151" s="254">
        <v>0.32</v>
      </c>
      <c r="C151" s="253">
        <v>0.32</v>
      </c>
      <c r="D151" s="253">
        <v>0.3</v>
      </c>
      <c r="E151" s="253">
        <v>0.28999999999999998</v>
      </c>
      <c r="F151" s="253">
        <v>0.27</v>
      </c>
      <c r="G151" s="253">
        <v>0.26</v>
      </c>
      <c r="H151" s="253">
        <v>0.24</v>
      </c>
      <c r="I151" s="253">
        <v>0.23</v>
      </c>
      <c r="J151" s="253">
        <v>0.21</v>
      </c>
      <c r="K151" s="253">
        <v>0.19</v>
      </c>
      <c r="L151" s="253">
        <v>0.18</v>
      </c>
      <c r="M151" s="201">
        <v>0.16</v>
      </c>
      <c r="N151" s="201">
        <v>0.14000000000000001</v>
      </c>
      <c r="O151" s="201">
        <v>0</v>
      </c>
      <c r="P151" s="201">
        <v>0</v>
      </c>
      <c r="Q151" s="201">
        <v>0</v>
      </c>
      <c r="R151" s="201">
        <v>0</v>
      </c>
      <c r="S151" s="201">
        <v>0</v>
      </c>
      <c r="T151" s="201">
        <v>0</v>
      </c>
      <c r="U151" s="201">
        <v>0</v>
      </c>
      <c r="V151" s="201">
        <v>0</v>
      </c>
      <c r="W151" s="201">
        <v>0</v>
      </c>
      <c r="X151" s="201">
        <v>0</v>
      </c>
      <c r="Y151" s="201">
        <v>0</v>
      </c>
      <c r="Z151" s="201">
        <v>0</v>
      </c>
      <c r="AA151" s="201">
        <v>0</v>
      </c>
      <c r="AB151" s="201">
        <v>0</v>
      </c>
      <c r="AC151" s="201">
        <v>0</v>
      </c>
      <c r="AD151" s="201">
        <v>0</v>
      </c>
      <c r="AE151" s="201">
        <v>0</v>
      </c>
      <c r="AF151" s="201">
        <v>0</v>
      </c>
      <c r="AG151" s="201">
        <v>0</v>
      </c>
      <c r="AH151" s="201">
        <v>0</v>
      </c>
      <c r="AI151" s="201">
        <v>0</v>
      </c>
      <c r="AJ151" s="201">
        <v>0</v>
      </c>
      <c r="AK151" s="201">
        <v>0</v>
      </c>
      <c r="AL151" s="201">
        <v>0</v>
      </c>
      <c r="AM151" s="201">
        <v>0</v>
      </c>
      <c r="AN151" s="201">
        <v>0</v>
      </c>
      <c r="AO151" s="201">
        <v>0</v>
      </c>
      <c r="AP151" s="201">
        <v>0</v>
      </c>
      <c r="AQ151" s="201">
        <v>0</v>
      </c>
      <c r="AR151" s="201">
        <v>0</v>
      </c>
      <c r="AS151" s="201">
        <v>0</v>
      </c>
      <c r="AT151" s="201">
        <v>0</v>
      </c>
      <c r="AU151" s="201">
        <v>0</v>
      </c>
      <c r="AV151" s="201">
        <v>0</v>
      </c>
      <c r="AW151" s="201">
        <v>0</v>
      </c>
      <c r="AX151" s="201">
        <v>0</v>
      </c>
      <c r="AY151" s="201">
        <v>0</v>
      </c>
      <c r="AZ151" s="201">
        <v>0</v>
      </c>
      <c r="BA151" s="201">
        <v>0</v>
      </c>
      <c r="BB151" s="201">
        <v>0</v>
      </c>
      <c r="BC151" s="201">
        <v>0</v>
      </c>
      <c r="BD151" s="201">
        <v>0</v>
      </c>
      <c r="BE151" s="201">
        <v>0</v>
      </c>
      <c r="BF151" s="201">
        <v>0</v>
      </c>
      <c r="BG151" s="201">
        <v>0</v>
      </c>
      <c r="BH151" s="201">
        <v>0</v>
      </c>
      <c r="BI151" s="201">
        <v>0</v>
      </c>
      <c r="BJ151" s="201">
        <v>0</v>
      </c>
      <c r="BK151" s="252">
        <v>0</v>
      </c>
    </row>
    <row r="152" spans="1:79">
      <c r="A152" s="251">
        <v>70</v>
      </c>
      <c r="B152" s="250">
        <v>0.28999999999999998</v>
      </c>
      <c r="C152" s="249">
        <v>0.28999999999999998</v>
      </c>
      <c r="D152" s="249">
        <v>0.28000000000000003</v>
      </c>
      <c r="E152" s="249">
        <v>0.26</v>
      </c>
      <c r="F152" s="249">
        <v>0.25</v>
      </c>
      <c r="G152" s="249">
        <v>0.23</v>
      </c>
      <c r="H152" s="249">
        <v>0.22</v>
      </c>
      <c r="I152" s="249">
        <v>0.2</v>
      </c>
      <c r="J152" s="249">
        <v>0.18</v>
      </c>
      <c r="K152" s="249">
        <v>0.17</v>
      </c>
      <c r="L152" s="249">
        <v>0.15</v>
      </c>
      <c r="M152" s="248">
        <v>0</v>
      </c>
      <c r="N152" s="248">
        <v>0</v>
      </c>
      <c r="O152" s="248">
        <v>0</v>
      </c>
      <c r="P152" s="248">
        <v>0</v>
      </c>
      <c r="Q152" s="248">
        <v>0</v>
      </c>
      <c r="R152" s="248">
        <v>0</v>
      </c>
      <c r="S152" s="248">
        <v>0</v>
      </c>
      <c r="T152" s="248">
        <v>0</v>
      </c>
      <c r="U152" s="248">
        <v>0</v>
      </c>
      <c r="V152" s="248">
        <v>0</v>
      </c>
      <c r="W152" s="248">
        <v>0</v>
      </c>
      <c r="X152" s="248">
        <v>0</v>
      </c>
      <c r="Y152" s="248">
        <v>0</v>
      </c>
      <c r="Z152" s="248">
        <v>0</v>
      </c>
      <c r="AA152" s="248">
        <v>0</v>
      </c>
      <c r="AB152" s="248">
        <v>0</v>
      </c>
      <c r="AC152" s="248">
        <v>0</v>
      </c>
      <c r="AD152" s="248">
        <v>0</v>
      </c>
      <c r="AE152" s="248">
        <v>0</v>
      </c>
      <c r="AF152" s="248">
        <v>0</v>
      </c>
      <c r="AG152" s="248">
        <v>0</v>
      </c>
      <c r="AH152" s="248">
        <v>0</v>
      </c>
      <c r="AI152" s="248">
        <v>0</v>
      </c>
      <c r="AJ152" s="248">
        <v>0</v>
      </c>
      <c r="AK152" s="248">
        <v>0</v>
      </c>
      <c r="AL152" s="248">
        <v>0</v>
      </c>
      <c r="AM152" s="248">
        <v>0</v>
      </c>
      <c r="AN152" s="248">
        <v>0</v>
      </c>
      <c r="AO152" s="248">
        <v>0</v>
      </c>
      <c r="AP152" s="248">
        <v>0</v>
      </c>
      <c r="AQ152" s="248">
        <v>0</v>
      </c>
      <c r="AR152" s="248">
        <v>0</v>
      </c>
      <c r="AS152" s="248">
        <v>0</v>
      </c>
      <c r="AT152" s="248">
        <v>0</v>
      </c>
      <c r="AU152" s="248">
        <v>0</v>
      </c>
      <c r="AV152" s="248">
        <v>0</v>
      </c>
      <c r="AW152" s="248">
        <v>0</v>
      </c>
      <c r="AX152" s="248">
        <v>0</v>
      </c>
      <c r="AY152" s="248">
        <v>0</v>
      </c>
      <c r="AZ152" s="248">
        <v>0</v>
      </c>
      <c r="BA152" s="248">
        <v>0</v>
      </c>
      <c r="BB152" s="248">
        <v>0</v>
      </c>
      <c r="BC152" s="248">
        <v>0</v>
      </c>
      <c r="BD152" s="248">
        <v>0</v>
      </c>
      <c r="BE152" s="248">
        <v>0</v>
      </c>
      <c r="BF152" s="248">
        <v>0</v>
      </c>
      <c r="BG152" s="248">
        <v>0</v>
      </c>
      <c r="BH152" s="248">
        <v>0</v>
      </c>
      <c r="BI152" s="248">
        <v>0</v>
      </c>
      <c r="BJ152" s="248">
        <v>0</v>
      </c>
      <c r="BK152" s="247">
        <v>0</v>
      </c>
    </row>
    <row r="153" spans="1:79">
      <c r="A153" s="251">
        <v>71</v>
      </c>
      <c r="B153" s="258">
        <v>0.27</v>
      </c>
      <c r="C153" s="257">
        <v>0.27</v>
      </c>
      <c r="D153" s="257">
        <v>0.25</v>
      </c>
      <c r="E153" s="257">
        <v>0.24</v>
      </c>
      <c r="F153" s="257">
        <v>0.22</v>
      </c>
      <c r="G153" s="258">
        <v>0.21</v>
      </c>
      <c r="H153" s="257">
        <v>0.19</v>
      </c>
      <c r="I153" s="257">
        <v>0.17</v>
      </c>
      <c r="J153" s="257">
        <v>0.16</v>
      </c>
      <c r="K153" s="257">
        <v>0</v>
      </c>
      <c r="L153" s="257">
        <v>0</v>
      </c>
      <c r="M153" s="256">
        <v>0</v>
      </c>
      <c r="N153" s="256">
        <v>0</v>
      </c>
      <c r="O153" s="256">
        <v>0</v>
      </c>
      <c r="P153" s="256">
        <v>0</v>
      </c>
      <c r="Q153" s="256">
        <v>0</v>
      </c>
      <c r="R153" s="256">
        <v>0</v>
      </c>
      <c r="S153" s="256">
        <v>0</v>
      </c>
      <c r="T153" s="256">
        <v>0</v>
      </c>
      <c r="U153" s="256">
        <v>0</v>
      </c>
      <c r="V153" s="256">
        <v>0</v>
      </c>
      <c r="W153" s="256">
        <v>0</v>
      </c>
      <c r="X153" s="256">
        <v>0</v>
      </c>
      <c r="Y153" s="256">
        <v>0</v>
      </c>
      <c r="Z153" s="256">
        <v>0</v>
      </c>
      <c r="AA153" s="256">
        <v>0</v>
      </c>
      <c r="AB153" s="256">
        <v>0</v>
      </c>
      <c r="AC153" s="256">
        <v>0</v>
      </c>
      <c r="AD153" s="256">
        <v>0</v>
      </c>
      <c r="AE153" s="256">
        <v>0</v>
      </c>
      <c r="AF153" s="256">
        <v>0</v>
      </c>
      <c r="AG153" s="256">
        <v>0</v>
      </c>
      <c r="AH153" s="256">
        <v>0</v>
      </c>
      <c r="AI153" s="256">
        <v>0</v>
      </c>
      <c r="AJ153" s="256">
        <v>0</v>
      </c>
      <c r="AK153" s="256">
        <v>0</v>
      </c>
      <c r="AL153" s="256">
        <v>0</v>
      </c>
      <c r="AM153" s="256">
        <v>0</v>
      </c>
      <c r="AN153" s="256">
        <v>0</v>
      </c>
      <c r="AO153" s="256">
        <v>0</v>
      </c>
      <c r="AP153" s="256">
        <v>0</v>
      </c>
      <c r="AQ153" s="256">
        <v>0</v>
      </c>
      <c r="AR153" s="256">
        <v>0</v>
      </c>
      <c r="AS153" s="256">
        <v>0</v>
      </c>
      <c r="AT153" s="256">
        <v>0</v>
      </c>
      <c r="AU153" s="256">
        <v>0</v>
      </c>
      <c r="AV153" s="256">
        <v>0</v>
      </c>
      <c r="AW153" s="256">
        <v>0</v>
      </c>
      <c r="AX153" s="256">
        <v>0</v>
      </c>
      <c r="AY153" s="256">
        <v>0</v>
      </c>
      <c r="AZ153" s="256">
        <v>0</v>
      </c>
      <c r="BA153" s="256">
        <v>0</v>
      </c>
      <c r="BB153" s="256">
        <v>0</v>
      </c>
      <c r="BC153" s="256">
        <v>0</v>
      </c>
      <c r="BD153" s="256">
        <v>0</v>
      </c>
      <c r="BE153" s="256">
        <v>0</v>
      </c>
      <c r="BF153" s="256">
        <v>0</v>
      </c>
      <c r="BG153" s="256">
        <v>0</v>
      </c>
      <c r="BH153" s="256">
        <v>0</v>
      </c>
      <c r="BI153" s="256">
        <v>0</v>
      </c>
      <c r="BJ153" s="256">
        <v>0</v>
      </c>
      <c r="BK153" s="255">
        <v>0</v>
      </c>
    </row>
    <row r="154" spans="1:79">
      <c r="A154" s="251">
        <v>72</v>
      </c>
      <c r="B154" s="254">
        <v>0.24</v>
      </c>
      <c r="C154" s="253">
        <v>0.24</v>
      </c>
      <c r="D154" s="253">
        <v>0.23</v>
      </c>
      <c r="E154" s="253">
        <v>0.21</v>
      </c>
      <c r="F154" s="253">
        <v>0.2</v>
      </c>
      <c r="G154" s="253">
        <v>0.18</v>
      </c>
      <c r="H154" s="253">
        <v>0.16</v>
      </c>
      <c r="I154" s="253">
        <v>0.15</v>
      </c>
      <c r="J154" s="253">
        <v>0</v>
      </c>
      <c r="K154" s="253">
        <v>0</v>
      </c>
      <c r="L154" s="253">
        <v>0</v>
      </c>
      <c r="M154" s="201">
        <v>0</v>
      </c>
      <c r="N154" s="201">
        <v>0</v>
      </c>
      <c r="O154" s="201">
        <v>0</v>
      </c>
      <c r="P154" s="201">
        <v>0</v>
      </c>
      <c r="Q154" s="201">
        <v>0</v>
      </c>
      <c r="R154" s="201">
        <v>0</v>
      </c>
      <c r="S154" s="201">
        <v>0</v>
      </c>
      <c r="T154" s="201">
        <v>0</v>
      </c>
      <c r="U154" s="201">
        <v>0</v>
      </c>
      <c r="V154" s="201">
        <v>0</v>
      </c>
      <c r="W154" s="201">
        <v>0</v>
      </c>
      <c r="X154" s="201">
        <v>0</v>
      </c>
      <c r="Y154" s="201">
        <v>0</v>
      </c>
      <c r="Z154" s="201">
        <v>0</v>
      </c>
      <c r="AA154" s="201">
        <v>0</v>
      </c>
      <c r="AB154" s="201">
        <v>0</v>
      </c>
      <c r="AC154" s="201">
        <v>0</v>
      </c>
      <c r="AD154" s="201">
        <v>0</v>
      </c>
      <c r="AE154" s="201">
        <v>0</v>
      </c>
      <c r="AF154" s="201">
        <v>0</v>
      </c>
      <c r="AG154" s="201">
        <v>0</v>
      </c>
      <c r="AH154" s="201">
        <v>0</v>
      </c>
      <c r="AI154" s="201">
        <v>0</v>
      </c>
      <c r="AJ154" s="201">
        <v>0</v>
      </c>
      <c r="AK154" s="201">
        <v>0</v>
      </c>
      <c r="AL154" s="201">
        <v>0</v>
      </c>
      <c r="AM154" s="201">
        <v>0</v>
      </c>
      <c r="AN154" s="201">
        <v>0</v>
      </c>
      <c r="AO154" s="201">
        <v>0</v>
      </c>
      <c r="AP154" s="201">
        <v>0</v>
      </c>
      <c r="AQ154" s="201">
        <v>0</v>
      </c>
      <c r="AR154" s="201">
        <v>0</v>
      </c>
      <c r="AS154" s="201">
        <v>0</v>
      </c>
      <c r="AT154" s="201">
        <v>0</v>
      </c>
      <c r="AU154" s="201">
        <v>0</v>
      </c>
      <c r="AV154" s="201">
        <v>0</v>
      </c>
      <c r="AW154" s="201">
        <v>0</v>
      </c>
      <c r="AX154" s="201">
        <v>0</v>
      </c>
      <c r="AY154" s="201">
        <v>0</v>
      </c>
      <c r="AZ154" s="201">
        <v>0</v>
      </c>
      <c r="BA154" s="201">
        <v>0</v>
      </c>
      <c r="BB154" s="201">
        <v>0</v>
      </c>
      <c r="BC154" s="201">
        <v>0</v>
      </c>
      <c r="BD154" s="201">
        <v>0</v>
      </c>
      <c r="BE154" s="201">
        <v>0</v>
      </c>
      <c r="BF154" s="201">
        <v>0</v>
      </c>
      <c r="BG154" s="201">
        <v>0</v>
      </c>
      <c r="BH154" s="201">
        <v>0</v>
      </c>
      <c r="BI154" s="201">
        <v>0</v>
      </c>
      <c r="BJ154" s="201">
        <v>0</v>
      </c>
      <c r="BK154" s="252">
        <v>0</v>
      </c>
    </row>
    <row r="155" spans="1:79">
      <c r="A155" s="251">
        <v>73</v>
      </c>
      <c r="B155" s="254">
        <v>0.22</v>
      </c>
      <c r="C155" s="253">
        <v>0.22</v>
      </c>
      <c r="D155" s="253">
        <v>0.2</v>
      </c>
      <c r="E155" s="253">
        <v>0.19</v>
      </c>
      <c r="F155" s="253">
        <v>0.17</v>
      </c>
      <c r="G155" s="253">
        <v>0.15</v>
      </c>
      <c r="H155" s="253">
        <v>0</v>
      </c>
      <c r="I155" s="253">
        <v>0</v>
      </c>
      <c r="J155" s="253">
        <v>0</v>
      </c>
      <c r="K155" s="253">
        <v>0</v>
      </c>
      <c r="L155" s="253">
        <v>0</v>
      </c>
      <c r="M155" s="201">
        <v>0</v>
      </c>
      <c r="N155" s="201">
        <v>0</v>
      </c>
      <c r="O155" s="201">
        <v>0</v>
      </c>
      <c r="P155" s="201">
        <v>0</v>
      </c>
      <c r="Q155" s="201">
        <v>0</v>
      </c>
      <c r="R155" s="201">
        <v>0</v>
      </c>
      <c r="S155" s="201">
        <v>0</v>
      </c>
      <c r="T155" s="201">
        <v>0</v>
      </c>
      <c r="U155" s="201">
        <v>0</v>
      </c>
      <c r="V155" s="201">
        <v>0</v>
      </c>
      <c r="W155" s="201">
        <v>0</v>
      </c>
      <c r="X155" s="201">
        <v>0</v>
      </c>
      <c r="Y155" s="201">
        <v>0</v>
      </c>
      <c r="Z155" s="201">
        <v>0</v>
      </c>
      <c r="AA155" s="201">
        <v>0</v>
      </c>
      <c r="AB155" s="201">
        <v>0</v>
      </c>
      <c r="AC155" s="201">
        <v>0</v>
      </c>
      <c r="AD155" s="201">
        <v>0</v>
      </c>
      <c r="AE155" s="201">
        <v>0</v>
      </c>
      <c r="AF155" s="201">
        <v>0</v>
      </c>
      <c r="AG155" s="201">
        <v>0</v>
      </c>
      <c r="AH155" s="201">
        <v>0</v>
      </c>
      <c r="AI155" s="201">
        <v>0</v>
      </c>
      <c r="AJ155" s="201">
        <v>0</v>
      </c>
      <c r="AK155" s="201">
        <v>0</v>
      </c>
      <c r="AL155" s="201">
        <v>0</v>
      </c>
      <c r="AM155" s="201">
        <v>0</v>
      </c>
      <c r="AN155" s="201">
        <v>0</v>
      </c>
      <c r="AO155" s="201">
        <v>0</v>
      </c>
      <c r="AP155" s="201">
        <v>0</v>
      </c>
      <c r="AQ155" s="201">
        <v>0</v>
      </c>
      <c r="AR155" s="201">
        <v>0</v>
      </c>
      <c r="AS155" s="201">
        <v>0</v>
      </c>
      <c r="AT155" s="201">
        <v>0</v>
      </c>
      <c r="AU155" s="201">
        <v>0</v>
      </c>
      <c r="AV155" s="201">
        <v>0</v>
      </c>
      <c r="AW155" s="201">
        <v>0</v>
      </c>
      <c r="AX155" s="201">
        <v>0</v>
      </c>
      <c r="AY155" s="201">
        <v>0</v>
      </c>
      <c r="AZ155" s="201">
        <v>0</v>
      </c>
      <c r="BA155" s="201">
        <v>0</v>
      </c>
      <c r="BB155" s="201">
        <v>0</v>
      </c>
      <c r="BC155" s="201">
        <v>0</v>
      </c>
      <c r="BD155" s="201">
        <v>0</v>
      </c>
      <c r="BE155" s="201">
        <v>0</v>
      </c>
      <c r="BF155" s="201">
        <v>0</v>
      </c>
      <c r="BG155" s="201">
        <v>0</v>
      </c>
      <c r="BH155" s="201">
        <v>0</v>
      </c>
      <c r="BI155" s="201">
        <v>0</v>
      </c>
      <c r="BJ155" s="201">
        <v>0</v>
      </c>
      <c r="BK155" s="252">
        <v>0</v>
      </c>
    </row>
    <row r="156" spans="1:79">
      <c r="A156" s="251">
        <v>74</v>
      </c>
      <c r="B156" s="254">
        <v>0.19</v>
      </c>
      <c r="C156" s="253">
        <v>0.19</v>
      </c>
      <c r="D156" s="253">
        <v>0.18</v>
      </c>
      <c r="E156" s="253">
        <v>0.16</v>
      </c>
      <c r="F156" s="253">
        <v>0.14000000000000001</v>
      </c>
      <c r="G156" s="253">
        <v>0</v>
      </c>
      <c r="H156" s="253">
        <v>0</v>
      </c>
      <c r="I156" s="253">
        <v>0</v>
      </c>
      <c r="J156" s="253">
        <v>0</v>
      </c>
      <c r="K156" s="253">
        <v>0</v>
      </c>
      <c r="L156" s="253">
        <v>0</v>
      </c>
      <c r="M156" s="201">
        <v>0</v>
      </c>
      <c r="N156" s="201">
        <v>0</v>
      </c>
      <c r="O156" s="201">
        <v>0</v>
      </c>
      <c r="P156" s="201">
        <v>0</v>
      </c>
      <c r="Q156" s="201">
        <v>0</v>
      </c>
      <c r="R156" s="201">
        <v>0</v>
      </c>
      <c r="S156" s="201">
        <v>0</v>
      </c>
      <c r="T156" s="201">
        <v>0</v>
      </c>
      <c r="U156" s="201">
        <v>0</v>
      </c>
      <c r="V156" s="201">
        <v>0</v>
      </c>
      <c r="W156" s="201">
        <v>0</v>
      </c>
      <c r="X156" s="201">
        <v>0</v>
      </c>
      <c r="Y156" s="201">
        <v>0</v>
      </c>
      <c r="Z156" s="201">
        <v>0</v>
      </c>
      <c r="AA156" s="201">
        <v>0</v>
      </c>
      <c r="AB156" s="201">
        <v>0</v>
      </c>
      <c r="AC156" s="201">
        <v>0</v>
      </c>
      <c r="AD156" s="201">
        <v>0</v>
      </c>
      <c r="AE156" s="201">
        <v>0</v>
      </c>
      <c r="AF156" s="201">
        <v>0</v>
      </c>
      <c r="AG156" s="201">
        <v>0</v>
      </c>
      <c r="AH156" s="201">
        <v>0</v>
      </c>
      <c r="AI156" s="201">
        <v>0</v>
      </c>
      <c r="AJ156" s="201">
        <v>0</v>
      </c>
      <c r="AK156" s="201">
        <v>0</v>
      </c>
      <c r="AL156" s="201">
        <v>0</v>
      </c>
      <c r="AM156" s="201">
        <v>0</v>
      </c>
      <c r="AN156" s="201">
        <v>0</v>
      </c>
      <c r="AO156" s="201">
        <v>0</v>
      </c>
      <c r="AP156" s="201">
        <v>0</v>
      </c>
      <c r="AQ156" s="201">
        <v>0</v>
      </c>
      <c r="AR156" s="201">
        <v>0</v>
      </c>
      <c r="AS156" s="201">
        <v>0</v>
      </c>
      <c r="AT156" s="201">
        <v>0</v>
      </c>
      <c r="AU156" s="201">
        <v>0</v>
      </c>
      <c r="AV156" s="201">
        <v>0</v>
      </c>
      <c r="AW156" s="201">
        <v>0</v>
      </c>
      <c r="AX156" s="201">
        <v>0</v>
      </c>
      <c r="AY156" s="201">
        <v>0</v>
      </c>
      <c r="AZ156" s="201">
        <v>0</v>
      </c>
      <c r="BA156" s="201">
        <v>0</v>
      </c>
      <c r="BB156" s="201">
        <v>0</v>
      </c>
      <c r="BC156" s="201">
        <v>0</v>
      </c>
      <c r="BD156" s="201">
        <v>0</v>
      </c>
      <c r="BE156" s="201">
        <v>0</v>
      </c>
      <c r="BF156" s="201">
        <v>0</v>
      </c>
      <c r="BG156" s="201">
        <v>0</v>
      </c>
      <c r="BH156" s="201">
        <v>0</v>
      </c>
      <c r="BI156" s="201">
        <v>0</v>
      </c>
      <c r="BJ156" s="201">
        <v>0</v>
      </c>
      <c r="BK156" s="252">
        <v>0</v>
      </c>
    </row>
    <row r="157" spans="1:79">
      <c r="A157" s="251">
        <v>75</v>
      </c>
      <c r="B157" s="250">
        <v>0.17</v>
      </c>
      <c r="C157" s="249">
        <v>0.17</v>
      </c>
      <c r="D157" s="249">
        <v>0.15</v>
      </c>
      <c r="E157" s="249">
        <v>0</v>
      </c>
      <c r="F157" s="249">
        <v>0</v>
      </c>
      <c r="G157" s="249">
        <v>0</v>
      </c>
      <c r="H157" s="249">
        <v>0</v>
      </c>
      <c r="I157" s="249">
        <v>0</v>
      </c>
      <c r="J157" s="249">
        <v>0</v>
      </c>
      <c r="K157" s="249">
        <v>0</v>
      </c>
      <c r="L157" s="249">
        <v>0</v>
      </c>
      <c r="M157" s="248">
        <v>0</v>
      </c>
      <c r="N157" s="248">
        <v>0</v>
      </c>
      <c r="O157" s="248">
        <v>0</v>
      </c>
      <c r="P157" s="248">
        <v>0</v>
      </c>
      <c r="Q157" s="248">
        <v>0</v>
      </c>
      <c r="R157" s="248">
        <v>0</v>
      </c>
      <c r="S157" s="248">
        <v>0</v>
      </c>
      <c r="T157" s="248">
        <v>0</v>
      </c>
      <c r="U157" s="248">
        <v>0</v>
      </c>
      <c r="V157" s="248">
        <v>0</v>
      </c>
      <c r="W157" s="248">
        <v>0</v>
      </c>
      <c r="X157" s="248">
        <v>0</v>
      </c>
      <c r="Y157" s="248">
        <v>0</v>
      </c>
      <c r="Z157" s="248">
        <v>0</v>
      </c>
      <c r="AA157" s="248">
        <v>0</v>
      </c>
      <c r="AB157" s="248">
        <v>0</v>
      </c>
      <c r="AC157" s="248">
        <v>0</v>
      </c>
      <c r="AD157" s="248">
        <v>0</v>
      </c>
      <c r="AE157" s="248">
        <v>0</v>
      </c>
      <c r="AF157" s="248">
        <v>0</v>
      </c>
      <c r="AG157" s="248">
        <v>0</v>
      </c>
      <c r="AH157" s="248">
        <v>0</v>
      </c>
      <c r="AI157" s="248">
        <v>0</v>
      </c>
      <c r="AJ157" s="248">
        <v>0</v>
      </c>
      <c r="AK157" s="248">
        <v>0</v>
      </c>
      <c r="AL157" s="248">
        <v>0</v>
      </c>
      <c r="AM157" s="248">
        <v>0</v>
      </c>
      <c r="AN157" s="248">
        <v>0</v>
      </c>
      <c r="AO157" s="248">
        <v>0</v>
      </c>
      <c r="AP157" s="248">
        <v>0</v>
      </c>
      <c r="AQ157" s="248">
        <v>0</v>
      </c>
      <c r="AR157" s="248">
        <v>0</v>
      </c>
      <c r="AS157" s="248">
        <v>0</v>
      </c>
      <c r="AT157" s="248">
        <v>0</v>
      </c>
      <c r="AU157" s="248">
        <v>0</v>
      </c>
      <c r="AV157" s="248">
        <v>0</v>
      </c>
      <c r="AW157" s="248">
        <v>0</v>
      </c>
      <c r="AX157" s="248">
        <v>0</v>
      </c>
      <c r="AY157" s="248">
        <v>0</v>
      </c>
      <c r="AZ157" s="248">
        <v>0</v>
      </c>
      <c r="BA157" s="248">
        <v>0</v>
      </c>
      <c r="BB157" s="248">
        <v>0</v>
      </c>
      <c r="BC157" s="248">
        <v>0</v>
      </c>
      <c r="BD157" s="248">
        <v>0</v>
      </c>
      <c r="BE157" s="248">
        <v>0</v>
      </c>
      <c r="BF157" s="248">
        <v>0</v>
      </c>
      <c r="BG157" s="248">
        <v>0</v>
      </c>
      <c r="BH157" s="248">
        <v>0</v>
      </c>
      <c r="BI157" s="248">
        <v>0</v>
      </c>
      <c r="BJ157" s="248">
        <v>0</v>
      </c>
      <c r="BK157" s="247">
        <v>0</v>
      </c>
    </row>
    <row r="158" spans="1:79">
      <c r="A158" s="246">
        <v>76</v>
      </c>
      <c r="B158" s="245">
        <v>0</v>
      </c>
      <c r="C158" s="245">
        <v>0</v>
      </c>
      <c r="D158" s="245">
        <v>0</v>
      </c>
      <c r="E158" s="245">
        <v>0</v>
      </c>
      <c r="F158" s="245">
        <v>0</v>
      </c>
      <c r="G158" s="245">
        <v>0</v>
      </c>
      <c r="H158" s="245">
        <v>0</v>
      </c>
      <c r="I158" s="245">
        <v>0</v>
      </c>
      <c r="J158" s="245">
        <v>0</v>
      </c>
      <c r="K158" s="245">
        <v>0</v>
      </c>
      <c r="L158" s="245">
        <v>0</v>
      </c>
      <c r="M158" s="245">
        <v>0</v>
      </c>
      <c r="N158" s="245">
        <v>0</v>
      </c>
      <c r="O158" s="245">
        <v>0</v>
      </c>
      <c r="P158" s="245">
        <v>0</v>
      </c>
      <c r="Q158" s="245">
        <v>0</v>
      </c>
      <c r="R158" s="245">
        <v>0</v>
      </c>
      <c r="S158" s="245">
        <v>0</v>
      </c>
      <c r="T158" s="245">
        <v>0</v>
      </c>
      <c r="U158" s="245">
        <v>0</v>
      </c>
      <c r="V158" s="245">
        <v>0</v>
      </c>
      <c r="W158" s="245">
        <v>0</v>
      </c>
      <c r="X158" s="245">
        <v>0</v>
      </c>
      <c r="Y158" s="245">
        <v>0</v>
      </c>
      <c r="Z158" s="245">
        <v>0</v>
      </c>
      <c r="AA158" s="245">
        <v>0</v>
      </c>
      <c r="AB158" s="245">
        <v>0</v>
      </c>
      <c r="AC158" s="245">
        <v>0</v>
      </c>
      <c r="AD158" s="245">
        <v>0</v>
      </c>
      <c r="AE158" s="245">
        <v>0</v>
      </c>
      <c r="AF158" s="245">
        <v>0</v>
      </c>
      <c r="AG158" s="245">
        <v>0</v>
      </c>
      <c r="AH158" s="245">
        <v>0</v>
      </c>
      <c r="AI158" s="245">
        <v>0</v>
      </c>
      <c r="AJ158" s="245">
        <v>0</v>
      </c>
      <c r="AK158" s="245">
        <v>0</v>
      </c>
      <c r="AL158" s="245">
        <v>0</v>
      </c>
      <c r="AM158" s="245">
        <v>0</v>
      </c>
      <c r="AN158" s="245">
        <v>0</v>
      </c>
      <c r="AO158" s="245">
        <v>0</v>
      </c>
      <c r="AP158" s="245">
        <v>0</v>
      </c>
      <c r="AQ158" s="245">
        <v>0</v>
      </c>
      <c r="AR158" s="245">
        <v>0</v>
      </c>
      <c r="AS158" s="245">
        <v>0</v>
      </c>
      <c r="AT158" s="245">
        <v>0</v>
      </c>
      <c r="AU158" s="245">
        <v>0</v>
      </c>
      <c r="AV158" s="245">
        <v>0</v>
      </c>
      <c r="AW158" s="245">
        <v>0</v>
      </c>
      <c r="AX158" s="245">
        <v>0</v>
      </c>
      <c r="AY158" s="245">
        <v>0</v>
      </c>
      <c r="AZ158" s="245">
        <v>0</v>
      </c>
      <c r="BA158" s="245">
        <v>0</v>
      </c>
      <c r="BB158" s="245">
        <v>0</v>
      </c>
      <c r="BC158" s="245">
        <v>0</v>
      </c>
      <c r="BD158" s="245">
        <v>0</v>
      </c>
      <c r="BE158" s="245">
        <v>0</v>
      </c>
      <c r="BF158" s="245">
        <v>0</v>
      </c>
      <c r="BG158" s="245">
        <v>0</v>
      </c>
      <c r="BH158" s="245">
        <v>0</v>
      </c>
      <c r="BI158" s="245">
        <v>0</v>
      </c>
      <c r="BJ158" s="245">
        <v>0</v>
      </c>
      <c r="BK158" s="245">
        <v>0</v>
      </c>
    </row>
    <row r="160" spans="1:79">
      <c r="A160" s="244" t="s">
        <v>646</v>
      </c>
      <c r="B160" s="243"/>
      <c r="C160" s="243"/>
      <c r="D160" s="243"/>
      <c r="E160" s="243"/>
      <c r="F160" s="243"/>
      <c r="G160" s="243"/>
      <c r="H160" s="243"/>
      <c r="I160" s="243"/>
      <c r="J160" s="243"/>
      <c r="K160" s="243"/>
      <c r="L160" s="243"/>
      <c r="M160" s="243"/>
      <c r="N160" s="243"/>
      <c r="O160" s="243"/>
      <c r="P160" s="243"/>
      <c r="Q160" s="243"/>
      <c r="R160" s="243"/>
      <c r="S160" s="243"/>
      <c r="T160" s="243"/>
      <c r="U160" s="243"/>
      <c r="V160" s="243"/>
      <c r="W160" s="243"/>
      <c r="X160" s="243"/>
      <c r="Y160" s="243"/>
      <c r="Z160" s="243"/>
      <c r="AA160" s="235"/>
      <c r="AB160" s="235"/>
      <c r="AC160" s="235"/>
      <c r="AD160" s="235"/>
      <c r="AE160" s="235"/>
      <c r="AF160" s="235"/>
      <c r="AG160" s="235"/>
      <c r="AH160" s="235"/>
      <c r="AI160" s="235"/>
      <c r="AJ160" s="235"/>
      <c r="AK160" s="235"/>
      <c r="AL160" s="235"/>
      <c r="AM160" s="235"/>
      <c r="AN160" s="235"/>
      <c r="AO160" s="235"/>
      <c r="AP160" s="235"/>
      <c r="AQ160" s="235"/>
      <c r="AR160" s="235"/>
      <c r="AS160" s="235"/>
      <c r="AT160" s="235"/>
      <c r="AU160" s="242"/>
      <c r="AV160" s="242"/>
      <c r="AW160" s="242"/>
      <c r="AX160" s="242"/>
      <c r="AY160" s="242"/>
      <c r="AZ160" s="242"/>
      <c r="BA160" s="242"/>
      <c r="BB160" s="242"/>
      <c r="BC160" s="235"/>
      <c r="BD160" s="235"/>
      <c r="BE160" s="235"/>
      <c r="BF160" s="235"/>
      <c r="BG160" s="235"/>
      <c r="BH160" s="235"/>
      <c r="BI160" s="235"/>
      <c r="BJ160" s="235"/>
      <c r="BK160" s="235"/>
      <c r="BL160" s="235"/>
      <c r="BM160" s="235"/>
      <c r="BN160" s="235"/>
      <c r="BO160" s="235"/>
      <c r="BP160" s="235"/>
      <c r="BQ160" s="235"/>
      <c r="BR160" s="235"/>
      <c r="BS160" s="235"/>
      <c r="BT160" s="235"/>
      <c r="BU160" s="235"/>
      <c r="BV160" s="235"/>
      <c r="BW160" s="235"/>
      <c r="BX160" s="235"/>
      <c r="BY160" s="235"/>
      <c r="BZ160" s="235"/>
      <c r="CA160" s="235"/>
    </row>
    <row r="161" spans="1:79">
      <c r="A161" s="911" t="s">
        <v>647</v>
      </c>
      <c r="B161" s="241" t="s">
        <v>648</v>
      </c>
      <c r="C161" s="240"/>
      <c r="D161" s="240"/>
      <c r="E161" s="240"/>
      <c r="F161" s="240"/>
      <c r="G161" s="240"/>
      <c r="H161" s="240"/>
      <c r="I161" s="240"/>
      <c r="J161" s="240"/>
      <c r="K161" s="240"/>
      <c r="L161" s="240"/>
      <c r="M161" s="240"/>
      <c r="N161" s="240"/>
      <c r="O161" s="240"/>
      <c r="P161" s="240"/>
      <c r="Q161" s="240"/>
      <c r="R161" s="240"/>
      <c r="S161" s="240"/>
      <c r="T161" s="240"/>
      <c r="U161" s="240"/>
      <c r="V161" s="240"/>
      <c r="W161" s="240"/>
      <c r="X161" s="240"/>
      <c r="Y161" s="240"/>
      <c r="Z161" s="240"/>
      <c r="AA161" s="240"/>
      <c r="AB161" s="240"/>
      <c r="AC161" s="240"/>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239"/>
      <c r="BH161" s="239"/>
      <c r="BI161" s="239"/>
      <c r="BJ161" s="239"/>
      <c r="BK161" s="239"/>
      <c r="BL161" s="239"/>
      <c r="BM161" s="239"/>
      <c r="BN161" s="239"/>
      <c r="BO161" s="239"/>
      <c r="BP161" s="239"/>
      <c r="BQ161" s="239"/>
      <c r="BR161" s="239"/>
      <c r="BS161" s="239"/>
      <c r="BT161" s="239"/>
      <c r="BU161" s="239"/>
      <c r="BV161" s="239"/>
      <c r="BW161" s="239"/>
      <c r="BX161" s="239"/>
      <c r="BY161" s="239"/>
      <c r="BZ161" s="239"/>
      <c r="CA161" s="238"/>
    </row>
    <row r="162" spans="1:79">
      <c r="A162" s="912"/>
      <c r="B162" s="237"/>
      <c r="C162" s="236"/>
      <c r="D162" s="236"/>
      <c r="E162" s="236"/>
      <c r="F162" s="236"/>
      <c r="G162" s="236"/>
      <c r="H162" s="236"/>
      <c r="I162" s="236"/>
      <c r="J162" s="236"/>
      <c r="K162" s="236"/>
      <c r="L162" s="236"/>
      <c r="M162" s="236"/>
      <c r="N162" s="236"/>
      <c r="O162" s="236"/>
      <c r="P162" s="236"/>
      <c r="Q162" s="236"/>
      <c r="R162" s="236"/>
      <c r="S162" s="236"/>
      <c r="T162" s="236"/>
      <c r="U162" s="236"/>
      <c r="V162" s="236"/>
      <c r="W162" s="236"/>
      <c r="X162" s="236"/>
      <c r="Y162" s="236"/>
      <c r="Z162" s="236"/>
      <c r="AA162" s="236"/>
      <c r="AB162" s="236"/>
      <c r="AC162" s="236"/>
      <c r="AD162" s="235"/>
      <c r="AE162" s="235"/>
      <c r="AF162" s="235"/>
      <c r="AG162" s="235"/>
      <c r="AH162" s="235"/>
      <c r="AI162" s="235"/>
      <c r="AJ162" s="235"/>
      <c r="AK162" s="235"/>
      <c r="AL162" s="235"/>
      <c r="AM162" s="235"/>
      <c r="AN162" s="235"/>
      <c r="AO162" s="235"/>
      <c r="AP162" s="235"/>
      <c r="AQ162" s="235"/>
      <c r="AR162" s="235"/>
      <c r="AS162" s="235"/>
      <c r="AT162" s="235"/>
      <c r="AU162" s="235"/>
      <c r="AV162" s="235"/>
      <c r="AW162" s="235"/>
      <c r="AX162" s="235"/>
      <c r="AY162" s="235"/>
      <c r="AZ162" s="235"/>
      <c r="BA162" s="235"/>
      <c r="BB162" s="235"/>
      <c r="BC162" s="235"/>
      <c r="BD162" s="235"/>
      <c r="BE162" s="235"/>
      <c r="BF162" s="235"/>
      <c r="BG162" s="235"/>
      <c r="BH162" s="235"/>
      <c r="BI162" s="235"/>
      <c r="BJ162" s="235"/>
      <c r="BK162" s="235"/>
      <c r="BL162" s="235"/>
      <c r="BM162" s="235"/>
      <c r="BN162" s="235"/>
      <c r="BO162" s="235"/>
      <c r="BP162" s="235"/>
      <c r="BQ162" s="235"/>
      <c r="BR162" s="235"/>
      <c r="BS162" s="235"/>
      <c r="BT162" s="235"/>
      <c r="BU162" s="235"/>
      <c r="BV162" s="235"/>
      <c r="BW162" s="235"/>
      <c r="BX162" s="235"/>
      <c r="BY162" s="235"/>
      <c r="BZ162" s="235"/>
      <c r="CA162" s="234"/>
    </row>
    <row r="163" spans="1:79">
      <c r="A163" s="233" t="s">
        <v>649</v>
      </c>
      <c r="B163" s="232"/>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0"/>
      <c r="AE163" s="230"/>
      <c r="AF163" s="230"/>
      <c r="AG163" s="230"/>
      <c r="AH163" s="230"/>
      <c r="AI163" s="230"/>
      <c r="AJ163" s="230"/>
      <c r="AK163" s="230"/>
      <c r="AL163" s="230"/>
      <c r="AM163" s="230"/>
      <c r="AN163" s="230"/>
      <c r="AO163" s="230"/>
      <c r="AP163" s="230"/>
      <c r="AQ163" s="230"/>
      <c r="AR163" s="230"/>
      <c r="AS163" s="230"/>
      <c r="AT163" s="230"/>
      <c r="AU163" s="230"/>
      <c r="AV163" s="230"/>
      <c r="AW163" s="230"/>
      <c r="AX163" s="230"/>
      <c r="AY163" s="230"/>
      <c r="AZ163" s="230"/>
      <c r="BA163" s="230"/>
      <c r="BB163" s="230"/>
      <c r="BC163" s="230"/>
      <c r="BD163" s="230"/>
      <c r="BE163" s="230"/>
      <c r="BF163" s="230"/>
      <c r="BG163" s="230"/>
      <c r="BH163" s="230"/>
      <c r="BI163" s="230"/>
      <c r="BJ163" s="230"/>
      <c r="BK163" s="230"/>
      <c r="BL163" s="230"/>
      <c r="BM163" s="230"/>
      <c r="BN163" s="230"/>
      <c r="BO163" s="230"/>
      <c r="BP163" s="230"/>
      <c r="BQ163" s="230"/>
      <c r="BR163" s="230"/>
      <c r="BS163" s="230"/>
      <c r="BT163" s="230"/>
      <c r="BU163" s="230"/>
      <c r="BV163" s="230"/>
      <c r="BW163" s="230"/>
      <c r="BX163" s="230"/>
      <c r="BY163" s="230"/>
      <c r="BZ163" s="230"/>
      <c r="CA163" s="229"/>
    </row>
    <row r="164" spans="1:79">
      <c r="A164" s="228"/>
      <c r="B164" s="228">
        <v>0</v>
      </c>
      <c r="C164" s="228">
        <v>1</v>
      </c>
      <c r="D164" s="228">
        <v>2</v>
      </c>
      <c r="E164" s="228">
        <v>3</v>
      </c>
      <c r="F164" s="228">
        <v>4</v>
      </c>
      <c r="G164" s="228">
        <v>5</v>
      </c>
      <c r="H164" s="228">
        <v>6</v>
      </c>
      <c r="I164" s="228">
        <v>7</v>
      </c>
      <c r="J164" s="228">
        <v>8</v>
      </c>
      <c r="K164" s="228">
        <v>9</v>
      </c>
      <c r="L164" s="228">
        <v>10</v>
      </c>
      <c r="M164" s="228">
        <v>11</v>
      </c>
      <c r="N164" s="228">
        <v>12</v>
      </c>
      <c r="O164" s="228">
        <v>13</v>
      </c>
      <c r="P164" s="228"/>
      <c r="Q164" s="228">
        <v>14</v>
      </c>
      <c r="R164" s="228">
        <v>15</v>
      </c>
      <c r="S164" s="228">
        <v>16</v>
      </c>
      <c r="T164" s="228">
        <v>17</v>
      </c>
      <c r="U164" s="228"/>
      <c r="V164" s="228">
        <v>18</v>
      </c>
      <c r="W164" s="228">
        <v>19</v>
      </c>
      <c r="X164" s="228">
        <v>20</v>
      </c>
      <c r="Y164" s="228">
        <v>21</v>
      </c>
      <c r="Z164" s="228">
        <v>22</v>
      </c>
      <c r="AA164" s="228">
        <v>23</v>
      </c>
      <c r="AB164" s="228">
        <v>24</v>
      </c>
      <c r="AC164" s="228">
        <v>25</v>
      </c>
      <c r="AD164" s="228">
        <v>26</v>
      </c>
      <c r="AE164" s="228">
        <v>27</v>
      </c>
      <c r="AF164" s="228">
        <v>28</v>
      </c>
      <c r="AG164" s="228">
        <v>29</v>
      </c>
      <c r="AH164" s="228">
        <v>30</v>
      </c>
      <c r="AI164" s="228">
        <v>31</v>
      </c>
      <c r="AJ164" s="228">
        <v>32</v>
      </c>
      <c r="AK164" s="228">
        <v>33</v>
      </c>
      <c r="AL164" s="228">
        <v>34</v>
      </c>
      <c r="AM164" s="228">
        <v>35</v>
      </c>
      <c r="AN164" s="228">
        <v>36</v>
      </c>
      <c r="AO164" s="228">
        <v>37</v>
      </c>
      <c r="AP164" s="228">
        <v>38</v>
      </c>
      <c r="AQ164" s="228">
        <v>39</v>
      </c>
      <c r="AR164" s="228">
        <v>40</v>
      </c>
      <c r="AS164" s="228">
        <v>41</v>
      </c>
      <c r="AT164" s="228">
        <v>42</v>
      </c>
      <c r="AU164" s="228">
        <v>43</v>
      </c>
      <c r="AV164" s="228">
        <v>44</v>
      </c>
      <c r="AW164" s="228">
        <v>45</v>
      </c>
      <c r="AX164" s="228">
        <v>46</v>
      </c>
      <c r="AY164" s="228">
        <v>47</v>
      </c>
      <c r="AZ164" s="228">
        <v>48</v>
      </c>
      <c r="BA164" s="228">
        <v>49</v>
      </c>
      <c r="BB164" s="228">
        <v>50</v>
      </c>
      <c r="BC164" s="228">
        <v>51</v>
      </c>
      <c r="BD164" s="228">
        <v>52</v>
      </c>
      <c r="BE164" s="228">
        <v>53</v>
      </c>
      <c r="BF164" s="228">
        <v>54</v>
      </c>
      <c r="BG164" s="228">
        <v>55</v>
      </c>
      <c r="BH164" s="228">
        <v>56</v>
      </c>
      <c r="BI164" s="228">
        <v>57</v>
      </c>
      <c r="BJ164" s="228">
        <v>58</v>
      </c>
      <c r="BK164" s="228">
        <v>59</v>
      </c>
      <c r="BL164" s="228">
        <v>60</v>
      </c>
      <c r="BM164" s="228">
        <v>61</v>
      </c>
      <c r="BN164" s="228">
        <v>62</v>
      </c>
      <c r="BO164" s="228">
        <v>63</v>
      </c>
      <c r="BP164" s="228">
        <v>64</v>
      </c>
      <c r="BQ164" s="228">
        <v>65</v>
      </c>
      <c r="BR164" s="228">
        <v>66</v>
      </c>
      <c r="BS164" s="228">
        <v>67</v>
      </c>
      <c r="BT164" s="228">
        <v>68</v>
      </c>
      <c r="BU164" s="228">
        <v>69</v>
      </c>
      <c r="BV164" s="228">
        <v>70</v>
      </c>
      <c r="BW164" s="228">
        <v>71</v>
      </c>
      <c r="BX164" s="228">
        <v>72</v>
      </c>
      <c r="BY164" s="228">
        <v>73</v>
      </c>
      <c r="BZ164" s="228">
        <v>74</v>
      </c>
      <c r="CA164" s="228">
        <v>75</v>
      </c>
    </row>
    <row r="165" spans="1:79">
      <c r="A165" s="227">
        <v>0</v>
      </c>
      <c r="B165" s="226">
        <v>1</v>
      </c>
      <c r="C165" s="226">
        <v>1</v>
      </c>
      <c r="D165" s="226">
        <v>1</v>
      </c>
      <c r="E165" s="226">
        <v>1</v>
      </c>
      <c r="F165" s="226">
        <v>1</v>
      </c>
      <c r="G165" s="226">
        <v>1</v>
      </c>
      <c r="H165" s="226">
        <v>1</v>
      </c>
      <c r="I165" s="226">
        <v>1</v>
      </c>
      <c r="J165" s="226">
        <v>1</v>
      </c>
      <c r="K165" s="226">
        <v>1</v>
      </c>
      <c r="L165" s="226">
        <v>1</v>
      </c>
      <c r="M165" s="226">
        <v>1</v>
      </c>
      <c r="N165" s="226">
        <v>1</v>
      </c>
      <c r="O165" s="226">
        <v>1</v>
      </c>
      <c r="P165" s="226"/>
      <c r="Q165" s="226">
        <v>1</v>
      </c>
      <c r="R165" s="226">
        <v>1</v>
      </c>
      <c r="S165" s="226">
        <v>0.99</v>
      </c>
      <c r="T165" s="226">
        <v>0.99</v>
      </c>
      <c r="U165" s="226"/>
      <c r="V165" s="226">
        <v>0.99</v>
      </c>
      <c r="W165" s="226">
        <v>0.99</v>
      </c>
      <c r="X165" s="226">
        <v>0.99</v>
      </c>
      <c r="Y165" s="226">
        <v>0.98</v>
      </c>
      <c r="Z165" s="226">
        <v>0.98</v>
      </c>
      <c r="AA165" s="226">
        <v>0.98</v>
      </c>
      <c r="AB165" s="226">
        <v>0.98</v>
      </c>
      <c r="AC165" s="226">
        <v>0.98</v>
      </c>
      <c r="AD165" s="226">
        <v>0.96</v>
      </c>
      <c r="AE165" s="226">
        <v>0.96</v>
      </c>
      <c r="AF165" s="226">
        <v>0.96</v>
      </c>
      <c r="AG165" s="226">
        <v>0.96</v>
      </c>
      <c r="AH165" s="226">
        <v>0.96</v>
      </c>
      <c r="AI165" s="226">
        <v>0.94</v>
      </c>
      <c r="AJ165" s="226">
        <v>0.94</v>
      </c>
      <c r="AK165" s="226">
        <v>0.94</v>
      </c>
      <c r="AL165" s="226">
        <v>0.94</v>
      </c>
      <c r="AM165" s="226">
        <v>0.94</v>
      </c>
      <c r="AN165" s="226">
        <v>0.91</v>
      </c>
      <c r="AO165" s="226">
        <v>0.91</v>
      </c>
      <c r="AP165" s="226">
        <v>0.91</v>
      </c>
      <c r="AQ165" s="226">
        <v>0.91</v>
      </c>
      <c r="AR165" s="226">
        <v>0.91</v>
      </c>
      <c r="AS165" s="226">
        <v>0.88</v>
      </c>
      <c r="AT165" s="226">
        <v>0.88</v>
      </c>
      <c r="AU165" s="226">
        <v>0.88</v>
      </c>
      <c r="AV165" s="226">
        <v>0.88</v>
      </c>
      <c r="AW165" s="226">
        <v>0.88</v>
      </c>
      <c r="AX165" s="226">
        <v>0.85</v>
      </c>
      <c r="AY165" s="226">
        <v>0.85</v>
      </c>
      <c r="AZ165" s="226">
        <v>0.85</v>
      </c>
      <c r="BA165" s="226">
        <v>0.85</v>
      </c>
      <c r="BB165" s="226">
        <v>0.85</v>
      </c>
      <c r="BC165" s="226">
        <v>0.81</v>
      </c>
      <c r="BD165" s="226">
        <v>0.81</v>
      </c>
      <c r="BE165" s="226">
        <v>0.81</v>
      </c>
      <c r="BF165" s="226">
        <v>0.81</v>
      </c>
      <c r="BG165" s="226">
        <v>0.81</v>
      </c>
      <c r="BH165" s="226">
        <v>0.77</v>
      </c>
      <c r="BI165" s="226">
        <v>0.77</v>
      </c>
      <c r="BJ165" s="226">
        <v>0.77</v>
      </c>
      <c r="BK165" s="226">
        <v>0.77</v>
      </c>
      <c r="BL165" s="226">
        <v>0.77</v>
      </c>
      <c r="BM165" s="226">
        <v>0.5</v>
      </c>
      <c r="BN165" s="226">
        <v>0.5</v>
      </c>
      <c r="BO165" s="226">
        <v>0.5</v>
      </c>
      <c r="BP165" s="226">
        <v>0.5</v>
      </c>
      <c r="BQ165" s="226">
        <v>0.5</v>
      </c>
      <c r="BR165" s="226">
        <v>0.5</v>
      </c>
      <c r="BS165" s="226">
        <v>0.5</v>
      </c>
      <c r="BT165" s="226">
        <v>0.5</v>
      </c>
      <c r="BU165" s="226">
        <v>0.5</v>
      </c>
      <c r="BV165" s="226">
        <v>0.5</v>
      </c>
      <c r="BW165" s="226">
        <v>0.5</v>
      </c>
      <c r="BX165" s="226">
        <v>0.5</v>
      </c>
      <c r="BY165" s="226">
        <v>0.5</v>
      </c>
      <c r="BZ165" s="226">
        <v>0.5</v>
      </c>
      <c r="CA165" s="226">
        <v>0.64</v>
      </c>
    </row>
    <row r="166" spans="1:79">
      <c r="A166" s="227">
        <v>1</v>
      </c>
      <c r="B166" s="226">
        <v>1</v>
      </c>
      <c r="C166" s="226">
        <v>1</v>
      </c>
      <c r="D166" s="226">
        <v>1</v>
      </c>
      <c r="E166" s="226">
        <v>1</v>
      </c>
      <c r="F166" s="226">
        <v>1</v>
      </c>
      <c r="G166" s="226">
        <v>1</v>
      </c>
      <c r="H166" s="226">
        <v>1</v>
      </c>
      <c r="I166" s="226">
        <v>1</v>
      </c>
      <c r="J166" s="226">
        <v>1</v>
      </c>
      <c r="K166" s="226">
        <v>1</v>
      </c>
      <c r="L166" s="226">
        <v>1</v>
      </c>
      <c r="M166" s="226">
        <v>1</v>
      </c>
      <c r="N166" s="226">
        <v>1</v>
      </c>
      <c r="O166" s="226">
        <v>1</v>
      </c>
      <c r="P166" s="226"/>
      <c r="Q166" s="226">
        <v>1</v>
      </c>
      <c r="R166" s="226">
        <v>1</v>
      </c>
      <c r="S166" s="226">
        <v>0.99</v>
      </c>
      <c r="T166" s="226">
        <v>0.99</v>
      </c>
      <c r="U166" s="226"/>
      <c r="V166" s="226">
        <v>0.99</v>
      </c>
      <c r="W166" s="226">
        <v>0.99</v>
      </c>
      <c r="X166" s="226">
        <v>0.99</v>
      </c>
      <c r="Y166" s="226">
        <v>0.98</v>
      </c>
      <c r="Z166" s="226">
        <v>0.98</v>
      </c>
      <c r="AA166" s="226">
        <v>0.98</v>
      </c>
      <c r="AB166" s="226">
        <v>0.98</v>
      </c>
      <c r="AC166" s="226">
        <v>0.98</v>
      </c>
      <c r="AD166" s="226">
        <v>0.96</v>
      </c>
      <c r="AE166" s="226">
        <v>0.96</v>
      </c>
      <c r="AF166" s="226">
        <v>0.96</v>
      </c>
      <c r="AG166" s="226">
        <v>0.96</v>
      </c>
      <c r="AH166" s="226">
        <v>0.96</v>
      </c>
      <c r="AI166" s="226">
        <v>0.94</v>
      </c>
      <c r="AJ166" s="226">
        <v>0.94</v>
      </c>
      <c r="AK166" s="226">
        <v>0.94</v>
      </c>
      <c r="AL166" s="226">
        <v>0.94</v>
      </c>
      <c r="AM166" s="226">
        <v>0.94</v>
      </c>
      <c r="AN166" s="226">
        <v>0.91</v>
      </c>
      <c r="AO166" s="226">
        <v>0.91</v>
      </c>
      <c r="AP166" s="226">
        <v>0.91</v>
      </c>
      <c r="AQ166" s="226">
        <v>0.91</v>
      </c>
      <c r="AR166" s="226">
        <v>0.91</v>
      </c>
      <c r="AS166" s="226">
        <v>0.88</v>
      </c>
      <c r="AT166" s="226">
        <v>0.88</v>
      </c>
      <c r="AU166" s="226">
        <v>0.88</v>
      </c>
      <c r="AV166" s="226">
        <v>0.88</v>
      </c>
      <c r="AW166" s="226">
        <v>0.88</v>
      </c>
      <c r="AX166" s="226">
        <v>0.85</v>
      </c>
      <c r="AY166" s="226">
        <v>0.85</v>
      </c>
      <c r="AZ166" s="226">
        <v>0.85</v>
      </c>
      <c r="BA166" s="226">
        <v>0.85</v>
      </c>
      <c r="BB166" s="226">
        <v>0.85</v>
      </c>
      <c r="BC166" s="226">
        <v>0.81</v>
      </c>
      <c r="BD166" s="226">
        <v>0.81</v>
      </c>
      <c r="BE166" s="226">
        <v>0.81</v>
      </c>
      <c r="BF166" s="226">
        <v>0.81</v>
      </c>
      <c r="BG166" s="226">
        <v>0.81</v>
      </c>
      <c r="BH166" s="226">
        <v>0.77</v>
      </c>
      <c r="BI166" s="226">
        <v>0.77</v>
      </c>
      <c r="BJ166" s="226">
        <v>0.77</v>
      </c>
      <c r="BK166" s="226">
        <v>0.77</v>
      </c>
      <c r="BL166" s="226">
        <v>0.77</v>
      </c>
      <c r="BM166" s="226">
        <v>0.5</v>
      </c>
      <c r="BN166" s="226">
        <v>0.5</v>
      </c>
      <c r="BO166" s="226">
        <v>0.5</v>
      </c>
      <c r="BP166" s="226">
        <v>0.5</v>
      </c>
      <c r="BQ166" s="226">
        <v>0.5</v>
      </c>
      <c r="BR166" s="226">
        <v>0.5</v>
      </c>
      <c r="BS166" s="226">
        <v>0.5</v>
      </c>
      <c r="BT166" s="226">
        <v>0.5</v>
      </c>
      <c r="BU166" s="226">
        <v>0.5</v>
      </c>
      <c r="BV166" s="226">
        <v>0.5</v>
      </c>
      <c r="BW166" s="226">
        <v>0.5</v>
      </c>
      <c r="BX166" s="226">
        <v>0.5</v>
      </c>
      <c r="BY166" s="226">
        <v>0.5</v>
      </c>
      <c r="BZ166" s="226">
        <v>0.5</v>
      </c>
      <c r="CA166" s="226">
        <v>0.64</v>
      </c>
    </row>
    <row r="167" spans="1:79">
      <c r="A167" s="227">
        <v>2</v>
      </c>
      <c r="B167" s="226">
        <v>1</v>
      </c>
      <c r="C167" s="226">
        <v>1</v>
      </c>
      <c r="D167" s="226">
        <v>1</v>
      </c>
      <c r="E167" s="226">
        <v>1</v>
      </c>
      <c r="F167" s="226">
        <v>1</v>
      </c>
      <c r="G167" s="226">
        <v>1</v>
      </c>
      <c r="H167" s="226">
        <v>1</v>
      </c>
      <c r="I167" s="226">
        <v>1</v>
      </c>
      <c r="J167" s="226">
        <v>1</v>
      </c>
      <c r="K167" s="226">
        <v>1</v>
      </c>
      <c r="L167" s="226">
        <v>1</v>
      </c>
      <c r="M167" s="226">
        <v>1</v>
      </c>
      <c r="N167" s="226">
        <v>1</v>
      </c>
      <c r="O167" s="226">
        <v>1</v>
      </c>
      <c r="P167" s="226"/>
      <c r="Q167" s="226">
        <v>1</v>
      </c>
      <c r="R167" s="226">
        <v>1</v>
      </c>
      <c r="S167" s="226">
        <v>0.99</v>
      </c>
      <c r="T167" s="226">
        <v>0.99</v>
      </c>
      <c r="U167" s="226"/>
      <c r="V167" s="226">
        <v>0.99</v>
      </c>
      <c r="W167" s="226">
        <v>0.99</v>
      </c>
      <c r="X167" s="226">
        <v>0.99</v>
      </c>
      <c r="Y167" s="226">
        <v>0.98</v>
      </c>
      <c r="Z167" s="226">
        <v>0.98</v>
      </c>
      <c r="AA167" s="226">
        <v>0.98</v>
      </c>
      <c r="AB167" s="226">
        <v>0.98</v>
      </c>
      <c r="AC167" s="226">
        <v>0.98</v>
      </c>
      <c r="AD167" s="226">
        <v>0.96</v>
      </c>
      <c r="AE167" s="226">
        <v>0.96</v>
      </c>
      <c r="AF167" s="226">
        <v>0.96</v>
      </c>
      <c r="AG167" s="226">
        <v>0.96</v>
      </c>
      <c r="AH167" s="226">
        <v>0.96</v>
      </c>
      <c r="AI167" s="226">
        <v>0.94</v>
      </c>
      <c r="AJ167" s="226">
        <v>0.94</v>
      </c>
      <c r="AK167" s="226">
        <v>0.94</v>
      </c>
      <c r="AL167" s="226">
        <v>0.94</v>
      </c>
      <c r="AM167" s="226">
        <v>0.94</v>
      </c>
      <c r="AN167" s="226">
        <v>0.91</v>
      </c>
      <c r="AO167" s="226">
        <v>0.91</v>
      </c>
      <c r="AP167" s="226">
        <v>0.91</v>
      </c>
      <c r="AQ167" s="226">
        <v>0.91</v>
      </c>
      <c r="AR167" s="226">
        <v>0.91</v>
      </c>
      <c r="AS167" s="226">
        <v>0.88</v>
      </c>
      <c r="AT167" s="226">
        <v>0.88</v>
      </c>
      <c r="AU167" s="226">
        <v>0.88</v>
      </c>
      <c r="AV167" s="226">
        <v>0.88</v>
      </c>
      <c r="AW167" s="226">
        <v>0.88</v>
      </c>
      <c r="AX167" s="226">
        <v>0.85</v>
      </c>
      <c r="AY167" s="226">
        <v>0.85</v>
      </c>
      <c r="AZ167" s="226">
        <v>0.85</v>
      </c>
      <c r="BA167" s="226">
        <v>0.85</v>
      </c>
      <c r="BB167" s="226">
        <v>0.85</v>
      </c>
      <c r="BC167" s="226">
        <v>0.81</v>
      </c>
      <c r="BD167" s="226">
        <v>0.81</v>
      </c>
      <c r="BE167" s="226">
        <v>0.81</v>
      </c>
      <c r="BF167" s="226">
        <v>0.81</v>
      </c>
      <c r="BG167" s="226">
        <v>0.81</v>
      </c>
      <c r="BH167" s="226">
        <v>0.77</v>
      </c>
      <c r="BI167" s="226">
        <v>0.77</v>
      </c>
      <c r="BJ167" s="226">
        <v>0.77</v>
      </c>
      <c r="BK167" s="226">
        <v>0.77</v>
      </c>
      <c r="BL167" s="226">
        <v>0.77</v>
      </c>
      <c r="BM167" s="226">
        <v>0.5</v>
      </c>
      <c r="BN167" s="226">
        <v>0.5</v>
      </c>
      <c r="BO167" s="226">
        <v>0.5</v>
      </c>
      <c r="BP167" s="226">
        <v>0.5</v>
      </c>
      <c r="BQ167" s="226">
        <v>0.5</v>
      </c>
      <c r="BR167" s="226">
        <v>0.5</v>
      </c>
      <c r="BS167" s="226">
        <v>0.5</v>
      </c>
      <c r="BT167" s="226">
        <v>0.5</v>
      </c>
      <c r="BU167" s="226">
        <v>0.5</v>
      </c>
      <c r="BV167" s="226">
        <v>0.5</v>
      </c>
      <c r="BW167" s="226">
        <v>0.5</v>
      </c>
      <c r="BX167" s="226">
        <v>0.5</v>
      </c>
      <c r="BY167" s="226">
        <v>0.5</v>
      </c>
      <c r="BZ167" s="226">
        <v>0.5</v>
      </c>
      <c r="CA167" s="226">
        <v>0.64</v>
      </c>
    </row>
    <row r="168" spans="1:79">
      <c r="A168" s="227">
        <v>3</v>
      </c>
      <c r="B168" s="226">
        <v>1</v>
      </c>
      <c r="C168" s="226">
        <v>1</v>
      </c>
      <c r="D168" s="226">
        <v>1</v>
      </c>
      <c r="E168" s="226">
        <v>1</v>
      </c>
      <c r="F168" s="226">
        <v>1</v>
      </c>
      <c r="G168" s="226">
        <v>1</v>
      </c>
      <c r="H168" s="226">
        <v>1</v>
      </c>
      <c r="I168" s="226">
        <v>1</v>
      </c>
      <c r="J168" s="226">
        <v>1</v>
      </c>
      <c r="K168" s="226">
        <v>1</v>
      </c>
      <c r="L168" s="226">
        <v>1</v>
      </c>
      <c r="M168" s="226">
        <v>1</v>
      </c>
      <c r="N168" s="226">
        <v>1</v>
      </c>
      <c r="O168" s="226">
        <v>1</v>
      </c>
      <c r="P168" s="226"/>
      <c r="Q168" s="226">
        <v>1</v>
      </c>
      <c r="R168" s="226">
        <v>1</v>
      </c>
      <c r="S168" s="226">
        <v>0.99</v>
      </c>
      <c r="T168" s="226">
        <v>0.99</v>
      </c>
      <c r="U168" s="226"/>
      <c r="V168" s="226">
        <v>0.99</v>
      </c>
      <c r="W168" s="226">
        <v>0.99</v>
      </c>
      <c r="X168" s="226">
        <v>0.99</v>
      </c>
      <c r="Y168" s="226">
        <v>0.98</v>
      </c>
      <c r="Z168" s="226">
        <v>0.98</v>
      </c>
      <c r="AA168" s="226">
        <v>0.98</v>
      </c>
      <c r="AB168" s="226">
        <v>0.98</v>
      </c>
      <c r="AC168" s="226">
        <v>0.98</v>
      </c>
      <c r="AD168" s="226">
        <v>0.96</v>
      </c>
      <c r="AE168" s="226">
        <v>0.96</v>
      </c>
      <c r="AF168" s="226">
        <v>0.96</v>
      </c>
      <c r="AG168" s="226">
        <v>0.96</v>
      </c>
      <c r="AH168" s="226">
        <v>0.96</v>
      </c>
      <c r="AI168" s="226">
        <v>0.94</v>
      </c>
      <c r="AJ168" s="226">
        <v>0.94</v>
      </c>
      <c r="AK168" s="226">
        <v>0.94</v>
      </c>
      <c r="AL168" s="226">
        <v>0.94</v>
      </c>
      <c r="AM168" s="226">
        <v>0.94</v>
      </c>
      <c r="AN168" s="226">
        <v>0.91</v>
      </c>
      <c r="AO168" s="226">
        <v>0.91</v>
      </c>
      <c r="AP168" s="226">
        <v>0.91</v>
      </c>
      <c r="AQ168" s="226">
        <v>0.91</v>
      </c>
      <c r="AR168" s="226">
        <v>0.91</v>
      </c>
      <c r="AS168" s="226">
        <v>0.88</v>
      </c>
      <c r="AT168" s="226">
        <v>0.88</v>
      </c>
      <c r="AU168" s="226">
        <v>0.88</v>
      </c>
      <c r="AV168" s="226">
        <v>0.88</v>
      </c>
      <c r="AW168" s="226">
        <v>0.88</v>
      </c>
      <c r="AX168" s="226">
        <v>0.85</v>
      </c>
      <c r="AY168" s="226">
        <v>0.85</v>
      </c>
      <c r="AZ168" s="226">
        <v>0.85</v>
      </c>
      <c r="BA168" s="226">
        <v>0.85</v>
      </c>
      <c r="BB168" s="226">
        <v>0.85</v>
      </c>
      <c r="BC168" s="226">
        <v>0.81</v>
      </c>
      <c r="BD168" s="226">
        <v>0.81</v>
      </c>
      <c r="BE168" s="226">
        <v>0.81</v>
      </c>
      <c r="BF168" s="226">
        <v>0.81</v>
      </c>
      <c r="BG168" s="226">
        <v>0.81</v>
      </c>
      <c r="BH168" s="226">
        <v>0.77</v>
      </c>
      <c r="BI168" s="226">
        <v>0.77</v>
      </c>
      <c r="BJ168" s="226">
        <v>0.77</v>
      </c>
      <c r="BK168" s="226">
        <v>0.77</v>
      </c>
      <c r="BL168" s="226">
        <v>0.77</v>
      </c>
      <c r="BM168" s="226">
        <v>0.5</v>
      </c>
      <c r="BN168" s="226">
        <v>0.5</v>
      </c>
      <c r="BO168" s="226">
        <v>0.5</v>
      </c>
      <c r="BP168" s="226">
        <v>0.5</v>
      </c>
      <c r="BQ168" s="226">
        <v>0.5</v>
      </c>
      <c r="BR168" s="226">
        <v>0.5</v>
      </c>
      <c r="BS168" s="226">
        <v>0.5</v>
      </c>
      <c r="BT168" s="226">
        <v>0.5</v>
      </c>
      <c r="BU168" s="226">
        <v>0.5</v>
      </c>
      <c r="BV168" s="226">
        <v>0.5</v>
      </c>
      <c r="BW168" s="226">
        <v>0.5</v>
      </c>
      <c r="BX168" s="226">
        <v>0.5</v>
      </c>
      <c r="BY168" s="226">
        <v>0.5</v>
      </c>
      <c r="BZ168" s="226">
        <v>0.5</v>
      </c>
      <c r="CA168" s="226">
        <v>0.64</v>
      </c>
    </row>
    <row r="169" spans="1:79">
      <c r="A169" s="227">
        <v>4</v>
      </c>
      <c r="B169" s="226">
        <v>1</v>
      </c>
      <c r="C169" s="226">
        <v>1</v>
      </c>
      <c r="D169" s="226">
        <v>1</v>
      </c>
      <c r="E169" s="226">
        <v>1</v>
      </c>
      <c r="F169" s="226">
        <v>1</v>
      </c>
      <c r="G169" s="226">
        <v>1</v>
      </c>
      <c r="H169" s="226">
        <v>1</v>
      </c>
      <c r="I169" s="226">
        <v>1</v>
      </c>
      <c r="J169" s="226">
        <v>1</v>
      </c>
      <c r="K169" s="226">
        <v>1</v>
      </c>
      <c r="L169" s="226">
        <v>1</v>
      </c>
      <c r="M169" s="226">
        <v>1</v>
      </c>
      <c r="N169" s="226">
        <v>1</v>
      </c>
      <c r="O169" s="226">
        <v>1</v>
      </c>
      <c r="P169" s="226"/>
      <c r="Q169" s="226">
        <v>1</v>
      </c>
      <c r="R169" s="226">
        <v>1</v>
      </c>
      <c r="S169" s="226">
        <v>0.99</v>
      </c>
      <c r="T169" s="226">
        <v>0.99</v>
      </c>
      <c r="U169" s="226"/>
      <c r="V169" s="226">
        <v>0.99</v>
      </c>
      <c r="W169" s="226">
        <v>0.99</v>
      </c>
      <c r="X169" s="226">
        <v>0.99</v>
      </c>
      <c r="Y169" s="226">
        <v>0.98</v>
      </c>
      <c r="Z169" s="226">
        <v>0.98</v>
      </c>
      <c r="AA169" s="226">
        <v>0.98</v>
      </c>
      <c r="AB169" s="226">
        <v>0.98</v>
      </c>
      <c r="AC169" s="226">
        <v>0.98</v>
      </c>
      <c r="AD169" s="226">
        <v>0.96</v>
      </c>
      <c r="AE169" s="226">
        <v>0.96</v>
      </c>
      <c r="AF169" s="226">
        <v>0.96</v>
      </c>
      <c r="AG169" s="226">
        <v>0.96</v>
      </c>
      <c r="AH169" s="226">
        <v>0.96</v>
      </c>
      <c r="AI169" s="226">
        <v>0.94</v>
      </c>
      <c r="AJ169" s="226">
        <v>0.94</v>
      </c>
      <c r="AK169" s="226">
        <v>0.94</v>
      </c>
      <c r="AL169" s="226">
        <v>0.94</v>
      </c>
      <c r="AM169" s="226">
        <v>0.94</v>
      </c>
      <c r="AN169" s="226">
        <v>0.91</v>
      </c>
      <c r="AO169" s="226">
        <v>0.91</v>
      </c>
      <c r="AP169" s="226">
        <v>0.91</v>
      </c>
      <c r="AQ169" s="226">
        <v>0.91</v>
      </c>
      <c r="AR169" s="226">
        <v>0.91</v>
      </c>
      <c r="AS169" s="226">
        <v>0.88</v>
      </c>
      <c r="AT169" s="226">
        <v>0.88</v>
      </c>
      <c r="AU169" s="226">
        <v>0.88</v>
      </c>
      <c r="AV169" s="226">
        <v>0.88</v>
      </c>
      <c r="AW169" s="226">
        <v>0.88</v>
      </c>
      <c r="AX169" s="226">
        <v>0.85</v>
      </c>
      <c r="AY169" s="226">
        <v>0.85</v>
      </c>
      <c r="AZ169" s="226">
        <v>0.85</v>
      </c>
      <c r="BA169" s="226">
        <v>0.85</v>
      </c>
      <c r="BB169" s="226">
        <v>0.85</v>
      </c>
      <c r="BC169" s="226">
        <v>0.81</v>
      </c>
      <c r="BD169" s="226">
        <v>0.81</v>
      </c>
      <c r="BE169" s="226">
        <v>0.81</v>
      </c>
      <c r="BF169" s="226">
        <v>0.81</v>
      </c>
      <c r="BG169" s="226">
        <v>0.81</v>
      </c>
      <c r="BH169" s="226">
        <v>0.77</v>
      </c>
      <c r="BI169" s="226">
        <v>0.77</v>
      </c>
      <c r="BJ169" s="226">
        <v>0.77</v>
      </c>
      <c r="BK169" s="226">
        <v>0.77</v>
      </c>
      <c r="BL169" s="226">
        <v>0.77</v>
      </c>
      <c r="BM169" s="226">
        <v>0.5</v>
      </c>
      <c r="BN169" s="226">
        <v>0.5</v>
      </c>
      <c r="BO169" s="226">
        <v>0.5</v>
      </c>
      <c r="BP169" s="226">
        <v>0.5</v>
      </c>
      <c r="BQ169" s="226">
        <v>0.5</v>
      </c>
      <c r="BR169" s="226">
        <v>0.5</v>
      </c>
      <c r="BS169" s="226">
        <v>0.5</v>
      </c>
      <c r="BT169" s="226">
        <v>0.5</v>
      </c>
      <c r="BU169" s="226">
        <v>0.5</v>
      </c>
      <c r="BV169" s="226">
        <v>0.5</v>
      </c>
      <c r="BW169" s="226">
        <v>0.5</v>
      </c>
      <c r="BX169" s="226">
        <v>0.5</v>
      </c>
      <c r="BY169" s="226">
        <v>0.5</v>
      </c>
      <c r="BZ169" s="226">
        <v>0.5</v>
      </c>
      <c r="CA169" s="226">
        <v>0.64</v>
      </c>
    </row>
    <row r="170" spans="1:79">
      <c r="A170" s="227">
        <v>5</v>
      </c>
      <c r="B170" s="226">
        <v>1</v>
      </c>
      <c r="C170" s="226">
        <v>1</v>
      </c>
      <c r="D170" s="226">
        <v>1</v>
      </c>
      <c r="E170" s="226">
        <v>1</v>
      </c>
      <c r="F170" s="226">
        <v>1</v>
      </c>
      <c r="G170" s="226">
        <v>1</v>
      </c>
      <c r="H170" s="226">
        <v>1</v>
      </c>
      <c r="I170" s="226">
        <v>1</v>
      </c>
      <c r="J170" s="226">
        <v>1</v>
      </c>
      <c r="K170" s="226">
        <v>1</v>
      </c>
      <c r="L170" s="226">
        <v>1</v>
      </c>
      <c r="M170" s="226">
        <v>1</v>
      </c>
      <c r="N170" s="226">
        <v>1</v>
      </c>
      <c r="O170" s="226">
        <v>1</v>
      </c>
      <c r="P170" s="226"/>
      <c r="Q170" s="226">
        <v>1</v>
      </c>
      <c r="R170" s="226">
        <v>1</v>
      </c>
      <c r="S170" s="226">
        <v>0.99</v>
      </c>
      <c r="T170" s="226">
        <v>0.99</v>
      </c>
      <c r="U170" s="226"/>
      <c r="V170" s="226">
        <v>0.99</v>
      </c>
      <c r="W170" s="226">
        <v>0.99</v>
      </c>
      <c r="X170" s="226">
        <v>0.99</v>
      </c>
      <c r="Y170" s="226">
        <v>0.98</v>
      </c>
      <c r="Z170" s="226">
        <v>0.98</v>
      </c>
      <c r="AA170" s="226">
        <v>0.98</v>
      </c>
      <c r="AB170" s="226">
        <v>0.98</v>
      </c>
      <c r="AC170" s="226">
        <v>0.98</v>
      </c>
      <c r="AD170" s="226">
        <v>0.96</v>
      </c>
      <c r="AE170" s="226">
        <v>0.96</v>
      </c>
      <c r="AF170" s="226">
        <v>0.96</v>
      </c>
      <c r="AG170" s="226">
        <v>0.96</v>
      </c>
      <c r="AH170" s="226">
        <v>0.96</v>
      </c>
      <c r="AI170" s="226">
        <v>0.94</v>
      </c>
      <c r="AJ170" s="226">
        <v>0.94</v>
      </c>
      <c r="AK170" s="226">
        <v>0.94</v>
      </c>
      <c r="AL170" s="226">
        <v>0.94</v>
      </c>
      <c r="AM170" s="226">
        <v>0.94</v>
      </c>
      <c r="AN170" s="226">
        <v>0.91</v>
      </c>
      <c r="AO170" s="226">
        <v>0.91</v>
      </c>
      <c r="AP170" s="226">
        <v>0.91</v>
      </c>
      <c r="AQ170" s="226">
        <v>0.91</v>
      </c>
      <c r="AR170" s="226">
        <v>0.91</v>
      </c>
      <c r="AS170" s="226">
        <v>0.88</v>
      </c>
      <c r="AT170" s="226">
        <v>0.88</v>
      </c>
      <c r="AU170" s="226">
        <v>0.88</v>
      </c>
      <c r="AV170" s="226">
        <v>0.88</v>
      </c>
      <c r="AW170" s="226">
        <v>0.88</v>
      </c>
      <c r="AX170" s="226">
        <v>0.85</v>
      </c>
      <c r="AY170" s="226">
        <v>0.85</v>
      </c>
      <c r="AZ170" s="226">
        <v>0.85</v>
      </c>
      <c r="BA170" s="226">
        <v>0.85</v>
      </c>
      <c r="BB170" s="226">
        <v>0.85</v>
      </c>
      <c r="BC170" s="226">
        <v>0.81</v>
      </c>
      <c r="BD170" s="226">
        <v>0.81</v>
      </c>
      <c r="BE170" s="226">
        <v>0.81</v>
      </c>
      <c r="BF170" s="226">
        <v>0.81</v>
      </c>
      <c r="BG170" s="226">
        <v>0.81</v>
      </c>
      <c r="BH170" s="226">
        <v>0.77</v>
      </c>
      <c r="BI170" s="226">
        <v>0.77</v>
      </c>
      <c r="BJ170" s="226">
        <v>0.77</v>
      </c>
      <c r="BK170" s="226">
        <v>0.77</v>
      </c>
      <c r="BL170" s="226">
        <v>0.77</v>
      </c>
      <c r="BM170" s="226">
        <v>0.5</v>
      </c>
      <c r="BN170" s="226">
        <v>0.5</v>
      </c>
      <c r="BO170" s="226">
        <v>0.5</v>
      </c>
      <c r="BP170" s="226">
        <v>0.5</v>
      </c>
      <c r="BQ170" s="226">
        <v>0.5</v>
      </c>
      <c r="BR170" s="226">
        <v>0.5</v>
      </c>
      <c r="BS170" s="226">
        <v>0.5</v>
      </c>
      <c r="BT170" s="226">
        <v>0.5</v>
      </c>
      <c r="BU170" s="226">
        <v>0.5</v>
      </c>
      <c r="BV170" s="226">
        <v>0.5</v>
      </c>
      <c r="BW170" s="226">
        <v>0.5</v>
      </c>
      <c r="BX170" s="226">
        <v>0.5</v>
      </c>
      <c r="BY170" s="226">
        <v>0.5</v>
      </c>
      <c r="BZ170" s="226">
        <v>0.5</v>
      </c>
      <c r="CA170" s="226">
        <v>0.64</v>
      </c>
    </row>
    <row r="171" spans="1:79">
      <c r="A171" s="227">
        <v>6</v>
      </c>
      <c r="B171" s="226">
        <v>1</v>
      </c>
      <c r="C171" s="226">
        <v>1</v>
      </c>
      <c r="D171" s="226">
        <v>1</v>
      </c>
      <c r="E171" s="226">
        <v>1</v>
      </c>
      <c r="F171" s="226">
        <v>1</v>
      </c>
      <c r="G171" s="226">
        <v>1</v>
      </c>
      <c r="H171" s="226">
        <v>1</v>
      </c>
      <c r="I171" s="226">
        <v>1</v>
      </c>
      <c r="J171" s="226">
        <v>1</v>
      </c>
      <c r="K171" s="226">
        <v>1</v>
      </c>
      <c r="L171" s="226">
        <v>1</v>
      </c>
      <c r="M171" s="226">
        <v>1</v>
      </c>
      <c r="N171" s="226">
        <v>1</v>
      </c>
      <c r="O171" s="226">
        <v>1</v>
      </c>
      <c r="P171" s="226"/>
      <c r="Q171" s="226">
        <v>1</v>
      </c>
      <c r="R171" s="226">
        <v>1</v>
      </c>
      <c r="S171" s="226">
        <v>0.99</v>
      </c>
      <c r="T171" s="226">
        <v>0.99</v>
      </c>
      <c r="U171" s="226"/>
      <c r="V171" s="226">
        <v>0.99</v>
      </c>
      <c r="W171" s="226">
        <v>0.99</v>
      </c>
      <c r="X171" s="226">
        <v>0.99</v>
      </c>
      <c r="Y171" s="226">
        <v>0.98</v>
      </c>
      <c r="Z171" s="226">
        <v>0.98</v>
      </c>
      <c r="AA171" s="226">
        <v>0.98</v>
      </c>
      <c r="AB171" s="226">
        <v>0.98</v>
      </c>
      <c r="AC171" s="226">
        <v>0.98</v>
      </c>
      <c r="AD171" s="226">
        <v>0.96</v>
      </c>
      <c r="AE171" s="226">
        <v>0.96</v>
      </c>
      <c r="AF171" s="226">
        <v>0.96</v>
      </c>
      <c r="AG171" s="226">
        <v>0.96</v>
      </c>
      <c r="AH171" s="226">
        <v>0.96</v>
      </c>
      <c r="AI171" s="226">
        <v>0.94</v>
      </c>
      <c r="AJ171" s="226">
        <v>0.94</v>
      </c>
      <c r="AK171" s="226">
        <v>0.94</v>
      </c>
      <c r="AL171" s="226">
        <v>0.94</v>
      </c>
      <c r="AM171" s="226">
        <v>0.94</v>
      </c>
      <c r="AN171" s="226">
        <v>0.91</v>
      </c>
      <c r="AO171" s="226">
        <v>0.91</v>
      </c>
      <c r="AP171" s="226">
        <v>0.91</v>
      </c>
      <c r="AQ171" s="226">
        <v>0.91</v>
      </c>
      <c r="AR171" s="226">
        <v>0.91</v>
      </c>
      <c r="AS171" s="226">
        <v>0.88</v>
      </c>
      <c r="AT171" s="226">
        <v>0.88</v>
      </c>
      <c r="AU171" s="226">
        <v>0.88</v>
      </c>
      <c r="AV171" s="226">
        <v>0.88</v>
      </c>
      <c r="AW171" s="226">
        <v>0.88</v>
      </c>
      <c r="AX171" s="226">
        <v>0.85</v>
      </c>
      <c r="AY171" s="226">
        <v>0.85</v>
      </c>
      <c r="AZ171" s="226">
        <v>0.85</v>
      </c>
      <c r="BA171" s="226">
        <v>0.85</v>
      </c>
      <c r="BB171" s="226">
        <v>0.85</v>
      </c>
      <c r="BC171" s="226">
        <v>0.81</v>
      </c>
      <c r="BD171" s="226">
        <v>0.81</v>
      </c>
      <c r="BE171" s="226">
        <v>0.81</v>
      </c>
      <c r="BF171" s="226">
        <v>0.81</v>
      </c>
      <c r="BG171" s="226">
        <v>0.81</v>
      </c>
      <c r="BH171" s="226">
        <v>0.77</v>
      </c>
      <c r="BI171" s="226">
        <v>0.77</v>
      </c>
      <c r="BJ171" s="226">
        <v>0.77</v>
      </c>
      <c r="BK171" s="226">
        <v>0.77</v>
      </c>
      <c r="BL171" s="226">
        <v>0.77</v>
      </c>
      <c r="BM171" s="226">
        <v>0.5</v>
      </c>
      <c r="BN171" s="226">
        <v>0.5</v>
      </c>
      <c r="BO171" s="226">
        <v>0.5</v>
      </c>
      <c r="BP171" s="226">
        <v>0.5</v>
      </c>
      <c r="BQ171" s="226">
        <v>0.5</v>
      </c>
      <c r="BR171" s="226">
        <v>0.5</v>
      </c>
      <c r="BS171" s="226">
        <v>0.5</v>
      </c>
      <c r="BT171" s="226">
        <v>0.5</v>
      </c>
      <c r="BU171" s="226">
        <v>0.5</v>
      </c>
      <c r="BV171" s="226">
        <v>0.5</v>
      </c>
      <c r="BW171" s="226">
        <v>0.5</v>
      </c>
      <c r="BX171" s="226">
        <v>0.5</v>
      </c>
      <c r="BY171" s="226">
        <v>0.5</v>
      </c>
      <c r="BZ171" s="226">
        <v>0.5</v>
      </c>
      <c r="CA171" s="226">
        <v>0.64</v>
      </c>
    </row>
    <row r="172" spans="1:79">
      <c r="A172" s="227">
        <v>7</v>
      </c>
      <c r="B172" s="226">
        <v>1</v>
      </c>
      <c r="C172" s="226">
        <v>1</v>
      </c>
      <c r="D172" s="226">
        <v>1</v>
      </c>
      <c r="E172" s="226">
        <v>1</v>
      </c>
      <c r="F172" s="226">
        <v>1</v>
      </c>
      <c r="G172" s="226">
        <v>1</v>
      </c>
      <c r="H172" s="226">
        <v>1</v>
      </c>
      <c r="I172" s="226">
        <v>1</v>
      </c>
      <c r="J172" s="226">
        <v>1</v>
      </c>
      <c r="K172" s="226">
        <v>1</v>
      </c>
      <c r="L172" s="226">
        <v>1</v>
      </c>
      <c r="M172" s="226">
        <v>1</v>
      </c>
      <c r="N172" s="226">
        <v>1</v>
      </c>
      <c r="O172" s="226">
        <v>1</v>
      </c>
      <c r="P172" s="226"/>
      <c r="Q172" s="226">
        <v>1</v>
      </c>
      <c r="R172" s="226">
        <v>1</v>
      </c>
      <c r="S172" s="226">
        <v>0.99</v>
      </c>
      <c r="T172" s="226">
        <v>0.99</v>
      </c>
      <c r="U172" s="226"/>
      <c r="V172" s="226">
        <v>0.99</v>
      </c>
      <c r="W172" s="226">
        <v>0.99</v>
      </c>
      <c r="X172" s="226">
        <v>0.99</v>
      </c>
      <c r="Y172" s="226">
        <v>0.98</v>
      </c>
      <c r="Z172" s="226">
        <v>0.98</v>
      </c>
      <c r="AA172" s="226">
        <v>0.98</v>
      </c>
      <c r="AB172" s="226">
        <v>0.98</v>
      </c>
      <c r="AC172" s="226">
        <v>0.98</v>
      </c>
      <c r="AD172" s="226">
        <v>0.96</v>
      </c>
      <c r="AE172" s="226">
        <v>0.96</v>
      </c>
      <c r="AF172" s="226">
        <v>0.96</v>
      </c>
      <c r="AG172" s="226">
        <v>0.96</v>
      </c>
      <c r="AH172" s="226">
        <v>0.96</v>
      </c>
      <c r="AI172" s="226">
        <v>0.94</v>
      </c>
      <c r="AJ172" s="226">
        <v>0.94</v>
      </c>
      <c r="AK172" s="226">
        <v>0.94</v>
      </c>
      <c r="AL172" s="226">
        <v>0.94</v>
      </c>
      <c r="AM172" s="226">
        <v>0.94</v>
      </c>
      <c r="AN172" s="226">
        <v>0.91</v>
      </c>
      <c r="AO172" s="226">
        <v>0.91</v>
      </c>
      <c r="AP172" s="226">
        <v>0.91</v>
      </c>
      <c r="AQ172" s="226">
        <v>0.91</v>
      </c>
      <c r="AR172" s="226">
        <v>0.91</v>
      </c>
      <c r="AS172" s="226">
        <v>0.88</v>
      </c>
      <c r="AT172" s="226">
        <v>0.88</v>
      </c>
      <c r="AU172" s="226">
        <v>0.88</v>
      </c>
      <c r="AV172" s="226">
        <v>0.88</v>
      </c>
      <c r="AW172" s="226">
        <v>0.88</v>
      </c>
      <c r="AX172" s="226">
        <v>0.85</v>
      </c>
      <c r="AY172" s="226">
        <v>0.85</v>
      </c>
      <c r="AZ172" s="226">
        <v>0.85</v>
      </c>
      <c r="BA172" s="226">
        <v>0.85</v>
      </c>
      <c r="BB172" s="226">
        <v>0.85</v>
      </c>
      <c r="BC172" s="226">
        <v>0.81</v>
      </c>
      <c r="BD172" s="226">
        <v>0.81</v>
      </c>
      <c r="BE172" s="226">
        <v>0.81</v>
      </c>
      <c r="BF172" s="226">
        <v>0.81</v>
      </c>
      <c r="BG172" s="226">
        <v>0.81</v>
      </c>
      <c r="BH172" s="226">
        <v>0.77</v>
      </c>
      <c r="BI172" s="226">
        <v>0.77</v>
      </c>
      <c r="BJ172" s="226">
        <v>0.77</v>
      </c>
      <c r="BK172" s="226">
        <v>0.77</v>
      </c>
      <c r="BL172" s="226">
        <v>0.77</v>
      </c>
      <c r="BM172" s="226">
        <v>0.5</v>
      </c>
      <c r="BN172" s="226">
        <v>0.5</v>
      </c>
      <c r="BO172" s="226">
        <v>0.5</v>
      </c>
      <c r="BP172" s="226">
        <v>0.5</v>
      </c>
      <c r="BQ172" s="226">
        <v>0.5</v>
      </c>
      <c r="BR172" s="226">
        <v>0.5</v>
      </c>
      <c r="BS172" s="226">
        <v>0.5</v>
      </c>
      <c r="BT172" s="226">
        <v>0.5</v>
      </c>
      <c r="BU172" s="226">
        <v>0.5</v>
      </c>
      <c r="BV172" s="226">
        <v>0.5</v>
      </c>
      <c r="BW172" s="226">
        <v>0.5</v>
      </c>
      <c r="BX172" s="226">
        <v>0.5</v>
      </c>
      <c r="BY172" s="226">
        <v>0.5</v>
      </c>
      <c r="BZ172" s="226">
        <v>0.5</v>
      </c>
      <c r="CA172" s="226">
        <v>0.64</v>
      </c>
    </row>
    <row r="173" spans="1:79">
      <c r="A173" s="227">
        <v>8</v>
      </c>
      <c r="B173" s="226">
        <v>1</v>
      </c>
      <c r="C173" s="226">
        <v>1</v>
      </c>
      <c r="D173" s="226">
        <v>1</v>
      </c>
      <c r="E173" s="226">
        <v>1</v>
      </c>
      <c r="F173" s="226">
        <v>1</v>
      </c>
      <c r="G173" s="226">
        <v>1</v>
      </c>
      <c r="H173" s="226">
        <v>1</v>
      </c>
      <c r="I173" s="226">
        <v>1</v>
      </c>
      <c r="J173" s="226">
        <v>1</v>
      </c>
      <c r="K173" s="226">
        <v>1</v>
      </c>
      <c r="L173" s="226">
        <v>1</v>
      </c>
      <c r="M173" s="226">
        <v>1</v>
      </c>
      <c r="N173" s="226">
        <v>1</v>
      </c>
      <c r="O173" s="226">
        <v>1</v>
      </c>
      <c r="P173" s="226"/>
      <c r="Q173" s="226">
        <v>1</v>
      </c>
      <c r="R173" s="226">
        <v>1</v>
      </c>
      <c r="S173" s="226">
        <v>0.99</v>
      </c>
      <c r="T173" s="226">
        <v>0.99</v>
      </c>
      <c r="U173" s="226"/>
      <c r="V173" s="226">
        <v>0.99</v>
      </c>
      <c r="W173" s="226">
        <v>0.99</v>
      </c>
      <c r="X173" s="226">
        <v>0.99</v>
      </c>
      <c r="Y173" s="226">
        <v>0.98</v>
      </c>
      <c r="Z173" s="226">
        <v>0.98</v>
      </c>
      <c r="AA173" s="226">
        <v>0.98</v>
      </c>
      <c r="AB173" s="226">
        <v>0.98</v>
      </c>
      <c r="AC173" s="226">
        <v>0.98</v>
      </c>
      <c r="AD173" s="226">
        <v>0.96</v>
      </c>
      <c r="AE173" s="226">
        <v>0.96</v>
      </c>
      <c r="AF173" s="226">
        <v>0.96</v>
      </c>
      <c r="AG173" s="226">
        <v>0.96</v>
      </c>
      <c r="AH173" s="226">
        <v>0.96</v>
      </c>
      <c r="AI173" s="226">
        <v>0.94</v>
      </c>
      <c r="AJ173" s="226">
        <v>0.94</v>
      </c>
      <c r="AK173" s="226">
        <v>0.94</v>
      </c>
      <c r="AL173" s="226">
        <v>0.94</v>
      </c>
      <c r="AM173" s="226">
        <v>0.94</v>
      </c>
      <c r="AN173" s="226">
        <v>0.91</v>
      </c>
      <c r="AO173" s="226">
        <v>0.91</v>
      </c>
      <c r="AP173" s="226">
        <v>0.91</v>
      </c>
      <c r="AQ173" s="226">
        <v>0.91</v>
      </c>
      <c r="AR173" s="226">
        <v>0.91</v>
      </c>
      <c r="AS173" s="226">
        <v>0.88</v>
      </c>
      <c r="AT173" s="226">
        <v>0.88</v>
      </c>
      <c r="AU173" s="226">
        <v>0.88</v>
      </c>
      <c r="AV173" s="226">
        <v>0.88</v>
      </c>
      <c r="AW173" s="226">
        <v>0.88</v>
      </c>
      <c r="AX173" s="226">
        <v>0.85</v>
      </c>
      <c r="AY173" s="226">
        <v>0.85</v>
      </c>
      <c r="AZ173" s="226">
        <v>0.85</v>
      </c>
      <c r="BA173" s="226">
        <v>0.85</v>
      </c>
      <c r="BB173" s="226">
        <v>0.85</v>
      </c>
      <c r="BC173" s="226">
        <v>0.81</v>
      </c>
      <c r="BD173" s="226">
        <v>0.81</v>
      </c>
      <c r="BE173" s="226">
        <v>0.81</v>
      </c>
      <c r="BF173" s="226">
        <v>0.81</v>
      </c>
      <c r="BG173" s="226">
        <v>0.81</v>
      </c>
      <c r="BH173" s="226">
        <v>0.77</v>
      </c>
      <c r="BI173" s="226">
        <v>0.77</v>
      </c>
      <c r="BJ173" s="226">
        <v>0.77</v>
      </c>
      <c r="BK173" s="226">
        <v>0.77</v>
      </c>
      <c r="BL173" s="226">
        <v>0.77</v>
      </c>
      <c r="BM173" s="226">
        <v>0.5</v>
      </c>
      <c r="BN173" s="226">
        <v>0.5</v>
      </c>
      <c r="BO173" s="226">
        <v>0.5</v>
      </c>
      <c r="BP173" s="226">
        <v>0.5</v>
      </c>
      <c r="BQ173" s="226">
        <v>0.5</v>
      </c>
      <c r="BR173" s="226">
        <v>0.5</v>
      </c>
      <c r="BS173" s="226">
        <v>0.5</v>
      </c>
      <c r="BT173" s="226">
        <v>0.5</v>
      </c>
      <c r="BU173" s="226">
        <v>0.5</v>
      </c>
      <c r="BV173" s="226">
        <v>0.5</v>
      </c>
      <c r="BW173" s="226">
        <v>0.5</v>
      </c>
      <c r="BX173" s="226">
        <v>0.5</v>
      </c>
      <c r="BY173" s="226">
        <v>0.5</v>
      </c>
      <c r="BZ173" s="226">
        <v>0.5</v>
      </c>
      <c r="CA173" s="226">
        <v>0.5</v>
      </c>
    </row>
    <row r="174" spans="1:79">
      <c r="A174" s="227">
        <v>9</v>
      </c>
      <c r="B174" s="226">
        <v>1</v>
      </c>
      <c r="C174" s="226">
        <v>1</v>
      </c>
      <c r="D174" s="226">
        <v>1</v>
      </c>
      <c r="E174" s="226">
        <v>1</v>
      </c>
      <c r="F174" s="226">
        <v>1</v>
      </c>
      <c r="G174" s="226">
        <v>1</v>
      </c>
      <c r="H174" s="226">
        <v>1</v>
      </c>
      <c r="I174" s="226">
        <v>1</v>
      </c>
      <c r="J174" s="226">
        <v>1</v>
      </c>
      <c r="K174" s="226">
        <v>1</v>
      </c>
      <c r="L174" s="226">
        <v>1</v>
      </c>
      <c r="M174" s="226">
        <v>1</v>
      </c>
      <c r="N174" s="226">
        <v>1</v>
      </c>
      <c r="O174" s="226">
        <v>1</v>
      </c>
      <c r="P174" s="226"/>
      <c r="Q174" s="226">
        <v>1</v>
      </c>
      <c r="R174" s="226">
        <v>1</v>
      </c>
      <c r="S174" s="226">
        <v>0.99</v>
      </c>
      <c r="T174" s="226">
        <v>0.99</v>
      </c>
      <c r="U174" s="226"/>
      <c r="V174" s="226">
        <v>0.99</v>
      </c>
      <c r="W174" s="226">
        <v>0.99</v>
      </c>
      <c r="X174" s="226">
        <v>0.99</v>
      </c>
      <c r="Y174" s="226">
        <v>0.98</v>
      </c>
      <c r="Z174" s="226">
        <v>0.98</v>
      </c>
      <c r="AA174" s="226">
        <v>0.98</v>
      </c>
      <c r="AB174" s="226">
        <v>0.98</v>
      </c>
      <c r="AC174" s="226">
        <v>0.98</v>
      </c>
      <c r="AD174" s="226">
        <v>0.96</v>
      </c>
      <c r="AE174" s="226">
        <v>0.96</v>
      </c>
      <c r="AF174" s="226">
        <v>0.96</v>
      </c>
      <c r="AG174" s="226">
        <v>0.96</v>
      </c>
      <c r="AH174" s="226">
        <v>0.96</v>
      </c>
      <c r="AI174" s="226">
        <v>0.94</v>
      </c>
      <c r="AJ174" s="226">
        <v>0.94</v>
      </c>
      <c r="AK174" s="226">
        <v>0.94</v>
      </c>
      <c r="AL174" s="226">
        <v>0.94</v>
      </c>
      <c r="AM174" s="226">
        <v>0.94</v>
      </c>
      <c r="AN174" s="226">
        <v>0.91</v>
      </c>
      <c r="AO174" s="226">
        <v>0.91</v>
      </c>
      <c r="AP174" s="226">
        <v>0.91</v>
      </c>
      <c r="AQ174" s="226">
        <v>0.91</v>
      </c>
      <c r="AR174" s="226">
        <v>0.91</v>
      </c>
      <c r="AS174" s="226">
        <v>0.88</v>
      </c>
      <c r="AT174" s="226">
        <v>0.88</v>
      </c>
      <c r="AU174" s="226">
        <v>0.88</v>
      </c>
      <c r="AV174" s="226">
        <v>0.88</v>
      </c>
      <c r="AW174" s="226">
        <v>0.88</v>
      </c>
      <c r="AX174" s="226">
        <v>0.85</v>
      </c>
      <c r="AY174" s="226">
        <v>0.85</v>
      </c>
      <c r="AZ174" s="226">
        <v>0.85</v>
      </c>
      <c r="BA174" s="226">
        <v>0.85</v>
      </c>
      <c r="BB174" s="226">
        <v>0.85</v>
      </c>
      <c r="BC174" s="226">
        <v>0.81</v>
      </c>
      <c r="BD174" s="226">
        <v>0.81</v>
      </c>
      <c r="BE174" s="226">
        <v>0.81</v>
      </c>
      <c r="BF174" s="226">
        <v>0.81</v>
      </c>
      <c r="BG174" s="226">
        <v>0.81</v>
      </c>
      <c r="BH174" s="226">
        <v>0.77</v>
      </c>
      <c r="BI174" s="226">
        <v>0.77</v>
      </c>
      <c r="BJ174" s="226">
        <v>0.77</v>
      </c>
      <c r="BK174" s="226">
        <v>0.77</v>
      </c>
      <c r="BL174" s="226">
        <v>0.77</v>
      </c>
      <c r="BM174" s="226">
        <v>0.5</v>
      </c>
      <c r="BN174" s="226">
        <v>0.5</v>
      </c>
      <c r="BO174" s="226">
        <v>0.5</v>
      </c>
      <c r="BP174" s="226">
        <v>0.5</v>
      </c>
      <c r="BQ174" s="226">
        <v>0.5</v>
      </c>
      <c r="BR174" s="226">
        <v>0.5</v>
      </c>
      <c r="BS174" s="226">
        <v>0.5</v>
      </c>
      <c r="BT174" s="226">
        <v>0.5</v>
      </c>
      <c r="BU174" s="226">
        <v>0.5</v>
      </c>
      <c r="BV174" s="226">
        <v>0.5</v>
      </c>
      <c r="BW174" s="226">
        <v>0.5</v>
      </c>
      <c r="BX174" s="226">
        <v>0.5</v>
      </c>
      <c r="BY174" s="226">
        <v>0.5</v>
      </c>
      <c r="BZ174" s="226">
        <v>0.5</v>
      </c>
      <c r="CA174" s="226">
        <v>0.5</v>
      </c>
    </row>
    <row r="175" spans="1:79">
      <c r="A175" s="227">
        <v>10</v>
      </c>
      <c r="B175" s="226">
        <v>1</v>
      </c>
      <c r="C175" s="226">
        <v>1</v>
      </c>
      <c r="D175" s="226">
        <v>1</v>
      </c>
      <c r="E175" s="226">
        <v>1</v>
      </c>
      <c r="F175" s="226">
        <v>1</v>
      </c>
      <c r="G175" s="226">
        <v>1</v>
      </c>
      <c r="H175" s="226">
        <v>1</v>
      </c>
      <c r="I175" s="226">
        <v>1</v>
      </c>
      <c r="J175" s="226">
        <v>1</v>
      </c>
      <c r="K175" s="226">
        <v>1</v>
      </c>
      <c r="L175" s="226">
        <v>1</v>
      </c>
      <c r="M175" s="226">
        <v>1</v>
      </c>
      <c r="N175" s="226">
        <v>1</v>
      </c>
      <c r="O175" s="226">
        <v>1</v>
      </c>
      <c r="P175" s="226"/>
      <c r="Q175" s="226">
        <v>1</v>
      </c>
      <c r="R175" s="226">
        <v>1</v>
      </c>
      <c r="S175" s="226">
        <v>0.99</v>
      </c>
      <c r="T175" s="226">
        <v>0.99</v>
      </c>
      <c r="U175" s="226"/>
      <c r="V175" s="226">
        <v>0.99</v>
      </c>
      <c r="W175" s="226">
        <v>0.99</v>
      </c>
      <c r="X175" s="226">
        <v>0.99</v>
      </c>
      <c r="Y175" s="226">
        <v>0.98</v>
      </c>
      <c r="Z175" s="226">
        <v>0.98</v>
      </c>
      <c r="AA175" s="226">
        <v>0.98</v>
      </c>
      <c r="AB175" s="226">
        <v>0.98</v>
      </c>
      <c r="AC175" s="226">
        <v>0.98</v>
      </c>
      <c r="AD175" s="226">
        <v>0.96</v>
      </c>
      <c r="AE175" s="226">
        <v>0.96</v>
      </c>
      <c r="AF175" s="226">
        <v>0.96</v>
      </c>
      <c r="AG175" s="226">
        <v>0.96</v>
      </c>
      <c r="AH175" s="226">
        <v>0.96</v>
      </c>
      <c r="AI175" s="226">
        <v>0.94</v>
      </c>
      <c r="AJ175" s="226">
        <v>0.94</v>
      </c>
      <c r="AK175" s="226">
        <v>0.94</v>
      </c>
      <c r="AL175" s="226">
        <v>0.94</v>
      </c>
      <c r="AM175" s="226">
        <v>0.94</v>
      </c>
      <c r="AN175" s="226">
        <v>0.91</v>
      </c>
      <c r="AO175" s="226">
        <v>0.91</v>
      </c>
      <c r="AP175" s="226">
        <v>0.91</v>
      </c>
      <c r="AQ175" s="226">
        <v>0.91</v>
      </c>
      <c r="AR175" s="226">
        <v>0.91</v>
      </c>
      <c r="AS175" s="226">
        <v>0.88</v>
      </c>
      <c r="AT175" s="226">
        <v>0.88</v>
      </c>
      <c r="AU175" s="226">
        <v>0.88</v>
      </c>
      <c r="AV175" s="226">
        <v>0.88</v>
      </c>
      <c r="AW175" s="226">
        <v>0.88</v>
      </c>
      <c r="AX175" s="226">
        <v>0.85</v>
      </c>
      <c r="AY175" s="226">
        <v>0.85</v>
      </c>
      <c r="AZ175" s="226">
        <v>0.85</v>
      </c>
      <c r="BA175" s="226">
        <v>0.85</v>
      </c>
      <c r="BB175" s="226">
        <v>0.85</v>
      </c>
      <c r="BC175" s="226">
        <v>0.81</v>
      </c>
      <c r="BD175" s="226">
        <v>0.81</v>
      </c>
      <c r="BE175" s="226">
        <v>0.81</v>
      </c>
      <c r="BF175" s="226">
        <v>0.81</v>
      </c>
      <c r="BG175" s="226">
        <v>0.81</v>
      </c>
      <c r="BH175" s="226">
        <v>0.77</v>
      </c>
      <c r="BI175" s="226">
        <v>0.77</v>
      </c>
      <c r="BJ175" s="226">
        <v>0.77</v>
      </c>
      <c r="BK175" s="226">
        <v>0.77</v>
      </c>
      <c r="BL175" s="226">
        <v>0.77</v>
      </c>
      <c r="BM175" s="226">
        <v>0.5</v>
      </c>
      <c r="BN175" s="226">
        <v>0.5</v>
      </c>
      <c r="BO175" s="226">
        <v>0.5</v>
      </c>
      <c r="BP175" s="226">
        <v>0.5</v>
      </c>
      <c r="BQ175" s="226">
        <v>0.5</v>
      </c>
      <c r="BR175" s="226">
        <v>0.5</v>
      </c>
      <c r="BS175" s="226">
        <v>0.5</v>
      </c>
      <c r="BT175" s="226">
        <v>0.5</v>
      </c>
      <c r="BU175" s="226">
        <v>0.5</v>
      </c>
      <c r="BV175" s="226">
        <v>0.5</v>
      </c>
      <c r="BW175" s="226">
        <v>0.5</v>
      </c>
      <c r="BX175" s="226">
        <v>0.5</v>
      </c>
      <c r="BY175" s="226">
        <v>0.5</v>
      </c>
      <c r="BZ175" s="226">
        <v>0.5</v>
      </c>
      <c r="CA175" s="226">
        <v>0.5</v>
      </c>
    </row>
    <row r="176" spans="1:79">
      <c r="A176" s="227">
        <v>11</v>
      </c>
      <c r="B176" s="226">
        <v>1</v>
      </c>
      <c r="C176" s="226">
        <v>1</v>
      </c>
      <c r="D176" s="226">
        <v>1</v>
      </c>
      <c r="E176" s="226">
        <v>1</v>
      </c>
      <c r="F176" s="226">
        <v>1</v>
      </c>
      <c r="G176" s="226">
        <v>1</v>
      </c>
      <c r="H176" s="226">
        <v>1</v>
      </c>
      <c r="I176" s="226">
        <v>1</v>
      </c>
      <c r="J176" s="226">
        <v>1</v>
      </c>
      <c r="K176" s="226">
        <v>1</v>
      </c>
      <c r="L176" s="226">
        <v>1</v>
      </c>
      <c r="M176" s="226">
        <v>1</v>
      </c>
      <c r="N176" s="226">
        <v>1</v>
      </c>
      <c r="O176" s="226">
        <v>1</v>
      </c>
      <c r="P176" s="226"/>
      <c r="Q176" s="226">
        <v>1</v>
      </c>
      <c r="R176" s="226">
        <v>1</v>
      </c>
      <c r="S176" s="226">
        <v>0.98</v>
      </c>
      <c r="T176" s="226">
        <v>0.98</v>
      </c>
      <c r="U176" s="226"/>
      <c r="V176" s="226">
        <v>0.98</v>
      </c>
      <c r="W176" s="226">
        <v>0.98</v>
      </c>
      <c r="X176" s="226">
        <v>0.98</v>
      </c>
      <c r="Y176" s="226">
        <v>0.96</v>
      </c>
      <c r="Z176" s="226">
        <v>0.96</v>
      </c>
      <c r="AA176" s="226">
        <v>0.96</v>
      </c>
      <c r="AB176" s="226">
        <v>0.96</v>
      </c>
      <c r="AC176" s="226">
        <v>0.96</v>
      </c>
      <c r="AD176" s="226">
        <v>0.94</v>
      </c>
      <c r="AE176" s="226">
        <v>0.94</v>
      </c>
      <c r="AF176" s="226">
        <v>0.94</v>
      </c>
      <c r="AG176" s="226">
        <v>0.94</v>
      </c>
      <c r="AH176" s="226">
        <v>0.94</v>
      </c>
      <c r="AI176" s="226">
        <v>0.91</v>
      </c>
      <c r="AJ176" s="226">
        <v>0.91</v>
      </c>
      <c r="AK176" s="226">
        <v>0.91</v>
      </c>
      <c r="AL176" s="226">
        <v>0.91</v>
      </c>
      <c r="AM176" s="226">
        <v>0.91</v>
      </c>
      <c r="AN176" s="226">
        <v>0.88</v>
      </c>
      <c r="AO176" s="226">
        <v>0.88</v>
      </c>
      <c r="AP176" s="226">
        <v>0.88</v>
      </c>
      <c r="AQ176" s="226">
        <v>0.88</v>
      </c>
      <c r="AR176" s="226">
        <v>0.88</v>
      </c>
      <c r="AS176" s="226">
        <v>0.85</v>
      </c>
      <c r="AT176" s="226">
        <v>0.85</v>
      </c>
      <c r="AU176" s="226">
        <v>0.85</v>
      </c>
      <c r="AV176" s="226">
        <v>0.85</v>
      </c>
      <c r="AW176" s="226">
        <v>0.85</v>
      </c>
      <c r="AX176" s="226">
        <v>0.81</v>
      </c>
      <c r="AY176" s="226">
        <v>0.81</v>
      </c>
      <c r="AZ176" s="226">
        <v>0.81</v>
      </c>
      <c r="BA176" s="226">
        <v>0.81</v>
      </c>
      <c r="BB176" s="226">
        <v>0.81</v>
      </c>
      <c r="BC176" s="226">
        <v>0.77</v>
      </c>
      <c r="BD176" s="226">
        <v>0.77</v>
      </c>
      <c r="BE176" s="226">
        <v>0.77</v>
      </c>
      <c r="BF176" s="226">
        <v>0.77</v>
      </c>
      <c r="BG176" s="226">
        <v>0.77</v>
      </c>
      <c r="BH176" s="226">
        <v>0.72</v>
      </c>
      <c r="BI176" s="226">
        <v>0.72</v>
      </c>
      <c r="BJ176" s="226">
        <v>0.72</v>
      </c>
      <c r="BK176" s="226">
        <v>0.72</v>
      </c>
      <c r="BL176" s="226">
        <v>0.72</v>
      </c>
      <c r="BM176" s="226">
        <v>0.5</v>
      </c>
      <c r="BN176" s="226">
        <v>0.5</v>
      </c>
      <c r="BO176" s="226">
        <v>0.5</v>
      </c>
      <c r="BP176" s="226">
        <v>0.5</v>
      </c>
      <c r="BQ176" s="226">
        <v>0.5</v>
      </c>
      <c r="BR176" s="226">
        <v>0.5</v>
      </c>
      <c r="BS176" s="226">
        <v>0.5</v>
      </c>
      <c r="BT176" s="226">
        <v>0.5</v>
      </c>
      <c r="BU176" s="226">
        <v>0.5</v>
      </c>
      <c r="BV176" s="226">
        <v>0.5</v>
      </c>
      <c r="BW176" s="226">
        <v>0.5</v>
      </c>
      <c r="BX176" s="226">
        <v>0.5</v>
      </c>
      <c r="BY176" s="226">
        <v>0.5</v>
      </c>
      <c r="BZ176" s="226">
        <v>0.5</v>
      </c>
      <c r="CA176" s="226">
        <v>0.5</v>
      </c>
    </row>
    <row r="177" spans="1:79">
      <c r="A177" s="227">
        <v>12</v>
      </c>
      <c r="B177" s="226">
        <v>1</v>
      </c>
      <c r="C177" s="226">
        <v>1</v>
      </c>
      <c r="D177" s="226">
        <v>1</v>
      </c>
      <c r="E177" s="226">
        <v>1</v>
      </c>
      <c r="F177" s="226">
        <v>1</v>
      </c>
      <c r="G177" s="226">
        <v>1</v>
      </c>
      <c r="H177" s="226">
        <v>1</v>
      </c>
      <c r="I177" s="226">
        <v>1</v>
      </c>
      <c r="J177" s="226">
        <v>1</v>
      </c>
      <c r="K177" s="226">
        <v>1</v>
      </c>
      <c r="L177" s="226">
        <v>1</v>
      </c>
      <c r="M177" s="226">
        <v>1</v>
      </c>
      <c r="N177" s="226">
        <v>1</v>
      </c>
      <c r="O177" s="226">
        <v>1</v>
      </c>
      <c r="P177" s="226"/>
      <c r="Q177" s="226">
        <v>1</v>
      </c>
      <c r="R177" s="226">
        <v>1</v>
      </c>
      <c r="S177" s="226">
        <v>0.98</v>
      </c>
      <c r="T177" s="226">
        <v>0.98</v>
      </c>
      <c r="U177" s="226"/>
      <c r="V177" s="226">
        <v>0.98</v>
      </c>
      <c r="W177" s="226">
        <v>0.98</v>
      </c>
      <c r="X177" s="226">
        <v>0.98</v>
      </c>
      <c r="Y177" s="226">
        <v>0.96</v>
      </c>
      <c r="Z177" s="226">
        <v>0.96</v>
      </c>
      <c r="AA177" s="226">
        <v>0.96</v>
      </c>
      <c r="AB177" s="226">
        <v>0.96</v>
      </c>
      <c r="AC177" s="226">
        <v>0.96</v>
      </c>
      <c r="AD177" s="226">
        <v>0.94</v>
      </c>
      <c r="AE177" s="226">
        <v>0.94</v>
      </c>
      <c r="AF177" s="226">
        <v>0.94</v>
      </c>
      <c r="AG177" s="226">
        <v>0.94</v>
      </c>
      <c r="AH177" s="226">
        <v>0.94</v>
      </c>
      <c r="AI177" s="226">
        <v>0.91</v>
      </c>
      <c r="AJ177" s="226">
        <v>0.91</v>
      </c>
      <c r="AK177" s="226">
        <v>0.91</v>
      </c>
      <c r="AL177" s="226">
        <v>0.91</v>
      </c>
      <c r="AM177" s="226">
        <v>0.91</v>
      </c>
      <c r="AN177" s="226">
        <v>0.88</v>
      </c>
      <c r="AO177" s="226">
        <v>0.88</v>
      </c>
      <c r="AP177" s="226">
        <v>0.88</v>
      </c>
      <c r="AQ177" s="226">
        <v>0.88</v>
      </c>
      <c r="AR177" s="226">
        <v>0.88</v>
      </c>
      <c r="AS177" s="226">
        <v>0.85</v>
      </c>
      <c r="AT177" s="226">
        <v>0.85</v>
      </c>
      <c r="AU177" s="226">
        <v>0.85</v>
      </c>
      <c r="AV177" s="226">
        <v>0.85</v>
      </c>
      <c r="AW177" s="226">
        <v>0.85</v>
      </c>
      <c r="AX177" s="226">
        <v>0.81</v>
      </c>
      <c r="AY177" s="226">
        <v>0.81</v>
      </c>
      <c r="AZ177" s="226">
        <v>0.81</v>
      </c>
      <c r="BA177" s="226">
        <v>0.81</v>
      </c>
      <c r="BB177" s="226">
        <v>0.81</v>
      </c>
      <c r="BC177" s="226">
        <v>0.77</v>
      </c>
      <c r="BD177" s="226">
        <v>0.77</v>
      </c>
      <c r="BE177" s="226">
        <v>0.77</v>
      </c>
      <c r="BF177" s="226">
        <v>0.77</v>
      </c>
      <c r="BG177" s="226">
        <v>0.77</v>
      </c>
      <c r="BH177" s="226">
        <v>0.72</v>
      </c>
      <c r="BI177" s="226">
        <v>0.72</v>
      </c>
      <c r="BJ177" s="226">
        <v>0.72</v>
      </c>
      <c r="BK177" s="226">
        <v>0.72</v>
      </c>
      <c r="BL177" s="226">
        <v>0.72</v>
      </c>
      <c r="BM177" s="226">
        <v>0.5</v>
      </c>
      <c r="BN177" s="226">
        <v>0.5</v>
      </c>
      <c r="BO177" s="226">
        <v>0.5</v>
      </c>
      <c r="BP177" s="226">
        <v>0.5</v>
      </c>
      <c r="BQ177" s="226">
        <v>0.5</v>
      </c>
      <c r="BR177" s="226">
        <v>0.5</v>
      </c>
      <c r="BS177" s="226">
        <v>0.5</v>
      </c>
      <c r="BT177" s="226">
        <v>0.5</v>
      </c>
      <c r="BU177" s="226">
        <v>0.5</v>
      </c>
      <c r="BV177" s="226">
        <v>0.5</v>
      </c>
      <c r="BW177" s="226">
        <v>0.5</v>
      </c>
      <c r="BX177" s="226">
        <v>0.5</v>
      </c>
      <c r="BY177" s="226">
        <v>0.5</v>
      </c>
      <c r="BZ177" s="226">
        <v>0.5</v>
      </c>
      <c r="CA177" s="226">
        <v>0.5</v>
      </c>
    </row>
    <row r="178" spans="1:79">
      <c r="A178" s="227">
        <v>13</v>
      </c>
      <c r="B178" s="226">
        <v>1</v>
      </c>
      <c r="C178" s="226">
        <v>1</v>
      </c>
      <c r="D178" s="226">
        <v>1</v>
      </c>
      <c r="E178" s="226">
        <v>1</v>
      </c>
      <c r="F178" s="226">
        <v>1</v>
      </c>
      <c r="G178" s="226">
        <v>1</v>
      </c>
      <c r="H178" s="226">
        <v>1</v>
      </c>
      <c r="I178" s="226">
        <v>1</v>
      </c>
      <c r="J178" s="226">
        <v>1</v>
      </c>
      <c r="K178" s="226">
        <v>1</v>
      </c>
      <c r="L178" s="226">
        <v>1</v>
      </c>
      <c r="M178" s="226">
        <v>1</v>
      </c>
      <c r="N178" s="226">
        <v>1</v>
      </c>
      <c r="O178" s="226">
        <v>1</v>
      </c>
      <c r="P178" s="226"/>
      <c r="Q178" s="226">
        <v>1</v>
      </c>
      <c r="R178" s="226">
        <v>1</v>
      </c>
      <c r="S178" s="226">
        <v>0.98</v>
      </c>
      <c r="T178" s="226">
        <v>0.98</v>
      </c>
      <c r="U178" s="226"/>
      <c r="V178" s="226">
        <v>0.98</v>
      </c>
      <c r="W178" s="226">
        <v>0.98</v>
      </c>
      <c r="X178" s="226">
        <v>0.98</v>
      </c>
      <c r="Y178" s="226">
        <v>0.96</v>
      </c>
      <c r="Z178" s="226">
        <v>0.96</v>
      </c>
      <c r="AA178" s="226">
        <v>0.96</v>
      </c>
      <c r="AB178" s="226">
        <v>0.96</v>
      </c>
      <c r="AC178" s="226">
        <v>0.96</v>
      </c>
      <c r="AD178" s="226">
        <v>0.94</v>
      </c>
      <c r="AE178" s="226">
        <v>0.94</v>
      </c>
      <c r="AF178" s="226">
        <v>0.94</v>
      </c>
      <c r="AG178" s="226">
        <v>0.94</v>
      </c>
      <c r="AH178" s="226">
        <v>0.94</v>
      </c>
      <c r="AI178" s="226">
        <v>0.91</v>
      </c>
      <c r="AJ178" s="226">
        <v>0.91</v>
      </c>
      <c r="AK178" s="226">
        <v>0.91</v>
      </c>
      <c r="AL178" s="226">
        <v>0.91</v>
      </c>
      <c r="AM178" s="226">
        <v>0.91</v>
      </c>
      <c r="AN178" s="226">
        <v>0.88</v>
      </c>
      <c r="AO178" s="226">
        <v>0.88</v>
      </c>
      <c r="AP178" s="226">
        <v>0.88</v>
      </c>
      <c r="AQ178" s="226">
        <v>0.88</v>
      </c>
      <c r="AR178" s="226">
        <v>0.88</v>
      </c>
      <c r="AS178" s="226">
        <v>0.85</v>
      </c>
      <c r="AT178" s="226">
        <v>0.85</v>
      </c>
      <c r="AU178" s="226">
        <v>0.85</v>
      </c>
      <c r="AV178" s="226">
        <v>0.85</v>
      </c>
      <c r="AW178" s="226">
        <v>0.85</v>
      </c>
      <c r="AX178" s="226">
        <v>0.81</v>
      </c>
      <c r="AY178" s="226">
        <v>0.81</v>
      </c>
      <c r="AZ178" s="226">
        <v>0.81</v>
      </c>
      <c r="BA178" s="226">
        <v>0.81</v>
      </c>
      <c r="BB178" s="226">
        <v>0.81</v>
      </c>
      <c r="BC178" s="226">
        <v>0.77</v>
      </c>
      <c r="BD178" s="226">
        <v>0.77</v>
      </c>
      <c r="BE178" s="226">
        <v>0.77</v>
      </c>
      <c r="BF178" s="226">
        <v>0.77</v>
      </c>
      <c r="BG178" s="226">
        <v>0.77</v>
      </c>
      <c r="BH178" s="226">
        <v>0.72</v>
      </c>
      <c r="BI178" s="226">
        <v>0.72</v>
      </c>
      <c r="BJ178" s="226">
        <v>0.72</v>
      </c>
      <c r="BK178" s="226">
        <v>0.72</v>
      </c>
      <c r="BL178" s="226">
        <v>0.72</v>
      </c>
      <c r="BM178" s="226">
        <v>0.5</v>
      </c>
      <c r="BN178" s="226">
        <v>0.5</v>
      </c>
      <c r="BO178" s="226">
        <v>0.5</v>
      </c>
      <c r="BP178" s="226">
        <v>0.5</v>
      </c>
      <c r="BQ178" s="226">
        <v>0.5</v>
      </c>
      <c r="BR178" s="226">
        <v>0.5</v>
      </c>
      <c r="BS178" s="226">
        <v>0.5</v>
      </c>
      <c r="BT178" s="226">
        <v>0.5</v>
      </c>
      <c r="BU178" s="226">
        <v>0.5</v>
      </c>
      <c r="BV178" s="226">
        <v>0.5</v>
      </c>
      <c r="BW178" s="226">
        <v>0.5</v>
      </c>
      <c r="BX178" s="226">
        <v>0.5</v>
      </c>
      <c r="BY178" s="226">
        <v>0.5</v>
      </c>
      <c r="BZ178" s="226">
        <v>0.5</v>
      </c>
      <c r="CA178" s="226">
        <v>0.5</v>
      </c>
    </row>
    <row r="179" spans="1:79">
      <c r="A179" s="227">
        <v>14</v>
      </c>
      <c r="B179" s="226">
        <v>1</v>
      </c>
      <c r="C179" s="226">
        <v>1</v>
      </c>
      <c r="D179" s="226">
        <v>1</v>
      </c>
      <c r="E179" s="226">
        <v>1</v>
      </c>
      <c r="F179" s="226">
        <v>1</v>
      </c>
      <c r="G179" s="226">
        <v>1</v>
      </c>
      <c r="H179" s="226">
        <v>1</v>
      </c>
      <c r="I179" s="226">
        <v>1</v>
      </c>
      <c r="J179" s="226">
        <v>1</v>
      </c>
      <c r="K179" s="226">
        <v>1</v>
      </c>
      <c r="L179" s="226">
        <v>1</v>
      </c>
      <c r="M179" s="226">
        <v>1</v>
      </c>
      <c r="N179" s="226">
        <v>1</v>
      </c>
      <c r="O179" s="226">
        <v>1</v>
      </c>
      <c r="P179" s="226"/>
      <c r="Q179" s="226">
        <v>1</v>
      </c>
      <c r="R179" s="226">
        <v>1</v>
      </c>
      <c r="S179" s="226">
        <v>0.98</v>
      </c>
      <c r="T179" s="226">
        <v>0.98</v>
      </c>
      <c r="U179" s="226"/>
      <c r="V179" s="226">
        <v>0.98</v>
      </c>
      <c r="W179" s="226">
        <v>0.98</v>
      </c>
      <c r="X179" s="226">
        <v>0.98</v>
      </c>
      <c r="Y179" s="226">
        <v>0.96</v>
      </c>
      <c r="Z179" s="226">
        <v>0.96</v>
      </c>
      <c r="AA179" s="226">
        <v>0.96</v>
      </c>
      <c r="AB179" s="226">
        <v>0.96</v>
      </c>
      <c r="AC179" s="226">
        <v>0.96</v>
      </c>
      <c r="AD179" s="226">
        <v>0.94</v>
      </c>
      <c r="AE179" s="226">
        <v>0.94</v>
      </c>
      <c r="AF179" s="226">
        <v>0.94</v>
      </c>
      <c r="AG179" s="226">
        <v>0.94</v>
      </c>
      <c r="AH179" s="226">
        <v>0.94</v>
      </c>
      <c r="AI179" s="226">
        <v>0.91</v>
      </c>
      <c r="AJ179" s="226">
        <v>0.91</v>
      </c>
      <c r="AK179" s="226">
        <v>0.91</v>
      </c>
      <c r="AL179" s="226">
        <v>0.91</v>
      </c>
      <c r="AM179" s="226">
        <v>0.91</v>
      </c>
      <c r="AN179" s="226">
        <v>0.88</v>
      </c>
      <c r="AO179" s="226">
        <v>0.88</v>
      </c>
      <c r="AP179" s="226">
        <v>0.88</v>
      </c>
      <c r="AQ179" s="226">
        <v>0.88</v>
      </c>
      <c r="AR179" s="226">
        <v>0.88</v>
      </c>
      <c r="AS179" s="226">
        <v>0.85</v>
      </c>
      <c r="AT179" s="226">
        <v>0.85</v>
      </c>
      <c r="AU179" s="226">
        <v>0.85</v>
      </c>
      <c r="AV179" s="226">
        <v>0.85</v>
      </c>
      <c r="AW179" s="226">
        <v>0.85</v>
      </c>
      <c r="AX179" s="226">
        <v>0.81</v>
      </c>
      <c r="AY179" s="226">
        <v>0.81</v>
      </c>
      <c r="AZ179" s="226">
        <v>0.81</v>
      </c>
      <c r="BA179" s="226">
        <v>0.81</v>
      </c>
      <c r="BB179" s="226">
        <v>0.81</v>
      </c>
      <c r="BC179" s="226">
        <v>0.77</v>
      </c>
      <c r="BD179" s="226">
        <v>0.77</v>
      </c>
      <c r="BE179" s="226">
        <v>0.77</v>
      </c>
      <c r="BF179" s="226">
        <v>0.77</v>
      </c>
      <c r="BG179" s="226">
        <v>0.77</v>
      </c>
      <c r="BH179" s="226">
        <v>0.72</v>
      </c>
      <c r="BI179" s="226">
        <v>0.72</v>
      </c>
      <c r="BJ179" s="226">
        <v>0.72</v>
      </c>
      <c r="BK179" s="226">
        <v>0.72</v>
      </c>
      <c r="BL179" s="226">
        <v>0.72</v>
      </c>
      <c r="BM179" s="226">
        <v>0.5</v>
      </c>
      <c r="BN179" s="226">
        <v>0.5</v>
      </c>
      <c r="BO179" s="226">
        <v>0.5</v>
      </c>
      <c r="BP179" s="226">
        <v>0.5</v>
      </c>
      <c r="BQ179" s="226">
        <v>0.5</v>
      </c>
      <c r="BR179" s="226">
        <v>0.5</v>
      </c>
      <c r="BS179" s="226">
        <v>0.5</v>
      </c>
      <c r="BT179" s="226">
        <v>0.5</v>
      </c>
      <c r="BU179" s="226">
        <v>0.5</v>
      </c>
      <c r="BV179" s="226">
        <v>0.5</v>
      </c>
      <c r="BW179" s="226">
        <v>0.5</v>
      </c>
      <c r="BX179" s="226">
        <v>0.5</v>
      </c>
      <c r="BY179" s="226">
        <v>0.5</v>
      </c>
      <c r="BZ179" s="226">
        <v>0.5</v>
      </c>
      <c r="CA179" s="226">
        <v>0.5</v>
      </c>
    </row>
    <row r="180" spans="1:79">
      <c r="A180" s="227">
        <v>15</v>
      </c>
      <c r="B180" s="226">
        <v>1</v>
      </c>
      <c r="C180" s="226">
        <v>1</v>
      </c>
      <c r="D180" s="226">
        <v>1</v>
      </c>
      <c r="E180" s="226">
        <v>1</v>
      </c>
      <c r="F180" s="226">
        <v>1</v>
      </c>
      <c r="G180" s="226">
        <v>1</v>
      </c>
      <c r="H180" s="226">
        <v>1</v>
      </c>
      <c r="I180" s="226">
        <v>1</v>
      </c>
      <c r="J180" s="226">
        <v>1</v>
      </c>
      <c r="K180" s="226">
        <v>1</v>
      </c>
      <c r="L180" s="226">
        <v>1</v>
      </c>
      <c r="M180" s="226">
        <v>1</v>
      </c>
      <c r="N180" s="226">
        <v>1</v>
      </c>
      <c r="O180" s="226">
        <v>1</v>
      </c>
      <c r="P180" s="226"/>
      <c r="Q180" s="226">
        <v>1</v>
      </c>
      <c r="R180" s="226">
        <v>1</v>
      </c>
      <c r="S180" s="226">
        <v>0.98</v>
      </c>
      <c r="T180" s="226">
        <v>0.98</v>
      </c>
      <c r="U180" s="226"/>
      <c r="V180" s="226">
        <v>0.98</v>
      </c>
      <c r="W180" s="226">
        <v>0.98</v>
      </c>
      <c r="X180" s="226">
        <v>0.98</v>
      </c>
      <c r="Y180" s="226">
        <v>0.96</v>
      </c>
      <c r="Z180" s="226">
        <v>0.96</v>
      </c>
      <c r="AA180" s="226">
        <v>0.96</v>
      </c>
      <c r="AB180" s="226">
        <v>0.96</v>
      </c>
      <c r="AC180" s="226">
        <v>0.96</v>
      </c>
      <c r="AD180" s="226">
        <v>0.94</v>
      </c>
      <c r="AE180" s="226">
        <v>0.94</v>
      </c>
      <c r="AF180" s="226">
        <v>0.94</v>
      </c>
      <c r="AG180" s="226">
        <v>0.94</v>
      </c>
      <c r="AH180" s="226">
        <v>0.94</v>
      </c>
      <c r="AI180" s="226">
        <v>0.91</v>
      </c>
      <c r="AJ180" s="226">
        <v>0.91</v>
      </c>
      <c r="AK180" s="226">
        <v>0.91</v>
      </c>
      <c r="AL180" s="226">
        <v>0.91</v>
      </c>
      <c r="AM180" s="226">
        <v>0.91</v>
      </c>
      <c r="AN180" s="226">
        <v>0.88</v>
      </c>
      <c r="AO180" s="226">
        <v>0.88</v>
      </c>
      <c r="AP180" s="226">
        <v>0.88</v>
      </c>
      <c r="AQ180" s="226">
        <v>0.88</v>
      </c>
      <c r="AR180" s="226">
        <v>0.88</v>
      </c>
      <c r="AS180" s="226">
        <v>0.85</v>
      </c>
      <c r="AT180" s="226">
        <v>0.85</v>
      </c>
      <c r="AU180" s="226">
        <v>0.85</v>
      </c>
      <c r="AV180" s="226">
        <v>0.85</v>
      </c>
      <c r="AW180" s="226">
        <v>0.85</v>
      </c>
      <c r="AX180" s="226">
        <v>0.81</v>
      </c>
      <c r="AY180" s="226">
        <v>0.81</v>
      </c>
      <c r="AZ180" s="226">
        <v>0.81</v>
      </c>
      <c r="BA180" s="226">
        <v>0.81</v>
      </c>
      <c r="BB180" s="226">
        <v>0.81</v>
      </c>
      <c r="BC180" s="226">
        <v>0.77</v>
      </c>
      <c r="BD180" s="226">
        <v>0.77</v>
      </c>
      <c r="BE180" s="226">
        <v>0.77</v>
      </c>
      <c r="BF180" s="226">
        <v>0.77</v>
      </c>
      <c r="BG180" s="226">
        <v>0.77</v>
      </c>
      <c r="BH180" s="226">
        <v>0.72</v>
      </c>
      <c r="BI180" s="226">
        <v>0.72</v>
      </c>
      <c r="BJ180" s="226">
        <v>0.72</v>
      </c>
      <c r="BK180" s="226">
        <v>0.72</v>
      </c>
      <c r="BL180" s="226">
        <v>0.72</v>
      </c>
      <c r="BM180" s="226">
        <v>0.5</v>
      </c>
      <c r="BN180" s="226">
        <v>0.5</v>
      </c>
      <c r="BO180" s="226">
        <v>0.5</v>
      </c>
      <c r="BP180" s="226">
        <v>0.5</v>
      </c>
      <c r="BQ180" s="226">
        <v>0.5</v>
      </c>
      <c r="BR180" s="226">
        <v>0.5</v>
      </c>
      <c r="BS180" s="226">
        <v>0.5</v>
      </c>
      <c r="BT180" s="226">
        <v>0.5</v>
      </c>
      <c r="BU180" s="226">
        <v>0.5</v>
      </c>
      <c r="BV180" s="226">
        <v>0.5</v>
      </c>
      <c r="BW180" s="226">
        <v>0.5</v>
      </c>
      <c r="BX180" s="226">
        <v>0.5</v>
      </c>
      <c r="BY180" s="226">
        <v>0.5</v>
      </c>
      <c r="BZ180" s="226">
        <v>0.5</v>
      </c>
      <c r="CA180" s="226">
        <v>0.5</v>
      </c>
    </row>
    <row r="181" spans="1:79">
      <c r="A181" s="227">
        <v>16</v>
      </c>
      <c r="B181" s="226">
        <v>1</v>
      </c>
      <c r="C181" s="226">
        <v>1</v>
      </c>
      <c r="D181" s="226">
        <v>1</v>
      </c>
      <c r="E181" s="226">
        <v>1</v>
      </c>
      <c r="F181" s="226">
        <v>1</v>
      </c>
      <c r="G181" s="226">
        <v>1</v>
      </c>
      <c r="H181" s="226">
        <v>1</v>
      </c>
      <c r="I181" s="226">
        <v>1</v>
      </c>
      <c r="J181" s="226">
        <v>1</v>
      </c>
      <c r="K181" s="226">
        <v>1</v>
      </c>
      <c r="L181" s="226">
        <v>1</v>
      </c>
      <c r="M181" s="226">
        <v>1</v>
      </c>
      <c r="N181" s="226">
        <v>1</v>
      </c>
      <c r="O181" s="226">
        <v>1</v>
      </c>
      <c r="P181" s="226"/>
      <c r="Q181" s="226">
        <v>1</v>
      </c>
      <c r="R181" s="226">
        <v>1</v>
      </c>
      <c r="S181" s="226">
        <v>0.98</v>
      </c>
      <c r="T181" s="226">
        <v>0.98</v>
      </c>
      <c r="U181" s="226"/>
      <c r="V181" s="226">
        <v>0.98</v>
      </c>
      <c r="W181" s="226">
        <v>0.98</v>
      </c>
      <c r="X181" s="226">
        <v>0.98</v>
      </c>
      <c r="Y181" s="226">
        <v>0.96</v>
      </c>
      <c r="Z181" s="226">
        <v>0.96</v>
      </c>
      <c r="AA181" s="226">
        <v>0.96</v>
      </c>
      <c r="AB181" s="226">
        <v>0.96</v>
      </c>
      <c r="AC181" s="226">
        <v>0.96</v>
      </c>
      <c r="AD181" s="226">
        <v>0.94</v>
      </c>
      <c r="AE181" s="226">
        <v>0.94</v>
      </c>
      <c r="AF181" s="226">
        <v>0.94</v>
      </c>
      <c r="AG181" s="226">
        <v>0.94</v>
      </c>
      <c r="AH181" s="226">
        <v>0.94</v>
      </c>
      <c r="AI181" s="226">
        <v>0.91</v>
      </c>
      <c r="AJ181" s="226">
        <v>0.91</v>
      </c>
      <c r="AK181" s="226">
        <v>0.91</v>
      </c>
      <c r="AL181" s="226">
        <v>0.91</v>
      </c>
      <c r="AM181" s="226">
        <v>0.91</v>
      </c>
      <c r="AN181" s="226">
        <v>0.88</v>
      </c>
      <c r="AO181" s="226">
        <v>0.88</v>
      </c>
      <c r="AP181" s="226">
        <v>0.88</v>
      </c>
      <c r="AQ181" s="226">
        <v>0.88</v>
      </c>
      <c r="AR181" s="226">
        <v>0.88</v>
      </c>
      <c r="AS181" s="226">
        <v>0.85</v>
      </c>
      <c r="AT181" s="226">
        <v>0.85</v>
      </c>
      <c r="AU181" s="226">
        <v>0.85</v>
      </c>
      <c r="AV181" s="226">
        <v>0.85</v>
      </c>
      <c r="AW181" s="226">
        <v>0.85</v>
      </c>
      <c r="AX181" s="226">
        <v>0.81</v>
      </c>
      <c r="AY181" s="226">
        <v>0.81</v>
      </c>
      <c r="AZ181" s="226">
        <v>0.81</v>
      </c>
      <c r="BA181" s="226">
        <v>0.81</v>
      </c>
      <c r="BB181" s="226">
        <v>0.81</v>
      </c>
      <c r="BC181" s="226">
        <v>0.77</v>
      </c>
      <c r="BD181" s="226">
        <v>0.77</v>
      </c>
      <c r="BE181" s="226">
        <v>0.77</v>
      </c>
      <c r="BF181" s="226">
        <v>0.77</v>
      </c>
      <c r="BG181" s="226">
        <v>0.77</v>
      </c>
      <c r="BH181" s="226">
        <v>0.72</v>
      </c>
      <c r="BI181" s="226">
        <v>0.72</v>
      </c>
      <c r="BJ181" s="226">
        <v>0.72</v>
      </c>
      <c r="BK181" s="226">
        <v>0.72</v>
      </c>
      <c r="BL181" s="226">
        <v>0.72</v>
      </c>
      <c r="BM181" s="226">
        <v>0.5</v>
      </c>
      <c r="BN181" s="226">
        <v>0.5</v>
      </c>
      <c r="BO181" s="226">
        <v>0.5</v>
      </c>
      <c r="BP181" s="226">
        <v>0.5</v>
      </c>
      <c r="BQ181" s="226">
        <v>0.5</v>
      </c>
      <c r="BR181" s="226">
        <v>0.5</v>
      </c>
      <c r="BS181" s="226">
        <v>0.5</v>
      </c>
      <c r="BT181" s="226">
        <v>0.5</v>
      </c>
      <c r="BU181" s="226">
        <v>0.5</v>
      </c>
      <c r="BV181" s="226">
        <v>0.5</v>
      </c>
      <c r="BW181" s="226">
        <v>0.5</v>
      </c>
      <c r="BX181" s="226">
        <v>0.5</v>
      </c>
      <c r="BY181" s="226">
        <v>0.5</v>
      </c>
      <c r="BZ181" s="226">
        <v>0.5</v>
      </c>
      <c r="CA181" s="226">
        <v>0.5</v>
      </c>
    </row>
    <row r="182" spans="1:79">
      <c r="A182" s="227">
        <v>17</v>
      </c>
      <c r="B182" s="226">
        <v>1</v>
      </c>
      <c r="C182" s="226">
        <v>1</v>
      </c>
      <c r="D182" s="226">
        <v>1</v>
      </c>
      <c r="E182" s="226">
        <v>1</v>
      </c>
      <c r="F182" s="226">
        <v>1</v>
      </c>
      <c r="G182" s="226">
        <v>1</v>
      </c>
      <c r="H182" s="226">
        <v>1</v>
      </c>
      <c r="I182" s="226">
        <v>1</v>
      </c>
      <c r="J182" s="226">
        <v>1</v>
      </c>
      <c r="K182" s="226">
        <v>1</v>
      </c>
      <c r="L182" s="226">
        <v>1</v>
      </c>
      <c r="M182" s="226">
        <v>1</v>
      </c>
      <c r="N182" s="226">
        <v>1</v>
      </c>
      <c r="O182" s="226">
        <v>1</v>
      </c>
      <c r="P182" s="226"/>
      <c r="Q182" s="226">
        <v>1</v>
      </c>
      <c r="R182" s="226">
        <v>1</v>
      </c>
      <c r="S182" s="226">
        <v>0.98</v>
      </c>
      <c r="T182" s="226">
        <v>0.98</v>
      </c>
      <c r="U182" s="226"/>
      <c r="V182" s="226">
        <v>0.98</v>
      </c>
      <c r="W182" s="226">
        <v>0.98</v>
      </c>
      <c r="X182" s="226">
        <v>0.98</v>
      </c>
      <c r="Y182" s="226">
        <v>0.96</v>
      </c>
      <c r="Z182" s="226">
        <v>0.96</v>
      </c>
      <c r="AA182" s="226">
        <v>0.96</v>
      </c>
      <c r="AB182" s="226">
        <v>0.96</v>
      </c>
      <c r="AC182" s="226">
        <v>0.96</v>
      </c>
      <c r="AD182" s="226">
        <v>0.94</v>
      </c>
      <c r="AE182" s="226">
        <v>0.94</v>
      </c>
      <c r="AF182" s="226">
        <v>0.94</v>
      </c>
      <c r="AG182" s="226">
        <v>0.94</v>
      </c>
      <c r="AH182" s="226">
        <v>0.94</v>
      </c>
      <c r="AI182" s="226">
        <v>0.91</v>
      </c>
      <c r="AJ182" s="226">
        <v>0.91</v>
      </c>
      <c r="AK182" s="226">
        <v>0.91</v>
      </c>
      <c r="AL182" s="226">
        <v>0.91</v>
      </c>
      <c r="AM182" s="226">
        <v>0.91</v>
      </c>
      <c r="AN182" s="226">
        <v>0.88</v>
      </c>
      <c r="AO182" s="226">
        <v>0.88</v>
      </c>
      <c r="AP182" s="226">
        <v>0.88</v>
      </c>
      <c r="AQ182" s="226">
        <v>0.88</v>
      </c>
      <c r="AR182" s="226">
        <v>0.88</v>
      </c>
      <c r="AS182" s="226">
        <v>0.85</v>
      </c>
      <c r="AT182" s="226">
        <v>0.85</v>
      </c>
      <c r="AU182" s="226">
        <v>0.85</v>
      </c>
      <c r="AV182" s="226">
        <v>0.85</v>
      </c>
      <c r="AW182" s="226">
        <v>0.85</v>
      </c>
      <c r="AX182" s="226">
        <v>0.81</v>
      </c>
      <c r="AY182" s="226">
        <v>0.81</v>
      </c>
      <c r="AZ182" s="226">
        <v>0.81</v>
      </c>
      <c r="BA182" s="226">
        <v>0.81</v>
      </c>
      <c r="BB182" s="226">
        <v>0.81</v>
      </c>
      <c r="BC182" s="226">
        <v>0.77</v>
      </c>
      <c r="BD182" s="226">
        <v>0.77</v>
      </c>
      <c r="BE182" s="226">
        <v>0.77</v>
      </c>
      <c r="BF182" s="226">
        <v>0.77</v>
      </c>
      <c r="BG182" s="226">
        <v>0.77</v>
      </c>
      <c r="BH182" s="226">
        <v>0.72</v>
      </c>
      <c r="BI182" s="226">
        <v>0.72</v>
      </c>
      <c r="BJ182" s="226">
        <v>0.72</v>
      </c>
      <c r="BK182" s="226">
        <v>0.72</v>
      </c>
      <c r="BL182" s="226">
        <v>0.72</v>
      </c>
      <c r="BM182" s="226">
        <v>0.5</v>
      </c>
      <c r="BN182" s="226">
        <v>0.5</v>
      </c>
      <c r="BO182" s="226">
        <v>0.5</v>
      </c>
      <c r="BP182" s="226">
        <v>0.5</v>
      </c>
      <c r="BQ182" s="226">
        <v>0.5</v>
      </c>
      <c r="BR182" s="226">
        <v>0.5</v>
      </c>
      <c r="BS182" s="226">
        <v>0.5</v>
      </c>
      <c r="BT182" s="226">
        <v>0.5</v>
      </c>
      <c r="BU182" s="226">
        <v>0.5</v>
      </c>
      <c r="BV182" s="226">
        <v>0.5</v>
      </c>
      <c r="BW182" s="226">
        <v>0.5</v>
      </c>
      <c r="BX182" s="226">
        <v>0.5</v>
      </c>
      <c r="BY182" s="226">
        <v>0.5</v>
      </c>
      <c r="BZ182" s="226">
        <v>0.5</v>
      </c>
      <c r="CA182" s="226">
        <v>0.5</v>
      </c>
    </row>
    <row r="183" spans="1:79">
      <c r="A183" s="227">
        <v>18</v>
      </c>
      <c r="B183" s="226">
        <v>1</v>
      </c>
      <c r="C183" s="226">
        <v>1</v>
      </c>
      <c r="D183" s="226">
        <v>1</v>
      </c>
      <c r="E183" s="226">
        <v>1</v>
      </c>
      <c r="F183" s="226">
        <v>1</v>
      </c>
      <c r="G183" s="226">
        <v>1</v>
      </c>
      <c r="H183" s="226">
        <v>1</v>
      </c>
      <c r="I183" s="226">
        <v>1</v>
      </c>
      <c r="J183" s="226">
        <v>1</v>
      </c>
      <c r="K183" s="226">
        <v>1</v>
      </c>
      <c r="L183" s="226">
        <v>1</v>
      </c>
      <c r="M183" s="226">
        <v>1</v>
      </c>
      <c r="N183" s="226">
        <v>1</v>
      </c>
      <c r="O183" s="226">
        <v>1</v>
      </c>
      <c r="P183" s="226"/>
      <c r="Q183" s="226">
        <v>1</v>
      </c>
      <c r="R183" s="226">
        <v>1</v>
      </c>
      <c r="S183" s="226">
        <v>0.98</v>
      </c>
      <c r="T183" s="226">
        <v>0.98</v>
      </c>
      <c r="U183" s="226"/>
      <c r="V183" s="226">
        <v>0.98</v>
      </c>
      <c r="W183" s="226">
        <v>0.98</v>
      </c>
      <c r="X183" s="226">
        <v>0.98</v>
      </c>
      <c r="Y183" s="226">
        <v>0.96</v>
      </c>
      <c r="Z183" s="226">
        <v>0.96</v>
      </c>
      <c r="AA183" s="226">
        <v>0.96</v>
      </c>
      <c r="AB183" s="226">
        <v>0.96</v>
      </c>
      <c r="AC183" s="226">
        <v>0.96</v>
      </c>
      <c r="AD183" s="226">
        <v>0.94</v>
      </c>
      <c r="AE183" s="226">
        <v>0.94</v>
      </c>
      <c r="AF183" s="226">
        <v>0.94</v>
      </c>
      <c r="AG183" s="226">
        <v>0.94</v>
      </c>
      <c r="AH183" s="226">
        <v>0.94</v>
      </c>
      <c r="AI183" s="226">
        <v>0.91</v>
      </c>
      <c r="AJ183" s="226">
        <v>0.91</v>
      </c>
      <c r="AK183" s="226">
        <v>0.91</v>
      </c>
      <c r="AL183" s="226">
        <v>0.91</v>
      </c>
      <c r="AM183" s="226">
        <v>0.91</v>
      </c>
      <c r="AN183" s="226">
        <v>0.88</v>
      </c>
      <c r="AO183" s="226">
        <v>0.88</v>
      </c>
      <c r="AP183" s="226">
        <v>0.88</v>
      </c>
      <c r="AQ183" s="226">
        <v>0.88</v>
      </c>
      <c r="AR183" s="226">
        <v>0.88</v>
      </c>
      <c r="AS183" s="226">
        <v>0.85</v>
      </c>
      <c r="AT183" s="226">
        <v>0.85</v>
      </c>
      <c r="AU183" s="226">
        <v>0.85</v>
      </c>
      <c r="AV183" s="226">
        <v>0.85</v>
      </c>
      <c r="AW183" s="226">
        <v>0.85</v>
      </c>
      <c r="AX183" s="226">
        <v>0.81</v>
      </c>
      <c r="AY183" s="226">
        <v>0.81</v>
      </c>
      <c r="AZ183" s="226">
        <v>0.81</v>
      </c>
      <c r="BA183" s="226">
        <v>0.81</v>
      </c>
      <c r="BB183" s="226">
        <v>0.81</v>
      </c>
      <c r="BC183" s="226">
        <v>0.77</v>
      </c>
      <c r="BD183" s="226">
        <v>0.77</v>
      </c>
      <c r="BE183" s="226">
        <v>0.77</v>
      </c>
      <c r="BF183" s="226">
        <v>0.77</v>
      </c>
      <c r="BG183" s="226">
        <v>0.77</v>
      </c>
      <c r="BH183" s="226">
        <v>0.72</v>
      </c>
      <c r="BI183" s="226">
        <v>0.72</v>
      </c>
      <c r="BJ183" s="226">
        <v>0.72</v>
      </c>
      <c r="BK183" s="226">
        <v>0.72</v>
      </c>
      <c r="BL183" s="226">
        <v>0.72</v>
      </c>
      <c r="BM183" s="226">
        <v>0.5</v>
      </c>
      <c r="BN183" s="226">
        <v>0.5</v>
      </c>
      <c r="BO183" s="226">
        <v>0.5</v>
      </c>
      <c r="BP183" s="226">
        <v>0.5</v>
      </c>
      <c r="BQ183" s="226">
        <v>0.5</v>
      </c>
      <c r="BR183" s="226">
        <v>0.5</v>
      </c>
      <c r="BS183" s="226">
        <v>0.5</v>
      </c>
      <c r="BT183" s="226">
        <v>0.5</v>
      </c>
      <c r="BU183" s="226">
        <v>0.5</v>
      </c>
      <c r="BV183" s="226">
        <v>0.5</v>
      </c>
      <c r="BW183" s="226">
        <v>0.5</v>
      </c>
      <c r="BX183" s="226">
        <v>0.5</v>
      </c>
      <c r="BY183" s="226">
        <v>0.5</v>
      </c>
      <c r="BZ183" s="226">
        <v>0.5</v>
      </c>
      <c r="CA183" s="226">
        <v>0.5</v>
      </c>
    </row>
    <row r="184" spans="1:79">
      <c r="A184" s="227">
        <v>19</v>
      </c>
      <c r="B184" s="226">
        <v>1</v>
      </c>
      <c r="C184" s="226">
        <v>1</v>
      </c>
      <c r="D184" s="226">
        <v>1</v>
      </c>
      <c r="E184" s="226">
        <v>1</v>
      </c>
      <c r="F184" s="226">
        <v>1</v>
      </c>
      <c r="G184" s="226">
        <v>1</v>
      </c>
      <c r="H184" s="226">
        <v>1</v>
      </c>
      <c r="I184" s="226">
        <v>1</v>
      </c>
      <c r="J184" s="226">
        <v>1</v>
      </c>
      <c r="K184" s="226">
        <v>1</v>
      </c>
      <c r="L184" s="226">
        <v>1</v>
      </c>
      <c r="M184" s="226">
        <v>1</v>
      </c>
      <c r="N184" s="226">
        <v>1</v>
      </c>
      <c r="O184" s="226">
        <v>1</v>
      </c>
      <c r="P184" s="226"/>
      <c r="Q184" s="226">
        <v>1</v>
      </c>
      <c r="R184" s="226">
        <v>1</v>
      </c>
      <c r="S184" s="226">
        <v>0.98</v>
      </c>
      <c r="T184" s="226">
        <v>0.98</v>
      </c>
      <c r="U184" s="226"/>
      <c r="V184" s="226">
        <v>0.98</v>
      </c>
      <c r="W184" s="226">
        <v>0.98</v>
      </c>
      <c r="X184" s="226">
        <v>0.98</v>
      </c>
      <c r="Y184" s="226">
        <v>0.96</v>
      </c>
      <c r="Z184" s="226">
        <v>0.96</v>
      </c>
      <c r="AA184" s="226">
        <v>0.96</v>
      </c>
      <c r="AB184" s="226">
        <v>0.96</v>
      </c>
      <c r="AC184" s="226">
        <v>0.96</v>
      </c>
      <c r="AD184" s="226">
        <v>0.94</v>
      </c>
      <c r="AE184" s="226">
        <v>0.94</v>
      </c>
      <c r="AF184" s="226">
        <v>0.94</v>
      </c>
      <c r="AG184" s="226">
        <v>0.94</v>
      </c>
      <c r="AH184" s="226">
        <v>0.94</v>
      </c>
      <c r="AI184" s="226">
        <v>0.91</v>
      </c>
      <c r="AJ184" s="226">
        <v>0.91</v>
      </c>
      <c r="AK184" s="226">
        <v>0.91</v>
      </c>
      <c r="AL184" s="226">
        <v>0.91</v>
      </c>
      <c r="AM184" s="226">
        <v>0.91</v>
      </c>
      <c r="AN184" s="226">
        <v>0.88</v>
      </c>
      <c r="AO184" s="226">
        <v>0.88</v>
      </c>
      <c r="AP184" s="226">
        <v>0.88</v>
      </c>
      <c r="AQ184" s="226">
        <v>0.88</v>
      </c>
      <c r="AR184" s="226">
        <v>0.88</v>
      </c>
      <c r="AS184" s="226">
        <v>0.85</v>
      </c>
      <c r="AT184" s="226">
        <v>0.85</v>
      </c>
      <c r="AU184" s="226">
        <v>0.85</v>
      </c>
      <c r="AV184" s="226">
        <v>0.85</v>
      </c>
      <c r="AW184" s="226">
        <v>0.85</v>
      </c>
      <c r="AX184" s="226">
        <v>0.81</v>
      </c>
      <c r="AY184" s="226">
        <v>0.81</v>
      </c>
      <c r="AZ184" s="226">
        <v>0.81</v>
      </c>
      <c r="BA184" s="226">
        <v>0.81</v>
      </c>
      <c r="BB184" s="226">
        <v>0.81</v>
      </c>
      <c r="BC184" s="226">
        <v>0.77</v>
      </c>
      <c r="BD184" s="226">
        <v>0.77</v>
      </c>
      <c r="BE184" s="226">
        <v>0.77</v>
      </c>
      <c r="BF184" s="226">
        <v>0.77</v>
      </c>
      <c r="BG184" s="226">
        <v>0.77</v>
      </c>
      <c r="BH184" s="226">
        <v>0.72</v>
      </c>
      <c r="BI184" s="226">
        <v>0.72</v>
      </c>
      <c r="BJ184" s="226">
        <v>0.72</v>
      </c>
      <c r="BK184" s="226">
        <v>0.72</v>
      </c>
      <c r="BL184" s="226">
        <v>0.72</v>
      </c>
      <c r="BM184" s="226">
        <v>0.5</v>
      </c>
      <c r="BN184" s="226">
        <v>0.5</v>
      </c>
      <c r="BO184" s="226">
        <v>0.5</v>
      </c>
      <c r="BP184" s="226">
        <v>0.5</v>
      </c>
      <c r="BQ184" s="226">
        <v>0.5</v>
      </c>
      <c r="BR184" s="226">
        <v>0.5</v>
      </c>
      <c r="BS184" s="226">
        <v>0.5</v>
      </c>
      <c r="BT184" s="226">
        <v>0.5</v>
      </c>
      <c r="BU184" s="226">
        <v>0.5</v>
      </c>
      <c r="BV184" s="226">
        <v>0.5</v>
      </c>
      <c r="BW184" s="226">
        <v>0.5</v>
      </c>
      <c r="BX184" s="226">
        <v>0.5</v>
      </c>
      <c r="BY184" s="226">
        <v>0.5</v>
      </c>
      <c r="BZ184" s="226">
        <v>0.5</v>
      </c>
      <c r="CA184" s="226">
        <v>0.5</v>
      </c>
    </row>
    <row r="185" spans="1:79">
      <c r="A185" s="227">
        <v>20</v>
      </c>
      <c r="B185" s="226">
        <v>1</v>
      </c>
      <c r="C185" s="226">
        <v>1</v>
      </c>
      <c r="D185" s="226">
        <v>1</v>
      </c>
      <c r="E185" s="226">
        <v>1</v>
      </c>
      <c r="F185" s="226">
        <v>1</v>
      </c>
      <c r="G185" s="226">
        <v>1</v>
      </c>
      <c r="H185" s="226">
        <v>1</v>
      </c>
      <c r="I185" s="226">
        <v>1</v>
      </c>
      <c r="J185" s="226">
        <v>1</v>
      </c>
      <c r="K185" s="226">
        <v>1</v>
      </c>
      <c r="L185" s="226">
        <v>1</v>
      </c>
      <c r="M185" s="226">
        <v>1</v>
      </c>
      <c r="N185" s="226">
        <v>1</v>
      </c>
      <c r="O185" s="226">
        <v>1</v>
      </c>
      <c r="P185" s="226"/>
      <c r="Q185" s="226">
        <v>1</v>
      </c>
      <c r="R185" s="226">
        <v>1</v>
      </c>
      <c r="S185" s="226">
        <v>0.98</v>
      </c>
      <c r="T185" s="226">
        <v>0.98</v>
      </c>
      <c r="U185" s="226"/>
      <c r="V185" s="226">
        <v>0.98</v>
      </c>
      <c r="W185" s="226">
        <v>0.98</v>
      </c>
      <c r="X185" s="226">
        <v>0.98</v>
      </c>
      <c r="Y185" s="226">
        <v>0.96</v>
      </c>
      <c r="Z185" s="226">
        <v>0.96</v>
      </c>
      <c r="AA185" s="226">
        <v>0.96</v>
      </c>
      <c r="AB185" s="226">
        <v>0.96</v>
      </c>
      <c r="AC185" s="226">
        <v>0.96</v>
      </c>
      <c r="AD185" s="226">
        <v>0.94</v>
      </c>
      <c r="AE185" s="226">
        <v>0.94</v>
      </c>
      <c r="AF185" s="226">
        <v>0.94</v>
      </c>
      <c r="AG185" s="226">
        <v>0.94</v>
      </c>
      <c r="AH185" s="226">
        <v>0.94</v>
      </c>
      <c r="AI185" s="226">
        <v>0.91</v>
      </c>
      <c r="AJ185" s="226">
        <v>0.91</v>
      </c>
      <c r="AK185" s="226">
        <v>0.91</v>
      </c>
      <c r="AL185" s="226">
        <v>0.91</v>
      </c>
      <c r="AM185" s="226">
        <v>0.91</v>
      </c>
      <c r="AN185" s="226">
        <v>0.88</v>
      </c>
      <c r="AO185" s="226">
        <v>0.88</v>
      </c>
      <c r="AP185" s="226">
        <v>0.88</v>
      </c>
      <c r="AQ185" s="226">
        <v>0.88</v>
      </c>
      <c r="AR185" s="226">
        <v>0.88</v>
      </c>
      <c r="AS185" s="226">
        <v>0.85</v>
      </c>
      <c r="AT185" s="226">
        <v>0.85</v>
      </c>
      <c r="AU185" s="226">
        <v>0.85</v>
      </c>
      <c r="AV185" s="226">
        <v>0.85</v>
      </c>
      <c r="AW185" s="226">
        <v>0.85</v>
      </c>
      <c r="AX185" s="226">
        <v>0.81</v>
      </c>
      <c r="AY185" s="226">
        <v>0.81</v>
      </c>
      <c r="AZ185" s="226">
        <v>0.81</v>
      </c>
      <c r="BA185" s="226">
        <v>0.81</v>
      </c>
      <c r="BB185" s="226">
        <v>0.81</v>
      </c>
      <c r="BC185" s="226">
        <v>0.77</v>
      </c>
      <c r="BD185" s="226">
        <v>0.77</v>
      </c>
      <c r="BE185" s="226">
        <v>0.77</v>
      </c>
      <c r="BF185" s="226">
        <v>0.77</v>
      </c>
      <c r="BG185" s="226">
        <v>0.77</v>
      </c>
      <c r="BH185" s="226">
        <v>0.72</v>
      </c>
      <c r="BI185" s="226">
        <v>0.72</v>
      </c>
      <c r="BJ185" s="226">
        <v>0.72</v>
      </c>
      <c r="BK185" s="226">
        <v>0.72</v>
      </c>
      <c r="BL185" s="226">
        <v>0.72</v>
      </c>
      <c r="BM185" s="226">
        <v>0.5</v>
      </c>
      <c r="BN185" s="226">
        <v>0.5</v>
      </c>
      <c r="BO185" s="226">
        <v>0.5</v>
      </c>
      <c r="BP185" s="226">
        <v>0.5</v>
      </c>
      <c r="BQ185" s="226">
        <v>0.5</v>
      </c>
      <c r="BR185" s="226">
        <v>0.5</v>
      </c>
      <c r="BS185" s="226">
        <v>0.5</v>
      </c>
      <c r="BT185" s="226">
        <v>0.5</v>
      </c>
      <c r="BU185" s="226">
        <v>0.5</v>
      </c>
      <c r="BV185" s="226">
        <v>0.5</v>
      </c>
      <c r="BW185" s="226">
        <v>0.5</v>
      </c>
      <c r="BX185" s="226">
        <v>0.5</v>
      </c>
      <c r="BY185" s="226">
        <v>0.5</v>
      </c>
      <c r="BZ185" s="226">
        <v>0.5</v>
      </c>
      <c r="CA185" s="226">
        <v>0.5</v>
      </c>
    </row>
    <row r="186" spans="1:79">
      <c r="A186" s="227">
        <v>21</v>
      </c>
      <c r="B186" s="226">
        <v>1</v>
      </c>
      <c r="C186" s="226">
        <v>1</v>
      </c>
      <c r="D186" s="226">
        <v>1</v>
      </c>
      <c r="E186" s="226">
        <v>1</v>
      </c>
      <c r="F186" s="226">
        <v>1</v>
      </c>
      <c r="G186" s="226">
        <v>1</v>
      </c>
      <c r="H186" s="226">
        <v>1</v>
      </c>
      <c r="I186" s="226">
        <v>1</v>
      </c>
      <c r="J186" s="226">
        <v>1</v>
      </c>
      <c r="K186" s="226">
        <v>1</v>
      </c>
      <c r="L186" s="226">
        <v>1</v>
      </c>
      <c r="M186" s="226">
        <v>1</v>
      </c>
      <c r="N186" s="226">
        <v>1</v>
      </c>
      <c r="O186" s="226">
        <v>1</v>
      </c>
      <c r="P186" s="226"/>
      <c r="Q186" s="226">
        <v>1</v>
      </c>
      <c r="R186" s="226">
        <v>1</v>
      </c>
      <c r="S186" s="226">
        <v>0.98</v>
      </c>
      <c r="T186" s="226">
        <v>0.98</v>
      </c>
      <c r="U186" s="226"/>
      <c r="V186" s="226">
        <v>0.98</v>
      </c>
      <c r="W186" s="226">
        <v>0.98</v>
      </c>
      <c r="X186" s="226">
        <v>0.98</v>
      </c>
      <c r="Y186" s="226">
        <v>0.96</v>
      </c>
      <c r="Z186" s="226">
        <v>0.96</v>
      </c>
      <c r="AA186" s="226">
        <v>0.96</v>
      </c>
      <c r="AB186" s="226">
        <v>0.96</v>
      </c>
      <c r="AC186" s="226">
        <v>0.96</v>
      </c>
      <c r="AD186" s="226">
        <v>0.93</v>
      </c>
      <c r="AE186" s="226">
        <v>0.93</v>
      </c>
      <c r="AF186" s="226">
        <v>0.93</v>
      </c>
      <c r="AG186" s="226">
        <v>0.93</v>
      </c>
      <c r="AH186" s="226">
        <v>0.93</v>
      </c>
      <c r="AI186" s="226">
        <v>0.9</v>
      </c>
      <c r="AJ186" s="226">
        <v>0.9</v>
      </c>
      <c r="AK186" s="226">
        <v>0.9</v>
      </c>
      <c r="AL186" s="226">
        <v>0.9</v>
      </c>
      <c r="AM186" s="226">
        <v>0.9</v>
      </c>
      <c r="AN186" s="226">
        <v>0.86</v>
      </c>
      <c r="AO186" s="226">
        <v>0.86</v>
      </c>
      <c r="AP186" s="226">
        <v>0.86</v>
      </c>
      <c r="AQ186" s="226">
        <v>0.86</v>
      </c>
      <c r="AR186" s="226">
        <v>0.86</v>
      </c>
      <c r="AS186" s="226">
        <v>0.82</v>
      </c>
      <c r="AT186" s="226">
        <v>0.82</v>
      </c>
      <c r="AU186" s="226">
        <v>0.82</v>
      </c>
      <c r="AV186" s="226">
        <v>0.82</v>
      </c>
      <c r="AW186" s="226">
        <v>0.82</v>
      </c>
      <c r="AX186" s="226">
        <v>0.78</v>
      </c>
      <c r="AY186" s="226">
        <v>0.78</v>
      </c>
      <c r="AZ186" s="226">
        <v>0.78</v>
      </c>
      <c r="BA186" s="226">
        <v>0.78</v>
      </c>
      <c r="BB186" s="226">
        <v>0.78</v>
      </c>
      <c r="BC186" s="226">
        <v>0.73</v>
      </c>
      <c r="BD186" s="226">
        <v>0.73</v>
      </c>
      <c r="BE186" s="226">
        <v>0.73</v>
      </c>
      <c r="BF186" s="226">
        <v>0.73</v>
      </c>
      <c r="BG186" s="226">
        <v>0.73</v>
      </c>
      <c r="BH186" s="226">
        <v>0.68</v>
      </c>
      <c r="BI186" s="226">
        <v>0.68</v>
      </c>
      <c r="BJ186" s="226">
        <v>0.68</v>
      </c>
      <c r="BK186" s="226">
        <v>0.68</v>
      </c>
      <c r="BL186" s="226">
        <v>0.68</v>
      </c>
      <c r="BM186" s="226">
        <v>0.4</v>
      </c>
      <c r="BN186" s="226">
        <v>0.4</v>
      </c>
      <c r="BO186" s="226">
        <v>0.4</v>
      </c>
      <c r="BP186" s="226">
        <v>0.4</v>
      </c>
      <c r="BQ186" s="226">
        <v>0.4</v>
      </c>
      <c r="BR186" s="226">
        <v>0.4</v>
      </c>
      <c r="BS186" s="226">
        <v>0.4</v>
      </c>
      <c r="BT186" s="226">
        <v>0.4</v>
      </c>
      <c r="BU186" s="226">
        <v>0.4</v>
      </c>
      <c r="BV186" s="226">
        <v>0.4</v>
      </c>
      <c r="BW186" s="226">
        <v>0.4</v>
      </c>
      <c r="BX186" s="226">
        <v>0.4</v>
      </c>
      <c r="BY186" s="226">
        <v>0.4</v>
      </c>
      <c r="BZ186" s="226">
        <v>0.4</v>
      </c>
      <c r="CA186" s="226">
        <v>0.4</v>
      </c>
    </row>
    <row r="187" spans="1:79">
      <c r="A187" s="227">
        <v>22</v>
      </c>
      <c r="B187" s="226">
        <v>1</v>
      </c>
      <c r="C187" s="226">
        <v>1</v>
      </c>
      <c r="D187" s="226">
        <v>1</v>
      </c>
      <c r="E187" s="226">
        <v>1</v>
      </c>
      <c r="F187" s="226">
        <v>1</v>
      </c>
      <c r="G187" s="226">
        <v>1</v>
      </c>
      <c r="H187" s="226">
        <v>1</v>
      </c>
      <c r="I187" s="226">
        <v>1</v>
      </c>
      <c r="J187" s="226">
        <v>1</v>
      </c>
      <c r="K187" s="226">
        <v>1</v>
      </c>
      <c r="L187" s="226">
        <v>1</v>
      </c>
      <c r="M187" s="226">
        <v>1</v>
      </c>
      <c r="N187" s="226">
        <v>1</v>
      </c>
      <c r="O187" s="226">
        <v>1</v>
      </c>
      <c r="P187" s="226"/>
      <c r="Q187" s="226">
        <v>1</v>
      </c>
      <c r="R187" s="226">
        <v>1</v>
      </c>
      <c r="S187" s="226">
        <v>0.98</v>
      </c>
      <c r="T187" s="226">
        <v>0.98</v>
      </c>
      <c r="U187" s="226"/>
      <c r="V187" s="226">
        <v>0.98</v>
      </c>
      <c r="W187" s="226">
        <v>0.98</v>
      </c>
      <c r="X187" s="226">
        <v>0.98</v>
      </c>
      <c r="Y187" s="226">
        <v>0.96</v>
      </c>
      <c r="Z187" s="226">
        <v>0.96</v>
      </c>
      <c r="AA187" s="226">
        <v>0.96</v>
      </c>
      <c r="AB187" s="226">
        <v>0.96</v>
      </c>
      <c r="AC187" s="226">
        <v>0.96</v>
      </c>
      <c r="AD187" s="226">
        <v>0.93</v>
      </c>
      <c r="AE187" s="226">
        <v>0.93</v>
      </c>
      <c r="AF187" s="226">
        <v>0.93</v>
      </c>
      <c r="AG187" s="226">
        <v>0.93</v>
      </c>
      <c r="AH187" s="226">
        <v>0.93</v>
      </c>
      <c r="AI187" s="226">
        <v>0.9</v>
      </c>
      <c r="AJ187" s="226">
        <v>0.9</v>
      </c>
      <c r="AK187" s="226">
        <v>0.9</v>
      </c>
      <c r="AL187" s="226">
        <v>0.9</v>
      </c>
      <c r="AM187" s="226">
        <v>0.9</v>
      </c>
      <c r="AN187" s="226">
        <v>0.86</v>
      </c>
      <c r="AO187" s="226">
        <v>0.86</v>
      </c>
      <c r="AP187" s="226">
        <v>0.86</v>
      </c>
      <c r="AQ187" s="226">
        <v>0.86</v>
      </c>
      <c r="AR187" s="226">
        <v>0.86</v>
      </c>
      <c r="AS187" s="226">
        <v>0.82</v>
      </c>
      <c r="AT187" s="226">
        <v>0.82</v>
      </c>
      <c r="AU187" s="226">
        <v>0.82</v>
      </c>
      <c r="AV187" s="226">
        <v>0.82</v>
      </c>
      <c r="AW187" s="226">
        <v>0.82</v>
      </c>
      <c r="AX187" s="226">
        <v>0.78</v>
      </c>
      <c r="AY187" s="226">
        <v>0.78</v>
      </c>
      <c r="AZ187" s="226">
        <v>0.78</v>
      </c>
      <c r="BA187" s="226">
        <v>0.78</v>
      </c>
      <c r="BB187" s="226">
        <v>0.78</v>
      </c>
      <c r="BC187" s="226">
        <v>0.73</v>
      </c>
      <c r="BD187" s="226">
        <v>0.73</v>
      </c>
      <c r="BE187" s="226">
        <v>0.73</v>
      </c>
      <c r="BF187" s="226">
        <v>0.73</v>
      </c>
      <c r="BG187" s="226">
        <v>0.73</v>
      </c>
      <c r="BH187" s="226">
        <v>0.68</v>
      </c>
      <c r="BI187" s="226">
        <v>0.68</v>
      </c>
      <c r="BJ187" s="226">
        <v>0.68</v>
      </c>
      <c r="BK187" s="226">
        <v>0.68</v>
      </c>
      <c r="BL187" s="226">
        <v>0.68</v>
      </c>
      <c r="BM187" s="226">
        <v>0.4</v>
      </c>
      <c r="BN187" s="226">
        <v>0.4</v>
      </c>
      <c r="BO187" s="226">
        <v>0.4</v>
      </c>
      <c r="BP187" s="226">
        <v>0.4</v>
      </c>
      <c r="BQ187" s="226">
        <v>0.4</v>
      </c>
      <c r="BR187" s="226">
        <v>0.4</v>
      </c>
      <c r="BS187" s="226">
        <v>0.4</v>
      </c>
      <c r="BT187" s="226">
        <v>0.4</v>
      </c>
      <c r="BU187" s="226">
        <v>0.4</v>
      </c>
      <c r="BV187" s="226">
        <v>0.4</v>
      </c>
      <c r="BW187" s="226">
        <v>0.4</v>
      </c>
      <c r="BX187" s="226">
        <v>0.4</v>
      </c>
      <c r="BY187" s="226">
        <v>0.4</v>
      </c>
      <c r="BZ187" s="226">
        <v>0.4</v>
      </c>
      <c r="CA187" s="226">
        <v>0.4</v>
      </c>
    </row>
    <row r="188" spans="1:79">
      <c r="A188" s="227">
        <v>23</v>
      </c>
      <c r="B188" s="226">
        <v>1</v>
      </c>
      <c r="C188" s="226">
        <v>1</v>
      </c>
      <c r="D188" s="226">
        <v>1</v>
      </c>
      <c r="E188" s="226">
        <v>1</v>
      </c>
      <c r="F188" s="226">
        <v>1</v>
      </c>
      <c r="G188" s="226">
        <v>1</v>
      </c>
      <c r="H188" s="226">
        <v>1</v>
      </c>
      <c r="I188" s="226">
        <v>1</v>
      </c>
      <c r="J188" s="226">
        <v>1</v>
      </c>
      <c r="K188" s="226">
        <v>1</v>
      </c>
      <c r="L188" s="226">
        <v>1</v>
      </c>
      <c r="M188" s="226">
        <v>1</v>
      </c>
      <c r="N188" s="226">
        <v>1</v>
      </c>
      <c r="O188" s="226">
        <v>1</v>
      </c>
      <c r="P188" s="226"/>
      <c r="Q188" s="226">
        <v>1</v>
      </c>
      <c r="R188" s="226">
        <v>1</v>
      </c>
      <c r="S188" s="226">
        <v>0.98</v>
      </c>
      <c r="T188" s="226">
        <v>0.98</v>
      </c>
      <c r="U188" s="226"/>
      <c r="V188" s="226">
        <v>0.98</v>
      </c>
      <c r="W188" s="226">
        <v>0.98</v>
      </c>
      <c r="X188" s="226">
        <v>0.98</v>
      </c>
      <c r="Y188" s="226">
        <v>0.96</v>
      </c>
      <c r="Z188" s="226">
        <v>0.96</v>
      </c>
      <c r="AA188" s="226">
        <v>0.96</v>
      </c>
      <c r="AB188" s="226">
        <v>0.96</v>
      </c>
      <c r="AC188" s="226">
        <v>0.96</v>
      </c>
      <c r="AD188" s="226">
        <v>0.93</v>
      </c>
      <c r="AE188" s="226">
        <v>0.93</v>
      </c>
      <c r="AF188" s="226">
        <v>0.93</v>
      </c>
      <c r="AG188" s="226">
        <v>0.93</v>
      </c>
      <c r="AH188" s="226">
        <v>0.93</v>
      </c>
      <c r="AI188" s="226">
        <v>0.9</v>
      </c>
      <c r="AJ188" s="226">
        <v>0.9</v>
      </c>
      <c r="AK188" s="226">
        <v>0.9</v>
      </c>
      <c r="AL188" s="226">
        <v>0.9</v>
      </c>
      <c r="AM188" s="226">
        <v>0.9</v>
      </c>
      <c r="AN188" s="226">
        <v>0.86</v>
      </c>
      <c r="AO188" s="226">
        <v>0.86</v>
      </c>
      <c r="AP188" s="226">
        <v>0.86</v>
      </c>
      <c r="AQ188" s="226">
        <v>0.86</v>
      </c>
      <c r="AR188" s="226">
        <v>0.86</v>
      </c>
      <c r="AS188" s="226">
        <v>0.82</v>
      </c>
      <c r="AT188" s="226">
        <v>0.82</v>
      </c>
      <c r="AU188" s="226">
        <v>0.82</v>
      </c>
      <c r="AV188" s="226">
        <v>0.82</v>
      </c>
      <c r="AW188" s="226">
        <v>0.82</v>
      </c>
      <c r="AX188" s="226">
        <v>0.78</v>
      </c>
      <c r="AY188" s="226">
        <v>0.78</v>
      </c>
      <c r="AZ188" s="226">
        <v>0.78</v>
      </c>
      <c r="BA188" s="226">
        <v>0.78</v>
      </c>
      <c r="BB188" s="226">
        <v>0.78</v>
      </c>
      <c r="BC188" s="226">
        <v>0.73</v>
      </c>
      <c r="BD188" s="226">
        <v>0.73</v>
      </c>
      <c r="BE188" s="226">
        <v>0.73</v>
      </c>
      <c r="BF188" s="226">
        <v>0.73</v>
      </c>
      <c r="BG188" s="226">
        <v>0.73</v>
      </c>
      <c r="BH188" s="226">
        <v>0.68</v>
      </c>
      <c r="BI188" s="226">
        <v>0.68</v>
      </c>
      <c r="BJ188" s="226">
        <v>0.68</v>
      </c>
      <c r="BK188" s="226">
        <v>0.68</v>
      </c>
      <c r="BL188" s="226">
        <v>0.68</v>
      </c>
      <c r="BM188" s="226">
        <v>0.4</v>
      </c>
      <c r="BN188" s="226">
        <v>0.4</v>
      </c>
      <c r="BO188" s="226">
        <v>0.4</v>
      </c>
      <c r="BP188" s="226">
        <v>0.4</v>
      </c>
      <c r="BQ188" s="226">
        <v>0.4</v>
      </c>
      <c r="BR188" s="226">
        <v>0.4</v>
      </c>
      <c r="BS188" s="226">
        <v>0.4</v>
      </c>
      <c r="BT188" s="226">
        <v>0.4</v>
      </c>
      <c r="BU188" s="226">
        <v>0.4</v>
      </c>
      <c r="BV188" s="226">
        <v>0.4</v>
      </c>
      <c r="BW188" s="226">
        <v>0.4</v>
      </c>
      <c r="BX188" s="226">
        <v>0.4</v>
      </c>
      <c r="BY188" s="226">
        <v>0.4</v>
      </c>
      <c r="BZ188" s="226">
        <v>0.4</v>
      </c>
      <c r="CA188" s="226">
        <v>0.4</v>
      </c>
    </row>
    <row r="189" spans="1:79">
      <c r="A189" s="227">
        <v>24</v>
      </c>
      <c r="B189" s="226">
        <v>1</v>
      </c>
      <c r="C189" s="226">
        <v>1</v>
      </c>
      <c r="D189" s="226">
        <v>1</v>
      </c>
      <c r="E189" s="226">
        <v>1</v>
      </c>
      <c r="F189" s="226">
        <v>1</v>
      </c>
      <c r="G189" s="226">
        <v>1</v>
      </c>
      <c r="H189" s="226">
        <v>1</v>
      </c>
      <c r="I189" s="226">
        <v>1</v>
      </c>
      <c r="J189" s="226">
        <v>1</v>
      </c>
      <c r="K189" s="226">
        <v>1</v>
      </c>
      <c r="L189" s="226">
        <v>1</v>
      </c>
      <c r="M189" s="226">
        <v>1</v>
      </c>
      <c r="N189" s="226">
        <v>1</v>
      </c>
      <c r="O189" s="226">
        <v>1</v>
      </c>
      <c r="P189" s="226"/>
      <c r="Q189" s="226">
        <v>1</v>
      </c>
      <c r="R189" s="226">
        <v>1</v>
      </c>
      <c r="S189" s="226">
        <v>0.98</v>
      </c>
      <c r="T189" s="226">
        <v>0.98</v>
      </c>
      <c r="U189" s="226"/>
      <c r="V189" s="226">
        <v>0.98</v>
      </c>
      <c r="W189" s="226">
        <v>0.98</v>
      </c>
      <c r="X189" s="226">
        <v>0.98</v>
      </c>
      <c r="Y189" s="226">
        <v>0.96</v>
      </c>
      <c r="Z189" s="226">
        <v>0.96</v>
      </c>
      <c r="AA189" s="226">
        <v>0.96</v>
      </c>
      <c r="AB189" s="226">
        <v>0.96</v>
      </c>
      <c r="AC189" s="226">
        <v>0.96</v>
      </c>
      <c r="AD189" s="226">
        <v>0.93</v>
      </c>
      <c r="AE189" s="226">
        <v>0.93</v>
      </c>
      <c r="AF189" s="226">
        <v>0.93</v>
      </c>
      <c r="AG189" s="226">
        <v>0.93</v>
      </c>
      <c r="AH189" s="226">
        <v>0.93</v>
      </c>
      <c r="AI189" s="226">
        <v>0.9</v>
      </c>
      <c r="AJ189" s="226">
        <v>0.9</v>
      </c>
      <c r="AK189" s="226">
        <v>0.9</v>
      </c>
      <c r="AL189" s="226">
        <v>0.9</v>
      </c>
      <c r="AM189" s="226">
        <v>0.9</v>
      </c>
      <c r="AN189" s="226">
        <v>0.86</v>
      </c>
      <c r="AO189" s="226">
        <v>0.86</v>
      </c>
      <c r="AP189" s="226">
        <v>0.86</v>
      </c>
      <c r="AQ189" s="226">
        <v>0.86</v>
      </c>
      <c r="AR189" s="226">
        <v>0.86</v>
      </c>
      <c r="AS189" s="226">
        <v>0.82</v>
      </c>
      <c r="AT189" s="226">
        <v>0.82</v>
      </c>
      <c r="AU189" s="226">
        <v>0.82</v>
      </c>
      <c r="AV189" s="226">
        <v>0.82</v>
      </c>
      <c r="AW189" s="226">
        <v>0.82</v>
      </c>
      <c r="AX189" s="226">
        <v>0.78</v>
      </c>
      <c r="AY189" s="226">
        <v>0.78</v>
      </c>
      <c r="AZ189" s="226">
        <v>0.78</v>
      </c>
      <c r="BA189" s="226">
        <v>0.78</v>
      </c>
      <c r="BB189" s="226">
        <v>0.78</v>
      </c>
      <c r="BC189" s="226">
        <v>0.73</v>
      </c>
      <c r="BD189" s="226">
        <v>0.73</v>
      </c>
      <c r="BE189" s="226">
        <v>0.73</v>
      </c>
      <c r="BF189" s="226">
        <v>0.73</v>
      </c>
      <c r="BG189" s="226">
        <v>0.73</v>
      </c>
      <c r="BH189" s="226">
        <v>0.68</v>
      </c>
      <c r="BI189" s="226">
        <v>0.68</v>
      </c>
      <c r="BJ189" s="226">
        <v>0.68</v>
      </c>
      <c r="BK189" s="226">
        <v>0.68</v>
      </c>
      <c r="BL189" s="226">
        <v>0.68</v>
      </c>
      <c r="BM189" s="226">
        <v>0.4</v>
      </c>
      <c r="BN189" s="226">
        <v>0.4</v>
      </c>
      <c r="BO189" s="226">
        <v>0.4</v>
      </c>
      <c r="BP189" s="226">
        <v>0.4</v>
      </c>
      <c r="BQ189" s="226">
        <v>0.4</v>
      </c>
      <c r="BR189" s="226">
        <v>0.4</v>
      </c>
      <c r="BS189" s="226">
        <v>0.4</v>
      </c>
      <c r="BT189" s="226">
        <v>0.4</v>
      </c>
      <c r="BU189" s="226">
        <v>0.4</v>
      </c>
      <c r="BV189" s="226">
        <v>0.4</v>
      </c>
      <c r="BW189" s="226">
        <v>0.4</v>
      </c>
      <c r="BX189" s="226">
        <v>0.4</v>
      </c>
      <c r="BY189" s="226">
        <v>0.4</v>
      </c>
      <c r="BZ189" s="226">
        <v>0.4</v>
      </c>
      <c r="CA189" s="226">
        <v>0.4</v>
      </c>
    </row>
    <row r="190" spans="1:79">
      <c r="A190" s="227">
        <v>25</v>
      </c>
      <c r="B190" s="226">
        <v>1</v>
      </c>
      <c r="C190" s="226">
        <v>1</v>
      </c>
      <c r="D190" s="226">
        <v>1</v>
      </c>
      <c r="E190" s="226">
        <v>1</v>
      </c>
      <c r="F190" s="226">
        <v>1</v>
      </c>
      <c r="G190" s="226">
        <v>1</v>
      </c>
      <c r="H190" s="226">
        <v>1</v>
      </c>
      <c r="I190" s="226">
        <v>1</v>
      </c>
      <c r="J190" s="226">
        <v>1</v>
      </c>
      <c r="K190" s="226">
        <v>1</v>
      </c>
      <c r="L190" s="226">
        <v>1</v>
      </c>
      <c r="M190" s="226">
        <v>1</v>
      </c>
      <c r="N190" s="226">
        <v>1</v>
      </c>
      <c r="O190" s="226">
        <v>1</v>
      </c>
      <c r="P190" s="226"/>
      <c r="Q190" s="226">
        <v>1</v>
      </c>
      <c r="R190" s="226">
        <v>1</v>
      </c>
      <c r="S190" s="226">
        <v>0.98</v>
      </c>
      <c r="T190" s="226">
        <v>0.98</v>
      </c>
      <c r="U190" s="226"/>
      <c r="V190" s="226">
        <v>0.98</v>
      </c>
      <c r="W190" s="226">
        <v>0.98</v>
      </c>
      <c r="X190" s="226">
        <v>0.98</v>
      </c>
      <c r="Y190" s="226">
        <v>0.96</v>
      </c>
      <c r="Z190" s="226">
        <v>0.96</v>
      </c>
      <c r="AA190" s="226">
        <v>0.96</v>
      </c>
      <c r="AB190" s="226">
        <v>0.96</v>
      </c>
      <c r="AC190" s="226">
        <v>0.96</v>
      </c>
      <c r="AD190" s="226">
        <v>0.93</v>
      </c>
      <c r="AE190" s="226">
        <v>0.93</v>
      </c>
      <c r="AF190" s="226">
        <v>0.93</v>
      </c>
      <c r="AG190" s="226">
        <v>0.93</v>
      </c>
      <c r="AH190" s="226">
        <v>0.93</v>
      </c>
      <c r="AI190" s="226">
        <v>0.9</v>
      </c>
      <c r="AJ190" s="226">
        <v>0.9</v>
      </c>
      <c r="AK190" s="226">
        <v>0.9</v>
      </c>
      <c r="AL190" s="226">
        <v>0.9</v>
      </c>
      <c r="AM190" s="226">
        <v>0.9</v>
      </c>
      <c r="AN190" s="226">
        <v>0.86</v>
      </c>
      <c r="AO190" s="226">
        <v>0.86</v>
      </c>
      <c r="AP190" s="226">
        <v>0.86</v>
      </c>
      <c r="AQ190" s="226">
        <v>0.86</v>
      </c>
      <c r="AR190" s="226">
        <v>0.86</v>
      </c>
      <c r="AS190" s="226">
        <v>0.82</v>
      </c>
      <c r="AT190" s="226">
        <v>0.82</v>
      </c>
      <c r="AU190" s="226">
        <v>0.82</v>
      </c>
      <c r="AV190" s="226">
        <v>0.82</v>
      </c>
      <c r="AW190" s="226">
        <v>0.82</v>
      </c>
      <c r="AX190" s="226">
        <v>0.78</v>
      </c>
      <c r="AY190" s="226">
        <v>0.78</v>
      </c>
      <c r="AZ190" s="226">
        <v>0.78</v>
      </c>
      <c r="BA190" s="226">
        <v>0.78</v>
      </c>
      <c r="BB190" s="226">
        <v>0.78</v>
      </c>
      <c r="BC190" s="226">
        <v>0.73</v>
      </c>
      <c r="BD190" s="226">
        <v>0.73</v>
      </c>
      <c r="BE190" s="226">
        <v>0.73</v>
      </c>
      <c r="BF190" s="226">
        <v>0.73</v>
      </c>
      <c r="BG190" s="226">
        <v>0.73</v>
      </c>
      <c r="BH190" s="226">
        <v>0.68</v>
      </c>
      <c r="BI190" s="226">
        <v>0.68</v>
      </c>
      <c r="BJ190" s="226">
        <v>0.68</v>
      </c>
      <c r="BK190" s="226">
        <v>0.68</v>
      </c>
      <c r="BL190" s="226">
        <v>0.68</v>
      </c>
      <c r="BM190" s="226">
        <v>0.4</v>
      </c>
      <c r="BN190" s="226">
        <v>0.4</v>
      </c>
      <c r="BO190" s="226">
        <v>0.4</v>
      </c>
      <c r="BP190" s="226">
        <v>0.4</v>
      </c>
      <c r="BQ190" s="226">
        <v>0.4</v>
      </c>
      <c r="BR190" s="226">
        <v>0.4</v>
      </c>
      <c r="BS190" s="226">
        <v>0.4</v>
      </c>
      <c r="BT190" s="226">
        <v>0.4</v>
      </c>
      <c r="BU190" s="226">
        <v>0.4</v>
      </c>
      <c r="BV190" s="226">
        <v>0.4</v>
      </c>
      <c r="BW190" s="226">
        <v>0.4</v>
      </c>
      <c r="BX190" s="226">
        <v>0.4</v>
      </c>
      <c r="BY190" s="226">
        <v>0.4</v>
      </c>
      <c r="BZ190" s="226">
        <v>0.4</v>
      </c>
      <c r="CA190" s="226">
        <v>0.4</v>
      </c>
    </row>
    <row r="191" spans="1:79">
      <c r="A191" s="227">
        <v>26</v>
      </c>
      <c r="B191" s="226">
        <v>1</v>
      </c>
      <c r="C191" s="226">
        <v>1</v>
      </c>
      <c r="D191" s="226">
        <v>1</v>
      </c>
      <c r="E191" s="226">
        <v>1</v>
      </c>
      <c r="F191" s="226">
        <v>1</v>
      </c>
      <c r="G191" s="226">
        <v>1</v>
      </c>
      <c r="H191" s="226">
        <v>1</v>
      </c>
      <c r="I191" s="226">
        <v>1</v>
      </c>
      <c r="J191" s="226">
        <v>1</v>
      </c>
      <c r="K191" s="226">
        <v>1</v>
      </c>
      <c r="L191" s="226">
        <v>1</v>
      </c>
      <c r="M191" s="226">
        <v>1</v>
      </c>
      <c r="N191" s="226">
        <v>1</v>
      </c>
      <c r="O191" s="226">
        <v>1</v>
      </c>
      <c r="P191" s="226"/>
      <c r="Q191" s="226">
        <v>1</v>
      </c>
      <c r="R191" s="226">
        <v>1</v>
      </c>
      <c r="S191" s="226">
        <v>0.98</v>
      </c>
      <c r="T191" s="226">
        <v>0.98</v>
      </c>
      <c r="U191" s="226"/>
      <c r="V191" s="226">
        <v>0.98</v>
      </c>
      <c r="W191" s="226">
        <v>0.98</v>
      </c>
      <c r="X191" s="226">
        <v>0.98</v>
      </c>
      <c r="Y191" s="226">
        <v>0.96</v>
      </c>
      <c r="Z191" s="226">
        <v>0.96</v>
      </c>
      <c r="AA191" s="226">
        <v>0.96</v>
      </c>
      <c r="AB191" s="226">
        <v>0.96</v>
      </c>
      <c r="AC191" s="226">
        <v>0.96</v>
      </c>
      <c r="AD191" s="226">
        <v>0.93</v>
      </c>
      <c r="AE191" s="226">
        <v>0.93</v>
      </c>
      <c r="AF191" s="226">
        <v>0.93</v>
      </c>
      <c r="AG191" s="226">
        <v>0.93</v>
      </c>
      <c r="AH191" s="226">
        <v>0.93</v>
      </c>
      <c r="AI191" s="226">
        <v>0.9</v>
      </c>
      <c r="AJ191" s="226">
        <v>0.9</v>
      </c>
      <c r="AK191" s="226">
        <v>0.9</v>
      </c>
      <c r="AL191" s="226">
        <v>0.9</v>
      </c>
      <c r="AM191" s="226">
        <v>0.9</v>
      </c>
      <c r="AN191" s="226">
        <v>0.86</v>
      </c>
      <c r="AO191" s="226">
        <v>0.86</v>
      </c>
      <c r="AP191" s="226">
        <v>0.86</v>
      </c>
      <c r="AQ191" s="226">
        <v>0.86</v>
      </c>
      <c r="AR191" s="226">
        <v>0.86</v>
      </c>
      <c r="AS191" s="226">
        <v>0.82</v>
      </c>
      <c r="AT191" s="226">
        <v>0.82</v>
      </c>
      <c r="AU191" s="226">
        <v>0.82</v>
      </c>
      <c r="AV191" s="226">
        <v>0.82</v>
      </c>
      <c r="AW191" s="226">
        <v>0.82</v>
      </c>
      <c r="AX191" s="226">
        <v>0.78</v>
      </c>
      <c r="AY191" s="226">
        <v>0.78</v>
      </c>
      <c r="AZ191" s="226">
        <v>0.78</v>
      </c>
      <c r="BA191" s="226">
        <v>0.78</v>
      </c>
      <c r="BB191" s="226">
        <v>0.78</v>
      </c>
      <c r="BC191" s="226">
        <v>0.73</v>
      </c>
      <c r="BD191" s="226">
        <v>0.73</v>
      </c>
      <c r="BE191" s="226">
        <v>0.73</v>
      </c>
      <c r="BF191" s="226">
        <v>0.73</v>
      </c>
      <c r="BG191" s="226">
        <v>0.73</v>
      </c>
      <c r="BH191" s="226">
        <v>0.68</v>
      </c>
      <c r="BI191" s="226">
        <v>0.68</v>
      </c>
      <c r="BJ191" s="226">
        <v>0.68</v>
      </c>
      <c r="BK191" s="226">
        <v>0.68</v>
      </c>
      <c r="BL191" s="226">
        <v>0.68</v>
      </c>
      <c r="BM191" s="226">
        <v>0.4</v>
      </c>
      <c r="BN191" s="226">
        <v>0.4</v>
      </c>
      <c r="BO191" s="226">
        <v>0.4</v>
      </c>
      <c r="BP191" s="226">
        <v>0.4</v>
      </c>
      <c r="BQ191" s="226">
        <v>0.4</v>
      </c>
      <c r="BR191" s="226">
        <v>0.4</v>
      </c>
      <c r="BS191" s="226">
        <v>0.4</v>
      </c>
      <c r="BT191" s="226">
        <v>0.4</v>
      </c>
      <c r="BU191" s="226">
        <v>0.4</v>
      </c>
      <c r="BV191" s="226">
        <v>0.4</v>
      </c>
      <c r="BW191" s="226">
        <v>0.4</v>
      </c>
      <c r="BX191" s="226">
        <v>0.4</v>
      </c>
      <c r="BY191" s="226">
        <v>0.4</v>
      </c>
      <c r="BZ191" s="226">
        <v>0.4</v>
      </c>
      <c r="CA191" s="226">
        <v>0.4</v>
      </c>
    </row>
    <row r="192" spans="1:79">
      <c r="A192" s="227">
        <v>27</v>
      </c>
      <c r="B192" s="226">
        <v>1</v>
      </c>
      <c r="C192" s="226">
        <v>1</v>
      </c>
      <c r="D192" s="226">
        <v>1</v>
      </c>
      <c r="E192" s="226">
        <v>1</v>
      </c>
      <c r="F192" s="226">
        <v>1</v>
      </c>
      <c r="G192" s="226">
        <v>1</v>
      </c>
      <c r="H192" s="226">
        <v>1</v>
      </c>
      <c r="I192" s="226">
        <v>1</v>
      </c>
      <c r="J192" s="226">
        <v>1</v>
      </c>
      <c r="K192" s="226">
        <v>1</v>
      </c>
      <c r="L192" s="226">
        <v>1</v>
      </c>
      <c r="M192" s="226">
        <v>1</v>
      </c>
      <c r="N192" s="226">
        <v>1</v>
      </c>
      <c r="O192" s="226">
        <v>1</v>
      </c>
      <c r="P192" s="226"/>
      <c r="Q192" s="226">
        <v>1</v>
      </c>
      <c r="R192" s="226">
        <v>1</v>
      </c>
      <c r="S192" s="226">
        <v>0.98</v>
      </c>
      <c r="T192" s="226">
        <v>0.98</v>
      </c>
      <c r="U192" s="226"/>
      <c r="V192" s="226">
        <v>0.98</v>
      </c>
      <c r="W192" s="226">
        <v>0.98</v>
      </c>
      <c r="X192" s="226">
        <v>0.98</v>
      </c>
      <c r="Y192" s="226">
        <v>0.96</v>
      </c>
      <c r="Z192" s="226">
        <v>0.96</v>
      </c>
      <c r="AA192" s="226">
        <v>0.96</v>
      </c>
      <c r="AB192" s="226">
        <v>0.96</v>
      </c>
      <c r="AC192" s="226">
        <v>0.96</v>
      </c>
      <c r="AD192" s="226">
        <v>0.93</v>
      </c>
      <c r="AE192" s="226">
        <v>0.93</v>
      </c>
      <c r="AF192" s="226">
        <v>0.93</v>
      </c>
      <c r="AG192" s="226">
        <v>0.93</v>
      </c>
      <c r="AH192" s="226">
        <v>0.93</v>
      </c>
      <c r="AI192" s="226">
        <v>0.9</v>
      </c>
      <c r="AJ192" s="226">
        <v>0.9</v>
      </c>
      <c r="AK192" s="226">
        <v>0.9</v>
      </c>
      <c r="AL192" s="226">
        <v>0.9</v>
      </c>
      <c r="AM192" s="226">
        <v>0.9</v>
      </c>
      <c r="AN192" s="226">
        <v>0.86</v>
      </c>
      <c r="AO192" s="226">
        <v>0.86</v>
      </c>
      <c r="AP192" s="226">
        <v>0.86</v>
      </c>
      <c r="AQ192" s="226">
        <v>0.86</v>
      </c>
      <c r="AR192" s="226">
        <v>0.86</v>
      </c>
      <c r="AS192" s="226">
        <v>0.82</v>
      </c>
      <c r="AT192" s="226">
        <v>0.82</v>
      </c>
      <c r="AU192" s="226">
        <v>0.82</v>
      </c>
      <c r="AV192" s="226">
        <v>0.82</v>
      </c>
      <c r="AW192" s="226">
        <v>0.82</v>
      </c>
      <c r="AX192" s="226">
        <v>0.78</v>
      </c>
      <c r="AY192" s="226">
        <v>0.78</v>
      </c>
      <c r="AZ192" s="226">
        <v>0.78</v>
      </c>
      <c r="BA192" s="226">
        <v>0.78</v>
      </c>
      <c r="BB192" s="226">
        <v>0.78</v>
      </c>
      <c r="BC192" s="226">
        <v>0.73</v>
      </c>
      <c r="BD192" s="226">
        <v>0.73</v>
      </c>
      <c r="BE192" s="226">
        <v>0.73</v>
      </c>
      <c r="BF192" s="226">
        <v>0.73</v>
      </c>
      <c r="BG192" s="226">
        <v>0.73</v>
      </c>
      <c r="BH192" s="226">
        <v>0.68</v>
      </c>
      <c r="BI192" s="226">
        <v>0.68</v>
      </c>
      <c r="BJ192" s="226">
        <v>0.68</v>
      </c>
      <c r="BK192" s="226">
        <v>0.68</v>
      </c>
      <c r="BL192" s="226">
        <v>0.68</v>
      </c>
      <c r="BM192" s="226">
        <v>0.4</v>
      </c>
      <c r="BN192" s="226">
        <v>0.4</v>
      </c>
      <c r="BO192" s="226">
        <v>0.4</v>
      </c>
      <c r="BP192" s="226">
        <v>0.4</v>
      </c>
      <c r="BQ192" s="226">
        <v>0.4</v>
      </c>
      <c r="BR192" s="226">
        <v>0.4</v>
      </c>
      <c r="BS192" s="226">
        <v>0.4</v>
      </c>
      <c r="BT192" s="226">
        <v>0.4</v>
      </c>
      <c r="BU192" s="226">
        <v>0.4</v>
      </c>
      <c r="BV192" s="226">
        <v>0.4</v>
      </c>
      <c r="BW192" s="226">
        <v>0.4</v>
      </c>
      <c r="BX192" s="226">
        <v>0.4</v>
      </c>
      <c r="BY192" s="226">
        <v>0.4</v>
      </c>
      <c r="BZ192" s="226">
        <v>0.4</v>
      </c>
      <c r="CA192" s="226">
        <v>0.4</v>
      </c>
    </row>
    <row r="193" spans="1:79">
      <c r="A193" s="227">
        <v>28</v>
      </c>
      <c r="B193" s="226">
        <v>1</v>
      </c>
      <c r="C193" s="226">
        <v>1</v>
      </c>
      <c r="D193" s="226">
        <v>1</v>
      </c>
      <c r="E193" s="226">
        <v>1</v>
      </c>
      <c r="F193" s="226">
        <v>1</v>
      </c>
      <c r="G193" s="226">
        <v>1</v>
      </c>
      <c r="H193" s="226">
        <v>1</v>
      </c>
      <c r="I193" s="226">
        <v>1</v>
      </c>
      <c r="J193" s="226">
        <v>1</v>
      </c>
      <c r="K193" s="226">
        <v>1</v>
      </c>
      <c r="L193" s="226">
        <v>1</v>
      </c>
      <c r="M193" s="226">
        <v>1</v>
      </c>
      <c r="N193" s="226">
        <v>1</v>
      </c>
      <c r="O193" s="226">
        <v>1</v>
      </c>
      <c r="P193" s="226"/>
      <c r="Q193" s="226">
        <v>1</v>
      </c>
      <c r="R193" s="226">
        <v>1</v>
      </c>
      <c r="S193" s="226">
        <v>0.98</v>
      </c>
      <c r="T193" s="226">
        <v>0.98</v>
      </c>
      <c r="U193" s="226"/>
      <c r="V193" s="226">
        <v>0.98</v>
      </c>
      <c r="W193" s="226">
        <v>0.98</v>
      </c>
      <c r="X193" s="226">
        <v>0.98</v>
      </c>
      <c r="Y193" s="226">
        <v>0.96</v>
      </c>
      <c r="Z193" s="226">
        <v>0.96</v>
      </c>
      <c r="AA193" s="226">
        <v>0.96</v>
      </c>
      <c r="AB193" s="226">
        <v>0.96</v>
      </c>
      <c r="AC193" s="226">
        <v>0.96</v>
      </c>
      <c r="AD193" s="226">
        <v>0.93</v>
      </c>
      <c r="AE193" s="226">
        <v>0.93</v>
      </c>
      <c r="AF193" s="226">
        <v>0.93</v>
      </c>
      <c r="AG193" s="226">
        <v>0.93</v>
      </c>
      <c r="AH193" s="226">
        <v>0.93</v>
      </c>
      <c r="AI193" s="226">
        <v>0.9</v>
      </c>
      <c r="AJ193" s="226">
        <v>0.9</v>
      </c>
      <c r="AK193" s="226">
        <v>0.9</v>
      </c>
      <c r="AL193" s="226">
        <v>0.9</v>
      </c>
      <c r="AM193" s="226">
        <v>0.9</v>
      </c>
      <c r="AN193" s="226">
        <v>0.86</v>
      </c>
      <c r="AO193" s="226">
        <v>0.86</v>
      </c>
      <c r="AP193" s="226">
        <v>0.86</v>
      </c>
      <c r="AQ193" s="226">
        <v>0.86</v>
      </c>
      <c r="AR193" s="226">
        <v>0.86</v>
      </c>
      <c r="AS193" s="226">
        <v>0.82</v>
      </c>
      <c r="AT193" s="226">
        <v>0.82</v>
      </c>
      <c r="AU193" s="226">
        <v>0.82</v>
      </c>
      <c r="AV193" s="226">
        <v>0.82</v>
      </c>
      <c r="AW193" s="226">
        <v>0.82</v>
      </c>
      <c r="AX193" s="226">
        <v>0.78</v>
      </c>
      <c r="AY193" s="226">
        <v>0.78</v>
      </c>
      <c r="AZ193" s="226">
        <v>0.78</v>
      </c>
      <c r="BA193" s="226">
        <v>0.78</v>
      </c>
      <c r="BB193" s="226">
        <v>0.78</v>
      </c>
      <c r="BC193" s="226">
        <v>0.73</v>
      </c>
      <c r="BD193" s="226">
        <v>0.73</v>
      </c>
      <c r="BE193" s="226">
        <v>0.73</v>
      </c>
      <c r="BF193" s="226">
        <v>0.73</v>
      </c>
      <c r="BG193" s="226">
        <v>0.73</v>
      </c>
      <c r="BH193" s="226">
        <v>0.68</v>
      </c>
      <c r="BI193" s="226">
        <v>0.68</v>
      </c>
      <c r="BJ193" s="226">
        <v>0.68</v>
      </c>
      <c r="BK193" s="226">
        <v>0.68</v>
      </c>
      <c r="BL193" s="226">
        <v>0.68</v>
      </c>
      <c r="BM193" s="226">
        <v>0.4</v>
      </c>
      <c r="BN193" s="226">
        <v>0.4</v>
      </c>
      <c r="BO193" s="226">
        <v>0.4</v>
      </c>
      <c r="BP193" s="226">
        <v>0.4</v>
      </c>
      <c r="BQ193" s="226">
        <v>0.4</v>
      </c>
      <c r="BR193" s="226">
        <v>0.4</v>
      </c>
      <c r="BS193" s="226">
        <v>0.4</v>
      </c>
      <c r="BT193" s="226">
        <v>0.4</v>
      </c>
      <c r="BU193" s="226">
        <v>0.4</v>
      </c>
      <c r="BV193" s="226">
        <v>0.4</v>
      </c>
      <c r="BW193" s="226">
        <v>0.4</v>
      </c>
      <c r="BX193" s="226">
        <v>0.4</v>
      </c>
      <c r="BY193" s="226">
        <v>0.4</v>
      </c>
      <c r="BZ193" s="226">
        <v>0.4</v>
      </c>
      <c r="CA193" s="226">
        <v>0.4</v>
      </c>
    </row>
    <row r="194" spans="1:79">
      <c r="A194" s="227">
        <v>29</v>
      </c>
      <c r="B194" s="226">
        <v>1</v>
      </c>
      <c r="C194" s="226">
        <v>1</v>
      </c>
      <c r="D194" s="226">
        <v>1</v>
      </c>
      <c r="E194" s="226">
        <v>1</v>
      </c>
      <c r="F194" s="226">
        <v>1</v>
      </c>
      <c r="G194" s="226">
        <v>1</v>
      </c>
      <c r="H194" s="226">
        <v>1</v>
      </c>
      <c r="I194" s="226">
        <v>1</v>
      </c>
      <c r="J194" s="226">
        <v>1</v>
      </c>
      <c r="K194" s="226">
        <v>1</v>
      </c>
      <c r="L194" s="226">
        <v>1</v>
      </c>
      <c r="M194" s="226">
        <v>1</v>
      </c>
      <c r="N194" s="226">
        <v>1</v>
      </c>
      <c r="O194" s="226">
        <v>1</v>
      </c>
      <c r="P194" s="226"/>
      <c r="Q194" s="226">
        <v>1</v>
      </c>
      <c r="R194" s="226">
        <v>1</v>
      </c>
      <c r="S194" s="226">
        <v>0.98</v>
      </c>
      <c r="T194" s="226">
        <v>0.98</v>
      </c>
      <c r="U194" s="226"/>
      <c r="V194" s="226">
        <v>0.98</v>
      </c>
      <c r="W194" s="226">
        <v>0.98</v>
      </c>
      <c r="X194" s="226">
        <v>0.98</v>
      </c>
      <c r="Y194" s="226">
        <v>0.96</v>
      </c>
      <c r="Z194" s="226">
        <v>0.96</v>
      </c>
      <c r="AA194" s="226">
        <v>0.96</v>
      </c>
      <c r="AB194" s="226">
        <v>0.96</v>
      </c>
      <c r="AC194" s="226">
        <v>0.96</v>
      </c>
      <c r="AD194" s="226">
        <v>0.93</v>
      </c>
      <c r="AE194" s="226">
        <v>0.93</v>
      </c>
      <c r="AF194" s="226">
        <v>0.93</v>
      </c>
      <c r="AG194" s="226">
        <v>0.93</v>
      </c>
      <c r="AH194" s="226">
        <v>0.93</v>
      </c>
      <c r="AI194" s="226">
        <v>0.9</v>
      </c>
      <c r="AJ194" s="226">
        <v>0.9</v>
      </c>
      <c r="AK194" s="226">
        <v>0.9</v>
      </c>
      <c r="AL194" s="226">
        <v>0.9</v>
      </c>
      <c r="AM194" s="226">
        <v>0.9</v>
      </c>
      <c r="AN194" s="226">
        <v>0.86</v>
      </c>
      <c r="AO194" s="226">
        <v>0.86</v>
      </c>
      <c r="AP194" s="226">
        <v>0.86</v>
      </c>
      <c r="AQ194" s="226">
        <v>0.86</v>
      </c>
      <c r="AR194" s="226">
        <v>0.86</v>
      </c>
      <c r="AS194" s="226">
        <v>0.82</v>
      </c>
      <c r="AT194" s="226">
        <v>0.82</v>
      </c>
      <c r="AU194" s="226">
        <v>0.82</v>
      </c>
      <c r="AV194" s="226">
        <v>0.82</v>
      </c>
      <c r="AW194" s="226">
        <v>0.82</v>
      </c>
      <c r="AX194" s="226">
        <v>0.78</v>
      </c>
      <c r="AY194" s="226">
        <v>0.78</v>
      </c>
      <c r="AZ194" s="226">
        <v>0.78</v>
      </c>
      <c r="BA194" s="226">
        <v>0.78</v>
      </c>
      <c r="BB194" s="226">
        <v>0.78</v>
      </c>
      <c r="BC194" s="226">
        <v>0.73</v>
      </c>
      <c r="BD194" s="226">
        <v>0.73</v>
      </c>
      <c r="BE194" s="226">
        <v>0.73</v>
      </c>
      <c r="BF194" s="226">
        <v>0.73</v>
      </c>
      <c r="BG194" s="226">
        <v>0.73</v>
      </c>
      <c r="BH194" s="226">
        <v>0.68</v>
      </c>
      <c r="BI194" s="226">
        <v>0.68</v>
      </c>
      <c r="BJ194" s="226">
        <v>0.68</v>
      </c>
      <c r="BK194" s="226">
        <v>0.68</v>
      </c>
      <c r="BL194" s="226">
        <v>0.68</v>
      </c>
      <c r="BM194" s="226">
        <v>0.4</v>
      </c>
      <c r="BN194" s="226">
        <v>0.4</v>
      </c>
      <c r="BO194" s="226">
        <v>0.4</v>
      </c>
      <c r="BP194" s="226">
        <v>0.4</v>
      </c>
      <c r="BQ194" s="226">
        <v>0.4</v>
      </c>
      <c r="BR194" s="226">
        <v>0.4</v>
      </c>
      <c r="BS194" s="226">
        <v>0.4</v>
      </c>
      <c r="BT194" s="226">
        <v>0.4</v>
      </c>
      <c r="BU194" s="226">
        <v>0.4</v>
      </c>
      <c r="BV194" s="226">
        <v>0.4</v>
      </c>
      <c r="BW194" s="226">
        <v>0.4</v>
      </c>
      <c r="BX194" s="226">
        <v>0.4</v>
      </c>
      <c r="BY194" s="226">
        <v>0.4</v>
      </c>
      <c r="BZ194" s="226">
        <v>0.4</v>
      </c>
      <c r="CA194" s="226">
        <v>0.4</v>
      </c>
    </row>
    <row r="195" spans="1:79">
      <c r="A195" s="227">
        <v>30</v>
      </c>
      <c r="B195" s="226">
        <v>1</v>
      </c>
      <c r="C195" s="226">
        <v>1</v>
      </c>
      <c r="D195" s="226">
        <v>1</v>
      </c>
      <c r="E195" s="226">
        <v>1</v>
      </c>
      <c r="F195" s="226">
        <v>1</v>
      </c>
      <c r="G195" s="226">
        <v>1</v>
      </c>
      <c r="H195" s="226">
        <v>1</v>
      </c>
      <c r="I195" s="226">
        <v>1</v>
      </c>
      <c r="J195" s="226">
        <v>1</v>
      </c>
      <c r="K195" s="226">
        <v>1</v>
      </c>
      <c r="L195" s="226">
        <v>1</v>
      </c>
      <c r="M195" s="226">
        <v>1</v>
      </c>
      <c r="N195" s="226">
        <v>1</v>
      </c>
      <c r="O195" s="226">
        <v>1</v>
      </c>
      <c r="P195" s="226"/>
      <c r="Q195" s="226">
        <v>1</v>
      </c>
      <c r="R195" s="226">
        <v>1</v>
      </c>
      <c r="S195" s="226">
        <v>0.98</v>
      </c>
      <c r="T195" s="226">
        <v>0.98</v>
      </c>
      <c r="U195" s="226"/>
      <c r="V195" s="226">
        <v>0.98</v>
      </c>
      <c r="W195" s="226">
        <v>0.98</v>
      </c>
      <c r="X195" s="226">
        <v>0.98</v>
      </c>
      <c r="Y195" s="226">
        <v>0.96</v>
      </c>
      <c r="Z195" s="226">
        <v>0.96</v>
      </c>
      <c r="AA195" s="226">
        <v>0.96</v>
      </c>
      <c r="AB195" s="226">
        <v>0.96</v>
      </c>
      <c r="AC195" s="226">
        <v>0.96</v>
      </c>
      <c r="AD195" s="226">
        <v>0.93</v>
      </c>
      <c r="AE195" s="226">
        <v>0.93</v>
      </c>
      <c r="AF195" s="226">
        <v>0.93</v>
      </c>
      <c r="AG195" s="226">
        <v>0.93</v>
      </c>
      <c r="AH195" s="226">
        <v>0.93</v>
      </c>
      <c r="AI195" s="226">
        <v>0.9</v>
      </c>
      <c r="AJ195" s="226">
        <v>0.9</v>
      </c>
      <c r="AK195" s="226">
        <v>0.9</v>
      </c>
      <c r="AL195" s="226">
        <v>0.9</v>
      </c>
      <c r="AM195" s="226">
        <v>0.9</v>
      </c>
      <c r="AN195" s="226">
        <v>0.86</v>
      </c>
      <c r="AO195" s="226">
        <v>0.86</v>
      </c>
      <c r="AP195" s="226">
        <v>0.86</v>
      </c>
      <c r="AQ195" s="226">
        <v>0.86</v>
      </c>
      <c r="AR195" s="226">
        <v>0.86</v>
      </c>
      <c r="AS195" s="226">
        <v>0.82</v>
      </c>
      <c r="AT195" s="226">
        <v>0.82</v>
      </c>
      <c r="AU195" s="226">
        <v>0.82</v>
      </c>
      <c r="AV195" s="226">
        <v>0.82</v>
      </c>
      <c r="AW195" s="226">
        <v>0.82</v>
      </c>
      <c r="AX195" s="226">
        <v>0.78</v>
      </c>
      <c r="AY195" s="226">
        <v>0.78</v>
      </c>
      <c r="AZ195" s="226">
        <v>0.78</v>
      </c>
      <c r="BA195" s="226">
        <v>0.78</v>
      </c>
      <c r="BB195" s="226">
        <v>0.78</v>
      </c>
      <c r="BC195" s="226">
        <v>0.73</v>
      </c>
      <c r="BD195" s="226">
        <v>0.73</v>
      </c>
      <c r="BE195" s="226">
        <v>0.73</v>
      </c>
      <c r="BF195" s="226">
        <v>0.73</v>
      </c>
      <c r="BG195" s="226">
        <v>0.73</v>
      </c>
      <c r="BH195" s="226">
        <v>0.68</v>
      </c>
      <c r="BI195" s="226">
        <v>0.68</v>
      </c>
      <c r="BJ195" s="226">
        <v>0.68</v>
      </c>
      <c r="BK195" s="226">
        <v>0.68</v>
      </c>
      <c r="BL195" s="226">
        <v>0.68</v>
      </c>
      <c r="BM195" s="226">
        <v>0.4</v>
      </c>
      <c r="BN195" s="226">
        <v>0.4</v>
      </c>
      <c r="BO195" s="226">
        <v>0.4</v>
      </c>
      <c r="BP195" s="226">
        <v>0.4</v>
      </c>
      <c r="BQ195" s="226">
        <v>0.4</v>
      </c>
      <c r="BR195" s="226">
        <v>0.4</v>
      </c>
      <c r="BS195" s="226">
        <v>0.4</v>
      </c>
      <c r="BT195" s="226">
        <v>0.4</v>
      </c>
      <c r="BU195" s="226">
        <v>0.4</v>
      </c>
      <c r="BV195" s="226">
        <v>0.4</v>
      </c>
      <c r="BW195" s="226">
        <v>0.4</v>
      </c>
      <c r="BX195" s="226">
        <v>0.4</v>
      </c>
      <c r="BY195" s="226">
        <v>0.4</v>
      </c>
      <c r="BZ195" s="226">
        <v>0.4</v>
      </c>
      <c r="CA195" s="226">
        <v>0.4</v>
      </c>
    </row>
    <row r="196" spans="1:79">
      <c r="A196" s="227">
        <v>31</v>
      </c>
      <c r="B196" s="226">
        <v>1</v>
      </c>
      <c r="C196" s="226">
        <v>1</v>
      </c>
      <c r="D196" s="226">
        <v>1</v>
      </c>
      <c r="E196" s="226">
        <v>1</v>
      </c>
      <c r="F196" s="226">
        <v>1</v>
      </c>
      <c r="G196" s="226">
        <v>1</v>
      </c>
      <c r="H196" s="226">
        <v>1</v>
      </c>
      <c r="I196" s="226">
        <v>1</v>
      </c>
      <c r="J196" s="226">
        <v>1</v>
      </c>
      <c r="K196" s="226">
        <v>1</v>
      </c>
      <c r="L196" s="226">
        <v>1</v>
      </c>
      <c r="M196" s="226">
        <v>1</v>
      </c>
      <c r="N196" s="226">
        <v>1</v>
      </c>
      <c r="O196" s="226">
        <v>1</v>
      </c>
      <c r="P196" s="226"/>
      <c r="Q196" s="226">
        <v>1</v>
      </c>
      <c r="R196" s="226">
        <v>1</v>
      </c>
      <c r="S196" s="226">
        <v>0.98</v>
      </c>
      <c r="T196" s="226">
        <v>0.98</v>
      </c>
      <c r="U196" s="226"/>
      <c r="V196" s="226">
        <v>0.98</v>
      </c>
      <c r="W196" s="226">
        <v>0.98</v>
      </c>
      <c r="X196" s="226">
        <v>0.98</v>
      </c>
      <c r="Y196" s="226">
        <v>0.94</v>
      </c>
      <c r="Z196" s="226">
        <v>0.94</v>
      </c>
      <c r="AA196" s="226">
        <v>0.94</v>
      </c>
      <c r="AB196" s="226">
        <v>0.94</v>
      </c>
      <c r="AC196" s="226">
        <v>0.94</v>
      </c>
      <c r="AD196" s="226">
        <v>0.91</v>
      </c>
      <c r="AE196" s="226">
        <v>0.91</v>
      </c>
      <c r="AF196" s="226">
        <v>0.91</v>
      </c>
      <c r="AG196" s="226">
        <v>0.91</v>
      </c>
      <c r="AH196" s="226">
        <v>0.91</v>
      </c>
      <c r="AI196" s="226">
        <v>0.87</v>
      </c>
      <c r="AJ196" s="226">
        <v>0.87</v>
      </c>
      <c r="AK196" s="226">
        <v>0.87</v>
      </c>
      <c r="AL196" s="226">
        <v>0.87</v>
      </c>
      <c r="AM196" s="226">
        <v>0.87</v>
      </c>
      <c r="AN196" s="226">
        <v>0.83</v>
      </c>
      <c r="AO196" s="226">
        <v>0.83</v>
      </c>
      <c r="AP196" s="226">
        <v>0.83</v>
      </c>
      <c r="AQ196" s="226">
        <v>0.83</v>
      </c>
      <c r="AR196" s="226">
        <v>0.83</v>
      </c>
      <c r="AS196" s="226">
        <v>0.79</v>
      </c>
      <c r="AT196" s="226">
        <v>0.79</v>
      </c>
      <c r="AU196" s="226">
        <v>0.79</v>
      </c>
      <c r="AV196" s="226">
        <v>0.79</v>
      </c>
      <c r="AW196" s="226">
        <v>0.79</v>
      </c>
      <c r="AX196" s="226">
        <v>0.74</v>
      </c>
      <c r="AY196" s="226">
        <v>0.74</v>
      </c>
      <c r="AZ196" s="226">
        <v>0.74</v>
      </c>
      <c r="BA196" s="226">
        <v>0.74</v>
      </c>
      <c r="BB196" s="226">
        <v>0.74</v>
      </c>
      <c r="BC196" s="226">
        <v>0.69</v>
      </c>
      <c r="BD196" s="226">
        <v>0.69</v>
      </c>
      <c r="BE196" s="226">
        <v>0.69</v>
      </c>
      <c r="BF196" s="226">
        <v>0.69</v>
      </c>
      <c r="BG196" s="226">
        <v>0.69</v>
      </c>
      <c r="BH196" s="226">
        <v>0.63</v>
      </c>
      <c r="BI196" s="226">
        <v>0.63</v>
      </c>
      <c r="BJ196" s="226">
        <v>0.63</v>
      </c>
      <c r="BK196" s="226">
        <v>0.63</v>
      </c>
      <c r="BL196" s="226">
        <v>0.63</v>
      </c>
      <c r="BM196" s="226">
        <v>0.4</v>
      </c>
      <c r="BN196" s="226">
        <v>0.4</v>
      </c>
      <c r="BO196" s="226">
        <v>0.4</v>
      </c>
      <c r="BP196" s="226">
        <v>0.4</v>
      </c>
      <c r="BQ196" s="226">
        <v>0.4</v>
      </c>
      <c r="BR196" s="226">
        <v>0.4</v>
      </c>
      <c r="BS196" s="226">
        <v>0.4</v>
      </c>
      <c r="BT196" s="226">
        <v>0.4</v>
      </c>
      <c r="BU196" s="226">
        <v>0.4</v>
      </c>
      <c r="BV196" s="226">
        <v>0.4</v>
      </c>
      <c r="BW196" s="226">
        <v>0.4</v>
      </c>
      <c r="BX196" s="226">
        <v>0.4</v>
      </c>
      <c r="BY196" s="226">
        <v>0.4</v>
      </c>
      <c r="BZ196" s="226">
        <v>0.4</v>
      </c>
      <c r="CA196" s="226">
        <v>0.4</v>
      </c>
    </row>
    <row r="197" spans="1:79">
      <c r="A197" s="227">
        <v>32</v>
      </c>
      <c r="B197" s="226">
        <v>1</v>
      </c>
      <c r="C197" s="226">
        <v>1</v>
      </c>
      <c r="D197" s="226">
        <v>1</v>
      </c>
      <c r="E197" s="226">
        <v>1</v>
      </c>
      <c r="F197" s="226">
        <v>1</v>
      </c>
      <c r="G197" s="226">
        <v>1</v>
      </c>
      <c r="H197" s="226">
        <v>1</v>
      </c>
      <c r="I197" s="226">
        <v>1</v>
      </c>
      <c r="J197" s="226">
        <v>1</v>
      </c>
      <c r="K197" s="226">
        <v>1</v>
      </c>
      <c r="L197" s="226">
        <v>1</v>
      </c>
      <c r="M197" s="226">
        <v>1</v>
      </c>
      <c r="N197" s="226">
        <v>1</v>
      </c>
      <c r="O197" s="226">
        <v>1</v>
      </c>
      <c r="P197" s="226"/>
      <c r="Q197" s="226">
        <v>1</v>
      </c>
      <c r="R197" s="226">
        <v>1</v>
      </c>
      <c r="S197" s="226">
        <v>0.98</v>
      </c>
      <c r="T197" s="226">
        <v>0.98</v>
      </c>
      <c r="U197" s="226"/>
      <c r="V197" s="226">
        <v>0.98</v>
      </c>
      <c r="W197" s="226">
        <v>0.98</v>
      </c>
      <c r="X197" s="226">
        <v>0.98</v>
      </c>
      <c r="Y197" s="226">
        <v>0.94</v>
      </c>
      <c r="Z197" s="226">
        <v>0.94</v>
      </c>
      <c r="AA197" s="226">
        <v>0.94</v>
      </c>
      <c r="AB197" s="226">
        <v>0.94</v>
      </c>
      <c r="AC197" s="226">
        <v>0.94</v>
      </c>
      <c r="AD197" s="226">
        <v>0.91</v>
      </c>
      <c r="AE197" s="226">
        <v>0.91</v>
      </c>
      <c r="AF197" s="226">
        <v>0.91</v>
      </c>
      <c r="AG197" s="226">
        <v>0.91</v>
      </c>
      <c r="AH197" s="226">
        <v>0.91</v>
      </c>
      <c r="AI197" s="226">
        <v>0.87</v>
      </c>
      <c r="AJ197" s="226">
        <v>0.87</v>
      </c>
      <c r="AK197" s="226">
        <v>0.87</v>
      </c>
      <c r="AL197" s="226">
        <v>0.87</v>
      </c>
      <c r="AM197" s="226">
        <v>0.87</v>
      </c>
      <c r="AN197" s="226">
        <v>0.83</v>
      </c>
      <c r="AO197" s="226">
        <v>0.83</v>
      </c>
      <c r="AP197" s="226">
        <v>0.83</v>
      </c>
      <c r="AQ197" s="226">
        <v>0.83</v>
      </c>
      <c r="AR197" s="226">
        <v>0.83</v>
      </c>
      <c r="AS197" s="226">
        <v>0.79</v>
      </c>
      <c r="AT197" s="226">
        <v>0.79</v>
      </c>
      <c r="AU197" s="226">
        <v>0.79</v>
      </c>
      <c r="AV197" s="226">
        <v>0.79</v>
      </c>
      <c r="AW197" s="226">
        <v>0.79</v>
      </c>
      <c r="AX197" s="226">
        <v>0.74</v>
      </c>
      <c r="AY197" s="226">
        <v>0.74</v>
      </c>
      <c r="AZ197" s="226">
        <v>0.74</v>
      </c>
      <c r="BA197" s="226">
        <v>0.74</v>
      </c>
      <c r="BB197" s="226">
        <v>0.74</v>
      </c>
      <c r="BC197" s="226">
        <v>0.69</v>
      </c>
      <c r="BD197" s="226">
        <v>0.69</v>
      </c>
      <c r="BE197" s="226">
        <v>0.69</v>
      </c>
      <c r="BF197" s="226">
        <v>0.69</v>
      </c>
      <c r="BG197" s="226">
        <v>0.69</v>
      </c>
      <c r="BH197" s="226">
        <v>0.63</v>
      </c>
      <c r="BI197" s="226">
        <v>0.63</v>
      </c>
      <c r="BJ197" s="226">
        <v>0.63</v>
      </c>
      <c r="BK197" s="226">
        <v>0.63</v>
      </c>
      <c r="BL197" s="226">
        <v>0.63</v>
      </c>
      <c r="BM197" s="226">
        <v>0.4</v>
      </c>
      <c r="BN197" s="226">
        <v>0.4</v>
      </c>
      <c r="BO197" s="226">
        <v>0.4</v>
      </c>
      <c r="BP197" s="226">
        <v>0.4</v>
      </c>
      <c r="BQ197" s="226">
        <v>0.4</v>
      </c>
      <c r="BR197" s="226">
        <v>0.4</v>
      </c>
      <c r="BS197" s="226">
        <v>0.4</v>
      </c>
      <c r="BT197" s="226">
        <v>0.4</v>
      </c>
      <c r="BU197" s="226">
        <v>0.4</v>
      </c>
      <c r="BV197" s="226">
        <v>0.4</v>
      </c>
      <c r="BW197" s="226">
        <v>0.4</v>
      </c>
      <c r="BX197" s="226">
        <v>0.4</v>
      </c>
      <c r="BY197" s="226">
        <v>0.4</v>
      </c>
      <c r="BZ197" s="226">
        <v>0.4</v>
      </c>
      <c r="CA197" s="226">
        <v>0.4</v>
      </c>
    </row>
    <row r="198" spans="1:79">
      <c r="A198" s="227">
        <v>33</v>
      </c>
      <c r="B198" s="226">
        <v>1</v>
      </c>
      <c r="C198" s="226">
        <v>1</v>
      </c>
      <c r="D198" s="226">
        <v>1</v>
      </c>
      <c r="E198" s="226">
        <v>1</v>
      </c>
      <c r="F198" s="226">
        <v>1</v>
      </c>
      <c r="G198" s="226">
        <v>1</v>
      </c>
      <c r="H198" s="226">
        <v>1</v>
      </c>
      <c r="I198" s="226">
        <v>1</v>
      </c>
      <c r="J198" s="226">
        <v>1</v>
      </c>
      <c r="K198" s="226">
        <v>1</v>
      </c>
      <c r="L198" s="226">
        <v>1</v>
      </c>
      <c r="M198" s="226">
        <v>1</v>
      </c>
      <c r="N198" s="226">
        <v>1</v>
      </c>
      <c r="O198" s="226">
        <v>1</v>
      </c>
      <c r="P198" s="226"/>
      <c r="Q198" s="226">
        <v>1</v>
      </c>
      <c r="R198" s="226">
        <v>1</v>
      </c>
      <c r="S198" s="226">
        <v>0.98</v>
      </c>
      <c r="T198" s="226">
        <v>0.98</v>
      </c>
      <c r="U198" s="226"/>
      <c r="V198" s="226">
        <v>0.98</v>
      </c>
      <c r="W198" s="226">
        <v>0.98</v>
      </c>
      <c r="X198" s="226">
        <v>0.98</v>
      </c>
      <c r="Y198" s="226">
        <v>0.94</v>
      </c>
      <c r="Z198" s="226">
        <v>0.94</v>
      </c>
      <c r="AA198" s="226">
        <v>0.94</v>
      </c>
      <c r="AB198" s="226">
        <v>0.94</v>
      </c>
      <c r="AC198" s="226">
        <v>0.94</v>
      </c>
      <c r="AD198" s="226">
        <v>0.91</v>
      </c>
      <c r="AE198" s="226">
        <v>0.91</v>
      </c>
      <c r="AF198" s="226">
        <v>0.91</v>
      </c>
      <c r="AG198" s="226">
        <v>0.91</v>
      </c>
      <c r="AH198" s="226">
        <v>0.91</v>
      </c>
      <c r="AI198" s="226">
        <v>0.87</v>
      </c>
      <c r="AJ198" s="226">
        <v>0.87</v>
      </c>
      <c r="AK198" s="226">
        <v>0.87</v>
      </c>
      <c r="AL198" s="226">
        <v>0.87</v>
      </c>
      <c r="AM198" s="226">
        <v>0.87</v>
      </c>
      <c r="AN198" s="226">
        <v>0.83</v>
      </c>
      <c r="AO198" s="226">
        <v>0.83</v>
      </c>
      <c r="AP198" s="226">
        <v>0.83</v>
      </c>
      <c r="AQ198" s="226">
        <v>0.83</v>
      </c>
      <c r="AR198" s="226">
        <v>0.83</v>
      </c>
      <c r="AS198" s="226">
        <v>0.79</v>
      </c>
      <c r="AT198" s="226">
        <v>0.79</v>
      </c>
      <c r="AU198" s="226">
        <v>0.79</v>
      </c>
      <c r="AV198" s="226">
        <v>0.79</v>
      </c>
      <c r="AW198" s="226">
        <v>0.79</v>
      </c>
      <c r="AX198" s="226">
        <v>0.74</v>
      </c>
      <c r="AY198" s="226">
        <v>0.74</v>
      </c>
      <c r="AZ198" s="226">
        <v>0.74</v>
      </c>
      <c r="BA198" s="226">
        <v>0.74</v>
      </c>
      <c r="BB198" s="226">
        <v>0.74</v>
      </c>
      <c r="BC198" s="226">
        <v>0.69</v>
      </c>
      <c r="BD198" s="226">
        <v>0.69</v>
      </c>
      <c r="BE198" s="226">
        <v>0.69</v>
      </c>
      <c r="BF198" s="226">
        <v>0.69</v>
      </c>
      <c r="BG198" s="226">
        <v>0.69</v>
      </c>
      <c r="BH198" s="226">
        <v>0.63</v>
      </c>
      <c r="BI198" s="226">
        <v>0.63</v>
      </c>
      <c r="BJ198" s="226">
        <v>0.63</v>
      </c>
      <c r="BK198" s="226">
        <v>0.63</v>
      </c>
      <c r="BL198" s="226">
        <v>0.63</v>
      </c>
      <c r="BM198" s="226">
        <v>0.4</v>
      </c>
      <c r="BN198" s="226">
        <v>0.4</v>
      </c>
      <c r="BO198" s="226">
        <v>0.4</v>
      </c>
      <c r="BP198" s="226">
        <v>0.4</v>
      </c>
      <c r="BQ198" s="226">
        <v>0.4</v>
      </c>
      <c r="BR198" s="226">
        <v>0.4</v>
      </c>
      <c r="BS198" s="226">
        <v>0.4</v>
      </c>
      <c r="BT198" s="226">
        <v>0.4</v>
      </c>
      <c r="BU198" s="226">
        <v>0.4</v>
      </c>
      <c r="BV198" s="226">
        <v>0.4</v>
      </c>
      <c r="BW198" s="226">
        <v>0.4</v>
      </c>
      <c r="BX198" s="226">
        <v>0.4</v>
      </c>
      <c r="BY198" s="226">
        <v>0.4</v>
      </c>
      <c r="BZ198" s="226">
        <v>0.4</v>
      </c>
      <c r="CA198" s="226">
        <v>0.4</v>
      </c>
    </row>
    <row r="199" spans="1:79">
      <c r="A199" s="227">
        <v>34</v>
      </c>
      <c r="B199" s="226">
        <v>1</v>
      </c>
      <c r="C199" s="226">
        <v>1</v>
      </c>
      <c r="D199" s="226">
        <v>1</v>
      </c>
      <c r="E199" s="226">
        <v>1</v>
      </c>
      <c r="F199" s="226">
        <v>1</v>
      </c>
      <c r="G199" s="226">
        <v>1</v>
      </c>
      <c r="H199" s="226">
        <v>1</v>
      </c>
      <c r="I199" s="226">
        <v>1</v>
      </c>
      <c r="J199" s="226">
        <v>1</v>
      </c>
      <c r="K199" s="226">
        <v>1</v>
      </c>
      <c r="L199" s="226">
        <v>1</v>
      </c>
      <c r="M199" s="226">
        <v>1</v>
      </c>
      <c r="N199" s="226">
        <v>1</v>
      </c>
      <c r="O199" s="226">
        <v>1</v>
      </c>
      <c r="P199" s="226"/>
      <c r="Q199" s="226">
        <v>1</v>
      </c>
      <c r="R199" s="226">
        <v>1</v>
      </c>
      <c r="S199" s="226">
        <v>0.98</v>
      </c>
      <c r="T199" s="226">
        <v>0.98</v>
      </c>
      <c r="U199" s="226"/>
      <c r="V199" s="226">
        <v>0.98</v>
      </c>
      <c r="W199" s="226">
        <v>0.98</v>
      </c>
      <c r="X199" s="226">
        <v>0.98</v>
      </c>
      <c r="Y199" s="226">
        <v>0.94</v>
      </c>
      <c r="Z199" s="226">
        <v>0.94</v>
      </c>
      <c r="AA199" s="226">
        <v>0.94</v>
      </c>
      <c r="AB199" s="226">
        <v>0.94</v>
      </c>
      <c r="AC199" s="226">
        <v>0.94</v>
      </c>
      <c r="AD199" s="226">
        <v>0.91</v>
      </c>
      <c r="AE199" s="226">
        <v>0.91</v>
      </c>
      <c r="AF199" s="226">
        <v>0.91</v>
      </c>
      <c r="AG199" s="226">
        <v>0.91</v>
      </c>
      <c r="AH199" s="226">
        <v>0.91</v>
      </c>
      <c r="AI199" s="226">
        <v>0.87</v>
      </c>
      <c r="AJ199" s="226">
        <v>0.87</v>
      </c>
      <c r="AK199" s="226">
        <v>0.87</v>
      </c>
      <c r="AL199" s="226">
        <v>0.87</v>
      </c>
      <c r="AM199" s="226">
        <v>0.87</v>
      </c>
      <c r="AN199" s="226">
        <v>0.83</v>
      </c>
      <c r="AO199" s="226">
        <v>0.83</v>
      </c>
      <c r="AP199" s="226">
        <v>0.83</v>
      </c>
      <c r="AQ199" s="226">
        <v>0.83</v>
      </c>
      <c r="AR199" s="226">
        <v>0.83</v>
      </c>
      <c r="AS199" s="226">
        <v>0.79</v>
      </c>
      <c r="AT199" s="226">
        <v>0.79</v>
      </c>
      <c r="AU199" s="226">
        <v>0.79</v>
      </c>
      <c r="AV199" s="226">
        <v>0.79</v>
      </c>
      <c r="AW199" s="226">
        <v>0.79</v>
      </c>
      <c r="AX199" s="226">
        <v>0.74</v>
      </c>
      <c r="AY199" s="226">
        <v>0.74</v>
      </c>
      <c r="AZ199" s="226">
        <v>0.74</v>
      </c>
      <c r="BA199" s="226">
        <v>0.74</v>
      </c>
      <c r="BB199" s="226">
        <v>0.74</v>
      </c>
      <c r="BC199" s="226">
        <v>0.69</v>
      </c>
      <c r="BD199" s="226">
        <v>0.69</v>
      </c>
      <c r="BE199" s="226">
        <v>0.69</v>
      </c>
      <c r="BF199" s="226">
        <v>0.69</v>
      </c>
      <c r="BG199" s="226">
        <v>0.69</v>
      </c>
      <c r="BH199" s="226">
        <v>0.63</v>
      </c>
      <c r="BI199" s="226">
        <v>0.63</v>
      </c>
      <c r="BJ199" s="226">
        <v>0.63</v>
      </c>
      <c r="BK199" s="226">
        <v>0.63</v>
      </c>
      <c r="BL199" s="226">
        <v>0.63</v>
      </c>
      <c r="BM199" s="226">
        <v>0.4</v>
      </c>
      <c r="BN199" s="226">
        <v>0.4</v>
      </c>
      <c r="BO199" s="226">
        <v>0.4</v>
      </c>
      <c r="BP199" s="226">
        <v>0.4</v>
      </c>
      <c r="BQ199" s="226">
        <v>0.4</v>
      </c>
      <c r="BR199" s="226">
        <v>0.4</v>
      </c>
      <c r="BS199" s="226">
        <v>0.4</v>
      </c>
      <c r="BT199" s="226">
        <v>0.4</v>
      </c>
      <c r="BU199" s="226">
        <v>0.4</v>
      </c>
      <c r="BV199" s="226">
        <v>0.4</v>
      </c>
      <c r="BW199" s="226">
        <v>0.4</v>
      </c>
      <c r="BX199" s="226">
        <v>0.4</v>
      </c>
      <c r="BY199" s="226">
        <v>0.4</v>
      </c>
      <c r="BZ199" s="226">
        <v>0.4</v>
      </c>
      <c r="CA199" s="226">
        <v>0.4</v>
      </c>
    </row>
    <row r="200" spans="1:79">
      <c r="A200" s="227">
        <v>35</v>
      </c>
      <c r="B200" s="226">
        <v>1</v>
      </c>
      <c r="C200" s="226">
        <v>1</v>
      </c>
      <c r="D200" s="226">
        <v>1</v>
      </c>
      <c r="E200" s="226">
        <v>1</v>
      </c>
      <c r="F200" s="226">
        <v>1</v>
      </c>
      <c r="G200" s="226">
        <v>1</v>
      </c>
      <c r="H200" s="226">
        <v>1</v>
      </c>
      <c r="I200" s="226">
        <v>1</v>
      </c>
      <c r="J200" s="226">
        <v>1</v>
      </c>
      <c r="K200" s="226">
        <v>1</v>
      </c>
      <c r="L200" s="226">
        <v>1</v>
      </c>
      <c r="M200" s="226">
        <v>1</v>
      </c>
      <c r="N200" s="226">
        <v>1</v>
      </c>
      <c r="O200" s="226">
        <v>1</v>
      </c>
      <c r="P200" s="226"/>
      <c r="Q200" s="226">
        <v>1</v>
      </c>
      <c r="R200" s="226">
        <v>1</v>
      </c>
      <c r="S200" s="226">
        <v>0.98</v>
      </c>
      <c r="T200" s="226">
        <v>0.98</v>
      </c>
      <c r="U200" s="226"/>
      <c r="V200" s="226">
        <v>0.98</v>
      </c>
      <c r="W200" s="226">
        <v>0.98</v>
      </c>
      <c r="X200" s="226">
        <v>0.98</v>
      </c>
      <c r="Y200" s="226">
        <v>0.94</v>
      </c>
      <c r="Z200" s="226">
        <v>0.94</v>
      </c>
      <c r="AA200" s="226">
        <v>0.94</v>
      </c>
      <c r="AB200" s="226">
        <v>0.94</v>
      </c>
      <c r="AC200" s="226">
        <v>0.94</v>
      </c>
      <c r="AD200" s="226">
        <v>0.91</v>
      </c>
      <c r="AE200" s="226">
        <v>0.91</v>
      </c>
      <c r="AF200" s="226">
        <v>0.91</v>
      </c>
      <c r="AG200" s="226">
        <v>0.91</v>
      </c>
      <c r="AH200" s="226">
        <v>0.91</v>
      </c>
      <c r="AI200" s="226">
        <v>0.87</v>
      </c>
      <c r="AJ200" s="226">
        <v>0.87</v>
      </c>
      <c r="AK200" s="226">
        <v>0.87</v>
      </c>
      <c r="AL200" s="226">
        <v>0.87</v>
      </c>
      <c r="AM200" s="226">
        <v>0.87</v>
      </c>
      <c r="AN200" s="226">
        <v>0.83</v>
      </c>
      <c r="AO200" s="226">
        <v>0.83</v>
      </c>
      <c r="AP200" s="226">
        <v>0.83</v>
      </c>
      <c r="AQ200" s="226">
        <v>0.83</v>
      </c>
      <c r="AR200" s="226">
        <v>0.83</v>
      </c>
      <c r="AS200" s="226">
        <v>0.79</v>
      </c>
      <c r="AT200" s="226">
        <v>0.79</v>
      </c>
      <c r="AU200" s="226">
        <v>0.79</v>
      </c>
      <c r="AV200" s="226">
        <v>0.79</v>
      </c>
      <c r="AW200" s="226">
        <v>0.79</v>
      </c>
      <c r="AX200" s="226">
        <v>0.74</v>
      </c>
      <c r="AY200" s="226">
        <v>0.74</v>
      </c>
      <c r="AZ200" s="226">
        <v>0.74</v>
      </c>
      <c r="BA200" s="226">
        <v>0.74</v>
      </c>
      <c r="BB200" s="226">
        <v>0.74</v>
      </c>
      <c r="BC200" s="226">
        <v>0.69</v>
      </c>
      <c r="BD200" s="226">
        <v>0.69</v>
      </c>
      <c r="BE200" s="226">
        <v>0.69</v>
      </c>
      <c r="BF200" s="226">
        <v>0.69</v>
      </c>
      <c r="BG200" s="226">
        <v>0.69</v>
      </c>
      <c r="BH200" s="226">
        <v>0.63</v>
      </c>
      <c r="BI200" s="226">
        <v>0.63</v>
      </c>
      <c r="BJ200" s="226">
        <v>0.63</v>
      </c>
      <c r="BK200" s="226">
        <v>0.63</v>
      </c>
      <c r="BL200" s="226">
        <v>0.63</v>
      </c>
      <c r="BM200" s="226">
        <v>0.4</v>
      </c>
      <c r="BN200" s="226">
        <v>0.4</v>
      </c>
      <c r="BO200" s="226">
        <v>0.4</v>
      </c>
      <c r="BP200" s="226">
        <v>0.4</v>
      </c>
      <c r="BQ200" s="226">
        <v>0.4</v>
      </c>
      <c r="BR200" s="226">
        <v>0.4</v>
      </c>
      <c r="BS200" s="226">
        <v>0.4</v>
      </c>
      <c r="BT200" s="226">
        <v>0.4</v>
      </c>
      <c r="BU200" s="226">
        <v>0.4</v>
      </c>
      <c r="BV200" s="226">
        <v>0.4</v>
      </c>
      <c r="BW200" s="226">
        <v>0.4</v>
      </c>
      <c r="BX200" s="226">
        <v>0.4</v>
      </c>
      <c r="BY200" s="226">
        <v>0.4</v>
      </c>
      <c r="BZ200" s="226">
        <v>0.4</v>
      </c>
      <c r="CA200" s="226">
        <v>0.4</v>
      </c>
    </row>
    <row r="201" spans="1:79">
      <c r="A201" s="227">
        <v>36</v>
      </c>
      <c r="B201" s="226">
        <v>1</v>
      </c>
      <c r="C201" s="226">
        <v>1</v>
      </c>
      <c r="D201" s="226">
        <v>1</v>
      </c>
      <c r="E201" s="226">
        <v>1</v>
      </c>
      <c r="F201" s="226">
        <v>1</v>
      </c>
      <c r="G201" s="226">
        <v>1</v>
      </c>
      <c r="H201" s="226">
        <v>1</v>
      </c>
      <c r="I201" s="226">
        <v>1</v>
      </c>
      <c r="J201" s="226">
        <v>1</v>
      </c>
      <c r="K201" s="226">
        <v>1</v>
      </c>
      <c r="L201" s="226">
        <v>1</v>
      </c>
      <c r="M201" s="226">
        <v>1</v>
      </c>
      <c r="N201" s="226">
        <v>1</v>
      </c>
      <c r="O201" s="226">
        <v>1</v>
      </c>
      <c r="P201" s="226"/>
      <c r="Q201" s="226">
        <v>1</v>
      </c>
      <c r="R201" s="226">
        <v>1</v>
      </c>
      <c r="S201" s="226">
        <v>0.98</v>
      </c>
      <c r="T201" s="226">
        <v>0.98</v>
      </c>
      <c r="U201" s="226"/>
      <c r="V201" s="226">
        <v>0.98</v>
      </c>
      <c r="W201" s="226">
        <v>0.98</v>
      </c>
      <c r="X201" s="226">
        <v>0.98</v>
      </c>
      <c r="Y201" s="226">
        <v>0.94</v>
      </c>
      <c r="Z201" s="226">
        <v>0.94</v>
      </c>
      <c r="AA201" s="226">
        <v>0.94</v>
      </c>
      <c r="AB201" s="226">
        <v>0.94</v>
      </c>
      <c r="AC201" s="226">
        <v>0.94</v>
      </c>
      <c r="AD201" s="226">
        <v>0.91</v>
      </c>
      <c r="AE201" s="226">
        <v>0.91</v>
      </c>
      <c r="AF201" s="226">
        <v>0.91</v>
      </c>
      <c r="AG201" s="226">
        <v>0.91</v>
      </c>
      <c r="AH201" s="226">
        <v>0.91</v>
      </c>
      <c r="AI201" s="226">
        <v>0.87</v>
      </c>
      <c r="AJ201" s="226">
        <v>0.87</v>
      </c>
      <c r="AK201" s="226">
        <v>0.87</v>
      </c>
      <c r="AL201" s="226">
        <v>0.87</v>
      </c>
      <c r="AM201" s="226">
        <v>0.87</v>
      </c>
      <c r="AN201" s="226">
        <v>0.83</v>
      </c>
      <c r="AO201" s="226">
        <v>0.83</v>
      </c>
      <c r="AP201" s="226">
        <v>0.83</v>
      </c>
      <c r="AQ201" s="226">
        <v>0.83</v>
      </c>
      <c r="AR201" s="226">
        <v>0.83</v>
      </c>
      <c r="AS201" s="226">
        <v>0.79</v>
      </c>
      <c r="AT201" s="226">
        <v>0.79</v>
      </c>
      <c r="AU201" s="226">
        <v>0.79</v>
      </c>
      <c r="AV201" s="226">
        <v>0.79</v>
      </c>
      <c r="AW201" s="226">
        <v>0.79</v>
      </c>
      <c r="AX201" s="226">
        <v>0.74</v>
      </c>
      <c r="AY201" s="226">
        <v>0.74</v>
      </c>
      <c r="AZ201" s="226">
        <v>0.74</v>
      </c>
      <c r="BA201" s="226">
        <v>0.74</v>
      </c>
      <c r="BB201" s="226">
        <v>0.74</v>
      </c>
      <c r="BC201" s="226">
        <v>0.69</v>
      </c>
      <c r="BD201" s="226">
        <v>0.69</v>
      </c>
      <c r="BE201" s="226">
        <v>0.69</v>
      </c>
      <c r="BF201" s="226">
        <v>0.69</v>
      </c>
      <c r="BG201" s="226">
        <v>0.69</v>
      </c>
      <c r="BH201" s="226">
        <v>0.63</v>
      </c>
      <c r="BI201" s="226">
        <v>0.63</v>
      </c>
      <c r="BJ201" s="226">
        <v>0.63</v>
      </c>
      <c r="BK201" s="226">
        <v>0.63</v>
      </c>
      <c r="BL201" s="226">
        <v>0.63</v>
      </c>
      <c r="BM201" s="226">
        <v>0.4</v>
      </c>
      <c r="BN201" s="226">
        <v>0.4</v>
      </c>
      <c r="BO201" s="226">
        <v>0.4</v>
      </c>
      <c r="BP201" s="226">
        <v>0.4</v>
      </c>
      <c r="BQ201" s="226">
        <v>0.4</v>
      </c>
      <c r="BR201" s="226">
        <v>0.4</v>
      </c>
      <c r="BS201" s="226">
        <v>0.4</v>
      </c>
      <c r="BT201" s="226">
        <v>0.4</v>
      </c>
      <c r="BU201" s="226">
        <v>0.4</v>
      </c>
      <c r="BV201" s="226">
        <v>0.4</v>
      </c>
      <c r="BW201" s="226">
        <v>0.4</v>
      </c>
      <c r="BX201" s="226">
        <v>0.4</v>
      </c>
      <c r="BY201" s="226">
        <v>0.4</v>
      </c>
      <c r="BZ201" s="226">
        <v>0.4</v>
      </c>
      <c r="CA201" s="226">
        <v>0.4</v>
      </c>
    </row>
    <row r="202" spans="1:79">
      <c r="A202" s="227">
        <v>37</v>
      </c>
      <c r="B202" s="226">
        <v>1</v>
      </c>
      <c r="C202" s="226">
        <v>1</v>
      </c>
      <c r="D202" s="226">
        <v>1</v>
      </c>
      <c r="E202" s="226">
        <v>1</v>
      </c>
      <c r="F202" s="226">
        <v>1</v>
      </c>
      <c r="G202" s="226">
        <v>1</v>
      </c>
      <c r="H202" s="226">
        <v>1</v>
      </c>
      <c r="I202" s="226">
        <v>1</v>
      </c>
      <c r="J202" s="226">
        <v>1</v>
      </c>
      <c r="K202" s="226">
        <v>1</v>
      </c>
      <c r="L202" s="226">
        <v>1</v>
      </c>
      <c r="M202" s="226">
        <v>1</v>
      </c>
      <c r="N202" s="226">
        <v>1</v>
      </c>
      <c r="O202" s="226">
        <v>1</v>
      </c>
      <c r="P202" s="226"/>
      <c r="Q202" s="226">
        <v>1</v>
      </c>
      <c r="R202" s="226">
        <v>1</v>
      </c>
      <c r="S202" s="226">
        <v>0.98</v>
      </c>
      <c r="T202" s="226">
        <v>0.98</v>
      </c>
      <c r="U202" s="226"/>
      <c r="V202" s="226">
        <v>0.98</v>
      </c>
      <c r="W202" s="226">
        <v>0.98</v>
      </c>
      <c r="X202" s="226">
        <v>0.98</v>
      </c>
      <c r="Y202" s="226">
        <v>0.94</v>
      </c>
      <c r="Z202" s="226">
        <v>0.94</v>
      </c>
      <c r="AA202" s="226">
        <v>0.94</v>
      </c>
      <c r="AB202" s="226">
        <v>0.94</v>
      </c>
      <c r="AC202" s="226">
        <v>0.94</v>
      </c>
      <c r="AD202" s="226">
        <v>0.91</v>
      </c>
      <c r="AE202" s="226">
        <v>0.91</v>
      </c>
      <c r="AF202" s="226">
        <v>0.91</v>
      </c>
      <c r="AG202" s="226">
        <v>0.91</v>
      </c>
      <c r="AH202" s="226">
        <v>0.91</v>
      </c>
      <c r="AI202" s="226">
        <v>0.87</v>
      </c>
      <c r="AJ202" s="226">
        <v>0.87</v>
      </c>
      <c r="AK202" s="226">
        <v>0.87</v>
      </c>
      <c r="AL202" s="226">
        <v>0.87</v>
      </c>
      <c r="AM202" s="226">
        <v>0.87</v>
      </c>
      <c r="AN202" s="226">
        <v>0.83</v>
      </c>
      <c r="AO202" s="226">
        <v>0.83</v>
      </c>
      <c r="AP202" s="226">
        <v>0.83</v>
      </c>
      <c r="AQ202" s="226">
        <v>0.83</v>
      </c>
      <c r="AR202" s="226">
        <v>0.83</v>
      </c>
      <c r="AS202" s="226">
        <v>0.79</v>
      </c>
      <c r="AT202" s="226">
        <v>0.79</v>
      </c>
      <c r="AU202" s="226">
        <v>0.79</v>
      </c>
      <c r="AV202" s="226">
        <v>0.79</v>
      </c>
      <c r="AW202" s="226">
        <v>0.79</v>
      </c>
      <c r="AX202" s="226">
        <v>0.74</v>
      </c>
      <c r="AY202" s="226">
        <v>0.74</v>
      </c>
      <c r="AZ202" s="226">
        <v>0.74</v>
      </c>
      <c r="BA202" s="226">
        <v>0.74</v>
      </c>
      <c r="BB202" s="226">
        <v>0.74</v>
      </c>
      <c r="BC202" s="226">
        <v>0.69</v>
      </c>
      <c r="BD202" s="226">
        <v>0.69</v>
      </c>
      <c r="BE202" s="226">
        <v>0.69</v>
      </c>
      <c r="BF202" s="226">
        <v>0.69</v>
      </c>
      <c r="BG202" s="226">
        <v>0.69</v>
      </c>
      <c r="BH202" s="226">
        <v>0.63</v>
      </c>
      <c r="BI202" s="226">
        <v>0.63</v>
      </c>
      <c r="BJ202" s="226">
        <v>0.63</v>
      </c>
      <c r="BK202" s="226">
        <v>0.63</v>
      </c>
      <c r="BL202" s="226">
        <v>0.63</v>
      </c>
      <c r="BM202" s="226">
        <v>0.4</v>
      </c>
      <c r="BN202" s="226">
        <v>0.4</v>
      </c>
      <c r="BO202" s="226">
        <v>0.4</v>
      </c>
      <c r="BP202" s="226">
        <v>0.4</v>
      </c>
      <c r="BQ202" s="226">
        <v>0.4</v>
      </c>
      <c r="BR202" s="226">
        <v>0.4</v>
      </c>
      <c r="BS202" s="226">
        <v>0.4</v>
      </c>
      <c r="BT202" s="226">
        <v>0.4</v>
      </c>
      <c r="BU202" s="226">
        <v>0.4</v>
      </c>
      <c r="BV202" s="226">
        <v>0.4</v>
      </c>
      <c r="BW202" s="226">
        <v>0.4</v>
      </c>
      <c r="BX202" s="226">
        <v>0.4</v>
      </c>
      <c r="BY202" s="226">
        <v>0.4</v>
      </c>
      <c r="BZ202" s="226">
        <v>0.4</v>
      </c>
      <c r="CA202" s="226">
        <v>0.4</v>
      </c>
    </row>
    <row r="203" spans="1:79">
      <c r="A203" s="227">
        <v>38</v>
      </c>
      <c r="B203" s="226">
        <v>1</v>
      </c>
      <c r="C203" s="226">
        <v>1</v>
      </c>
      <c r="D203" s="226">
        <v>1</v>
      </c>
      <c r="E203" s="226">
        <v>1</v>
      </c>
      <c r="F203" s="226">
        <v>1</v>
      </c>
      <c r="G203" s="226">
        <v>1</v>
      </c>
      <c r="H203" s="226">
        <v>1</v>
      </c>
      <c r="I203" s="226">
        <v>1</v>
      </c>
      <c r="J203" s="226">
        <v>1</v>
      </c>
      <c r="K203" s="226">
        <v>1</v>
      </c>
      <c r="L203" s="226">
        <v>1</v>
      </c>
      <c r="M203" s="226">
        <v>1</v>
      </c>
      <c r="N203" s="226">
        <v>1</v>
      </c>
      <c r="O203" s="226">
        <v>1</v>
      </c>
      <c r="P203" s="226"/>
      <c r="Q203" s="226">
        <v>1</v>
      </c>
      <c r="R203" s="226">
        <v>1</v>
      </c>
      <c r="S203" s="226">
        <v>0.98</v>
      </c>
      <c r="T203" s="226">
        <v>0.98</v>
      </c>
      <c r="U203" s="226"/>
      <c r="V203" s="226">
        <v>0.98</v>
      </c>
      <c r="W203" s="226">
        <v>0.98</v>
      </c>
      <c r="X203" s="226">
        <v>0.98</v>
      </c>
      <c r="Y203" s="226">
        <v>0.94</v>
      </c>
      <c r="Z203" s="226">
        <v>0.94</v>
      </c>
      <c r="AA203" s="226">
        <v>0.94</v>
      </c>
      <c r="AB203" s="226">
        <v>0.94</v>
      </c>
      <c r="AC203" s="226">
        <v>0.94</v>
      </c>
      <c r="AD203" s="226">
        <v>0.91</v>
      </c>
      <c r="AE203" s="226">
        <v>0.91</v>
      </c>
      <c r="AF203" s="226">
        <v>0.91</v>
      </c>
      <c r="AG203" s="226">
        <v>0.91</v>
      </c>
      <c r="AH203" s="226">
        <v>0.91</v>
      </c>
      <c r="AI203" s="226">
        <v>0.87</v>
      </c>
      <c r="AJ203" s="226">
        <v>0.87</v>
      </c>
      <c r="AK203" s="226">
        <v>0.87</v>
      </c>
      <c r="AL203" s="226">
        <v>0.87</v>
      </c>
      <c r="AM203" s="226">
        <v>0.87</v>
      </c>
      <c r="AN203" s="226">
        <v>0.83</v>
      </c>
      <c r="AO203" s="226">
        <v>0.83</v>
      </c>
      <c r="AP203" s="226">
        <v>0.83</v>
      </c>
      <c r="AQ203" s="226">
        <v>0.83</v>
      </c>
      <c r="AR203" s="226">
        <v>0.83</v>
      </c>
      <c r="AS203" s="226">
        <v>0.79</v>
      </c>
      <c r="AT203" s="226">
        <v>0.79</v>
      </c>
      <c r="AU203" s="226">
        <v>0.79</v>
      </c>
      <c r="AV203" s="226">
        <v>0.79</v>
      </c>
      <c r="AW203" s="226">
        <v>0.79</v>
      </c>
      <c r="AX203" s="226">
        <v>0.74</v>
      </c>
      <c r="AY203" s="226">
        <v>0.74</v>
      </c>
      <c r="AZ203" s="226">
        <v>0.74</v>
      </c>
      <c r="BA203" s="226">
        <v>0.74</v>
      </c>
      <c r="BB203" s="226">
        <v>0.74</v>
      </c>
      <c r="BC203" s="226">
        <v>0.69</v>
      </c>
      <c r="BD203" s="226">
        <v>0.69</v>
      </c>
      <c r="BE203" s="226">
        <v>0.69</v>
      </c>
      <c r="BF203" s="226">
        <v>0.69</v>
      </c>
      <c r="BG203" s="226">
        <v>0.69</v>
      </c>
      <c r="BH203" s="226">
        <v>0.63</v>
      </c>
      <c r="BI203" s="226">
        <v>0.63</v>
      </c>
      <c r="BJ203" s="226">
        <v>0.63</v>
      </c>
      <c r="BK203" s="226">
        <v>0.63</v>
      </c>
      <c r="BL203" s="226">
        <v>0.63</v>
      </c>
      <c r="BM203" s="226">
        <v>0.4</v>
      </c>
      <c r="BN203" s="226">
        <v>0.4</v>
      </c>
      <c r="BO203" s="226">
        <v>0.4</v>
      </c>
      <c r="BP203" s="226">
        <v>0.4</v>
      </c>
      <c r="BQ203" s="226">
        <v>0.4</v>
      </c>
      <c r="BR203" s="226">
        <v>0.4</v>
      </c>
      <c r="BS203" s="226">
        <v>0.4</v>
      </c>
      <c r="BT203" s="226">
        <v>0.4</v>
      </c>
      <c r="BU203" s="226">
        <v>0.4</v>
      </c>
      <c r="BV203" s="226">
        <v>0.4</v>
      </c>
      <c r="BW203" s="226">
        <v>0.4</v>
      </c>
      <c r="BX203" s="226">
        <v>0.4</v>
      </c>
      <c r="BY203" s="226">
        <v>0.4</v>
      </c>
      <c r="BZ203" s="226">
        <v>0.4</v>
      </c>
      <c r="CA203" s="226">
        <v>0.4</v>
      </c>
    </row>
    <row r="204" spans="1:79">
      <c r="A204" s="227">
        <v>39</v>
      </c>
      <c r="B204" s="226">
        <v>1</v>
      </c>
      <c r="C204" s="226">
        <v>1</v>
      </c>
      <c r="D204" s="226">
        <v>1</v>
      </c>
      <c r="E204" s="226">
        <v>1</v>
      </c>
      <c r="F204" s="226">
        <v>1</v>
      </c>
      <c r="G204" s="226">
        <v>1</v>
      </c>
      <c r="H204" s="226">
        <v>1</v>
      </c>
      <c r="I204" s="226">
        <v>1</v>
      </c>
      <c r="J204" s="226">
        <v>1</v>
      </c>
      <c r="K204" s="226">
        <v>1</v>
      </c>
      <c r="L204" s="226">
        <v>1</v>
      </c>
      <c r="M204" s="226">
        <v>1</v>
      </c>
      <c r="N204" s="226">
        <v>1</v>
      </c>
      <c r="O204" s="226">
        <v>1</v>
      </c>
      <c r="P204" s="226"/>
      <c r="Q204" s="226">
        <v>1</v>
      </c>
      <c r="R204" s="226">
        <v>1</v>
      </c>
      <c r="S204" s="226">
        <v>0.98</v>
      </c>
      <c r="T204" s="226">
        <v>0.98</v>
      </c>
      <c r="U204" s="226"/>
      <c r="V204" s="226">
        <v>0.98</v>
      </c>
      <c r="W204" s="226">
        <v>0.98</v>
      </c>
      <c r="X204" s="226">
        <v>0.98</v>
      </c>
      <c r="Y204" s="226">
        <v>0.94</v>
      </c>
      <c r="Z204" s="226">
        <v>0.94</v>
      </c>
      <c r="AA204" s="226">
        <v>0.94</v>
      </c>
      <c r="AB204" s="226">
        <v>0.94</v>
      </c>
      <c r="AC204" s="226">
        <v>0.94</v>
      </c>
      <c r="AD204" s="226">
        <v>0.91</v>
      </c>
      <c r="AE204" s="226">
        <v>0.91</v>
      </c>
      <c r="AF204" s="226">
        <v>0.91</v>
      </c>
      <c r="AG204" s="226">
        <v>0.91</v>
      </c>
      <c r="AH204" s="226">
        <v>0.91</v>
      </c>
      <c r="AI204" s="226">
        <v>0.87</v>
      </c>
      <c r="AJ204" s="226">
        <v>0.87</v>
      </c>
      <c r="AK204" s="226">
        <v>0.87</v>
      </c>
      <c r="AL204" s="226">
        <v>0.87</v>
      </c>
      <c r="AM204" s="226">
        <v>0.87</v>
      </c>
      <c r="AN204" s="226">
        <v>0.83</v>
      </c>
      <c r="AO204" s="226">
        <v>0.83</v>
      </c>
      <c r="AP204" s="226">
        <v>0.83</v>
      </c>
      <c r="AQ204" s="226">
        <v>0.83</v>
      </c>
      <c r="AR204" s="226">
        <v>0.83</v>
      </c>
      <c r="AS204" s="226">
        <v>0.79</v>
      </c>
      <c r="AT204" s="226">
        <v>0.79</v>
      </c>
      <c r="AU204" s="226">
        <v>0.79</v>
      </c>
      <c r="AV204" s="226">
        <v>0.79</v>
      </c>
      <c r="AW204" s="226">
        <v>0.79</v>
      </c>
      <c r="AX204" s="226">
        <v>0.74</v>
      </c>
      <c r="AY204" s="226">
        <v>0.74</v>
      </c>
      <c r="AZ204" s="226">
        <v>0.74</v>
      </c>
      <c r="BA204" s="226">
        <v>0.74</v>
      </c>
      <c r="BB204" s="226">
        <v>0.74</v>
      </c>
      <c r="BC204" s="226">
        <v>0.69</v>
      </c>
      <c r="BD204" s="226">
        <v>0.69</v>
      </c>
      <c r="BE204" s="226">
        <v>0.69</v>
      </c>
      <c r="BF204" s="226">
        <v>0.69</v>
      </c>
      <c r="BG204" s="226">
        <v>0.69</v>
      </c>
      <c r="BH204" s="226">
        <v>0.63</v>
      </c>
      <c r="BI204" s="226">
        <v>0.63</v>
      </c>
      <c r="BJ204" s="226">
        <v>0.63</v>
      </c>
      <c r="BK204" s="226">
        <v>0.63</v>
      </c>
      <c r="BL204" s="226">
        <v>0.63</v>
      </c>
      <c r="BM204" s="226">
        <v>0.4</v>
      </c>
      <c r="BN204" s="226">
        <v>0.4</v>
      </c>
      <c r="BO204" s="226">
        <v>0.4</v>
      </c>
      <c r="BP204" s="226">
        <v>0.4</v>
      </c>
      <c r="BQ204" s="226">
        <v>0.4</v>
      </c>
      <c r="BR204" s="226">
        <v>0.4</v>
      </c>
      <c r="BS204" s="226">
        <v>0.4</v>
      </c>
      <c r="BT204" s="226">
        <v>0.4</v>
      </c>
      <c r="BU204" s="226">
        <v>0.4</v>
      </c>
      <c r="BV204" s="226">
        <v>0.4</v>
      </c>
      <c r="BW204" s="226">
        <v>0.4</v>
      </c>
      <c r="BX204" s="226">
        <v>0.4</v>
      </c>
      <c r="BY204" s="226">
        <v>0.4</v>
      </c>
      <c r="BZ204" s="226">
        <v>0.4</v>
      </c>
      <c r="CA204" s="226">
        <v>0.4</v>
      </c>
    </row>
    <row r="205" spans="1:79">
      <c r="A205" s="227">
        <v>40</v>
      </c>
      <c r="B205" s="226">
        <v>1</v>
      </c>
      <c r="C205" s="226">
        <v>1</v>
      </c>
      <c r="D205" s="226">
        <v>1</v>
      </c>
      <c r="E205" s="226">
        <v>1</v>
      </c>
      <c r="F205" s="226">
        <v>1</v>
      </c>
      <c r="G205" s="226">
        <v>1</v>
      </c>
      <c r="H205" s="226">
        <v>1</v>
      </c>
      <c r="I205" s="226">
        <v>1</v>
      </c>
      <c r="J205" s="226">
        <v>1</v>
      </c>
      <c r="K205" s="226">
        <v>1</v>
      </c>
      <c r="L205" s="226">
        <v>1</v>
      </c>
      <c r="M205" s="226">
        <v>1</v>
      </c>
      <c r="N205" s="226">
        <v>1</v>
      </c>
      <c r="O205" s="226">
        <v>1</v>
      </c>
      <c r="P205" s="226"/>
      <c r="Q205" s="226">
        <v>1</v>
      </c>
      <c r="R205" s="226">
        <v>1</v>
      </c>
      <c r="S205" s="226">
        <v>0.98</v>
      </c>
      <c r="T205" s="226">
        <v>0.98</v>
      </c>
      <c r="U205" s="226"/>
      <c r="V205" s="226">
        <v>0.98</v>
      </c>
      <c r="W205" s="226">
        <v>0.98</v>
      </c>
      <c r="X205" s="226">
        <v>0.98</v>
      </c>
      <c r="Y205" s="226">
        <v>0.94</v>
      </c>
      <c r="Z205" s="226">
        <v>0.94</v>
      </c>
      <c r="AA205" s="226">
        <v>0.94</v>
      </c>
      <c r="AB205" s="226">
        <v>0.94</v>
      </c>
      <c r="AC205" s="226">
        <v>0.94</v>
      </c>
      <c r="AD205" s="226">
        <v>0.91</v>
      </c>
      <c r="AE205" s="226">
        <v>0.91</v>
      </c>
      <c r="AF205" s="226">
        <v>0.91</v>
      </c>
      <c r="AG205" s="226">
        <v>0.91</v>
      </c>
      <c r="AH205" s="226">
        <v>0.91</v>
      </c>
      <c r="AI205" s="226">
        <v>0.87</v>
      </c>
      <c r="AJ205" s="226">
        <v>0.87</v>
      </c>
      <c r="AK205" s="226">
        <v>0.87</v>
      </c>
      <c r="AL205" s="226">
        <v>0.87</v>
      </c>
      <c r="AM205" s="226">
        <v>0.87</v>
      </c>
      <c r="AN205" s="226">
        <v>0.83</v>
      </c>
      <c r="AO205" s="226">
        <v>0.83</v>
      </c>
      <c r="AP205" s="226">
        <v>0.83</v>
      </c>
      <c r="AQ205" s="226">
        <v>0.83</v>
      </c>
      <c r="AR205" s="226">
        <v>0.83</v>
      </c>
      <c r="AS205" s="226">
        <v>0.79</v>
      </c>
      <c r="AT205" s="226">
        <v>0.79</v>
      </c>
      <c r="AU205" s="226">
        <v>0.79</v>
      </c>
      <c r="AV205" s="226">
        <v>0.79</v>
      </c>
      <c r="AW205" s="226">
        <v>0.79</v>
      </c>
      <c r="AX205" s="226">
        <v>0.74</v>
      </c>
      <c r="AY205" s="226">
        <v>0.74</v>
      </c>
      <c r="AZ205" s="226">
        <v>0.74</v>
      </c>
      <c r="BA205" s="226">
        <v>0.74</v>
      </c>
      <c r="BB205" s="226">
        <v>0.74</v>
      </c>
      <c r="BC205" s="226">
        <v>0.69</v>
      </c>
      <c r="BD205" s="226">
        <v>0.69</v>
      </c>
      <c r="BE205" s="226">
        <v>0.69</v>
      </c>
      <c r="BF205" s="226">
        <v>0.69</v>
      </c>
      <c r="BG205" s="226">
        <v>0.69</v>
      </c>
      <c r="BH205" s="226">
        <v>0.63</v>
      </c>
      <c r="BI205" s="226">
        <v>0.63</v>
      </c>
      <c r="BJ205" s="226">
        <v>0.63</v>
      </c>
      <c r="BK205" s="226">
        <v>0.63</v>
      </c>
      <c r="BL205" s="226">
        <v>0.63</v>
      </c>
      <c r="BM205" s="226">
        <v>0.4</v>
      </c>
      <c r="BN205" s="226">
        <v>0.4</v>
      </c>
      <c r="BO205" s="226">
        <v>0.4</v>
      </c>
      <c r="BP205" s="226">
        <v>0.4</v>
      </c>
      <c r="BQ205" s="226">
        <v>0.4</v>
      </c>
      <c r="BR205" s="226">
        <v>0.4</v>
      </c>
      <c r="BS205" s="226">
        <v>0.4</v>
      </c>
      <c r="BT205" s="226">
        <v>0.4</v>
      </c>
      <c r="BU205" s="226">
        <v>0.4</v>
      </c>
      <c r="BV205" s="226">
        <v>0.4</v>
      </c>
      <c r="BW205" s="226">
        <v>0.4</v>
      </c>
      <c r="BX205" s="226">
        <v>0.4</v>
      </c>
      <c r="BY205" s="226">
        <v>0.4</v>
      </c>
      <c r="BZ205" s="226">
        <v>0.4</v>
      </c>
      <c r="CA205" s="226">
        <v>0.4</v>
      </c>
    </row>
    <row r="206" spans="1:79">
      <c r="A206" s="227">
        <v>41</v>
      </c>
      <c r="B206" s="226">
        <v>1</v>
      </c>
      <c r="C206" s="226">
        <v>1</v>
      </c>
      <c r="D206" s="226">
        <v>1</v>
      </c>
      <c r="E206" s="226">
        <v>1</v>
      </c>
      <c r="F206" s="226">
        <v>1</v>
      </c>
      <c r="G206" s="226">
        <v>1</v>
      </c>
      <c r="H206" s="226">
        <v>1</v>
      </c>
      <c r="I206" s="226">
        <v>1</v>
      </c>
      <c r="J206" s="226">
        <v>1</v>
      </c>
      <c r="K206" s="226">
        <v>1</v>
      </c>
      <c r="L206" s="226">
        <v>1</v>
      </c>
      <c r="M206" s="226">
        <v>1</v>
      </c>
      <c r="N206" s="226">
        <v>1</v>
      </c>
      <c r="O206" s="226">
        <v>1</v>
      </c>
      <c r="P206" s="226"/>
      <c r="Q206" s="226">
        <v>1</v>
      </c>
      <c r="R206" s="226">
        <v>1</v>
      </c>
      <c r="S206" s="226">
        <v>0.97</v>
      </c>
      <c r="T206" s="226">
        <v>0.97</v>
      </c>
      <c r="U206" s="226"/>
      <c r="V206" s="226">
        <v>0.97</v>
      </c>
      <c r="W206" s="226">
        <v>0.97</v>
      </c>
      <c r="X206" s="226">
        <v>0.97</v>
      </c>
      <c r="Y206" s="226">
        <v>0.94</v>
      </c>
      <c r="Z206" s="226">
        <v>0.94</v>
      </c>
      <c r="AA206" s="226">
        <v>0.94</v>
      </c>
      <c r="AB206" s="226">
        <v>0.94</v>
      </c>
      <c r="AC206" s="226">
        <v>0.94</v>
      </c>
      <c r="AD206" s="226">
        <v>0.9</v>
      </c>
      <c r="AE206" s="226">
        <v>0.9</v>
      </c>
      <c r="AF206" s="226">
        <v>0.9</v>
      </c>
      <c r="AG206" s="226">
        <v>0.9</v>
      </c>
      <c r="AH206" s="226">
        <v>0.9</v>
      </c>
      <c r="AI206" s="226">
        <v>0.85</v>
      </c>
      <c r="AJ206" s="226">
        <v>0.85</v>
      </c>
      <c r="AK206" s="226">
        <v>0.85</v>
      </c>
      <c r="AL206" s="226">
        <v>0.85</v>
      </c>
      <c r="AM206" s="226">
        <v>0.85</v>
      </c>
      <c r="AN206" s="226">
        <v>0.8</v>
      </c>
      <c r="AO206" s="226">
        <v>0.8</v>
      </c>
      <c r="AP206" s="226">
        <v>0.8</v>
      </c>
      <c r="AQ206" s="226">
        <v>0.8</v>
      </c>
      <c r="AR206" s="226">
        <v>0.8</v>
      </c>
      <c r="AS206" s="226">
        <v>0.75</v>
      </c>
      <c r="AT206" s="226">
        <v>0.75</v>
      </c>
      <c r="AU206" s="226">
        <v>0.75</v>
      </c>
      <c r="AV206" s="226">
        <v>0.75</v>
      </c>
      <c r="AW206" s="226">
        <v>0.75</v>
      </c>
      <c r="AX206" s="226">
        <v>0.69</v>
      </c>
      <c r="AY206" s="226">
        <v>0.69</v>
      </c>
      <c r="AZ206" s="226">
        <v>0.69</v>
      </c>
      <c r="BA206" s="226">
        <v>0.69</v>
      </c>
      <c r="BB206" s="226">
        <v>0.69</v>
      </c>
      <c r="BC206" s="226">
        <v>0.64</v>
      </c>
      <c r="BD206" s="226">
        <v>0.64</v>
      </c>
      <c r="BE206" s="226">
        <v>0.64</v>
      </c>
      <c r="BF206" s="226">
        <v>0.64</v>
      </c>
      <c r="BG206" s="226">
        <v>0.64</v>
      </c>
      <c r="BH206" s="226">
        <v>0.57999999999999996</v>
      </c>
      <c r="BI206" s="226">
        <v>0.57999999999999996</v>
      </c>
      <c r="BJ206" s="226">
        <v>0.57999999999999996</v>
      </c>
      <c r="BK206" s="226">
        <v>0.57999999999999996</v>
      </c>
      <c r="BL206" s="226">
        <v>0.57999999999999996</v>
      </c>
      <c r="BM206" s="226">
        <v>0.3</v>
      </c>
      <c r="BN206" s="226">
        <v>0.3</v>
      </c>
      <c r="BO206" s="226">
        <v>0.3</v>
      </c>
      <c r="BP206" s="226">
        <v>0.3</v>
      </c>
      <c r="BQ206" s="226">
        <v>0.3</v>
      </c>
      <c r="BR206" s="226">
        <v>0.3</v>
      </c>
      <c r="BS206" s="226">
        <v>0.3</v>
      </c>
      <c r="BT206" s="226">
        <v>0.3</v>
      </c>
      <c r="BU206" s="226">
        <v>0.3</v>
      </c>
      <c r="BV206" s="226">
        <v>0.3</v>
      </c>
      <c r="BW206" s="226">
        <v>0.3</v>
      </c>
      <c r="BX206" s="226">
        <v>0.3</v>
      </c>
      <c r="BY206" s="226">
        <v>0.3</v>
      </c>
      <c r="BZ206" s="226">
        <v>0.3</v>
      </c>
      <c r="CA206" s="226">
        <v>0.3</v>
      </c>
    </row>
    <row r="207" spans="1:79">
      <c r="A207" s="227">
        <v>42</v>
      </c>
      <c r="B207" s="226">
        <v>1</v>
      </c>
      <c r="C207" s="226">
        <v>1</v>
      </c>
      <c r="D207" s="226">
        <v>1</v>
      </c>
      <c r="E207" s="226">
        <v>1</v>
      </c>
      <c r="F207" s="226">
        <v>1</v>
      </c>
      <c r="G207" s="226">
        <v>1</v>
      </c>
      <c r="H207" s="226">
        <v>1</v>
      </c>
      <c r="I207" s="226">
        <v>1</v>
      </c>
      <c r="J207" s="226">
        <v>1</v>
      </c>
      <c r="K207" s="226">
        <v>1</v>
      </c>
      <c r="L207" s="226">
        <v>1</v>
      </c>
      <c r="M207" s="226">
        <v>1</v>
      </c>
      <c r="N207" s="226">
        <v>1</v>
      </c>
      <c r="O207" s="226">
        <v>1</v>
      </c>
      <c r="P207" s="226"/>
      <c r="Q207" s="226">
        <v>1</v>
      </c>
      <c r="R207" s="226">
        <v>1</v>
      </c>
      <c r="S207" s="226">
        <v>0.97</v>
      </c>
      <c r="T207" s="226">
        <v>0.97</v>
      </c>
      <c r="U207" s="226"/>
      <c r="V207" s="226">
        <v>0.97</v>
      </c>
      <c r="W207" s="226">
        <v>0.97</v>
      </c>
      <c r="X207" s="226">
        <v>0.97</v>
      </c>
      <c r="Y207" s="226">
        <v>0.94</v>
      </c>
      <c r="Z207" s="226">
        <v>0.94</v>
      </c>
      <c r="AA207" s="226">
        <v>0.94</v>
      </c>
      <c r="AB207" s="226">
        <v>0.94</v>
      </c>
      <c r="AC207" s="226">
        <v>0.94</v>
      </c>
      <c r="AD207" s="226">
        <v>0.9</v>
      </c>
      <c r="AE207" s="226">
        <v>0.9</v>
      </c>
      <c r="AF207" s="226">
        <v>0.9</v>
      </c>
      <c r="AG207" s="226">
        <v>0.9</v>
      </c>
      <c r="AH207" s="226">
        <v>0.9</v>
      </c>
      <c r="AI207" s="226">
        <v>0.85</v>
      </c>
      <c r="AJ207" s="226">
        <v>0.85</v>
      </c>
      <c r="AK207" s="226">
        <v>0.85</v>
      </c>
      <c r="AL207" s="226">
        <v>0.85</v>
      </c>
      <c r="AM207" s="226">
        <v>0.85</v>
      </c>
      <c r="AN207" s="226">
        <v>0.8</v>
      </c>
      <c r="AO207" s="226">
        <v>0.8</v>
      </c>
      <c r="AP207" s="226">
        <v>0.8</v>
      </c>
      <c r="AQ207" s="226">
        <v>0.8</v>
      </c>
      <c r="AR207" s="226">
        <v>0.8</v>
      </c>
      <c r="AS207" s="226">
        <v>0.75</v>
      </c>
      <c r="AT207" s="226">
        <v>0.75</v>
      </c>
      <c r="AU207" s="226">
        <v>0.75</v>
      </c>
      <c r="AV207" s="226">
        <v>0.75</v>
      </c>
      <c r="AW207" s="226">
        <v>0.75</v>
      </c>
      <c r="AX207" s="226">
        <v>0.69</v>
      </c>
      <c r="AY207" s="226">
        <v>0.69</v>
      </c>
      <c r="AZ207" s="226">
        <v>0.69</v>
      </c>
      <c r="BA207" s="226">
        <v>0.69</v>
      </c>
      <c r="BB207" s="226">
        <v>0.69</v>
      </c>
      <c r="BC207" s="226">
        <v>0.64</v>
      </c>
      <c r="BD207" s="226">
        <v>0.64</v>
      </c>
      <c r="BE207" s="226">
        <v>0.64</v>
      </c>
      <c r="BF207" s="226">
        <v>0.64</v>
      </c>
      <c r="BG207" s="226">
        <v>0.64</v>
      </c>
      <c r="BH207" s="226">
        <v>0.57999999999999996</v>
      </c>
      <c r="BI207" s="226">
        <v>0.57999999999999996</v>
      </c>
      <c r="BJ207" s="226">
        <v>0.57999999999999996</v>
      </c>
      <c r="BK207" s="226">
        <v>0.57999999999999996</v>
      </c>
      <c r="BL207" s="226">
        <v>0.57999999999999996</v>
      </c>
      <c r="BM207" s="226">
        <v>0.3</v>
      </c>
      <c r="BN207" s="226">
        <v>0.3</v>
      </c>
      <c r="BO207" s="226">
        <v>0.3</v>
      </c>
      <c r="BP207" s="226">
        <v>0.3</v>
      </c>
      <c r="BQ207" s="226">
        <v>0.3</v>
      </c>
      <c r="BR207" s="226">
        <v>0.3</v>
      </c>
      <c r="BS207" s="226">
        <v>0.3</v>
      </c>
      <c r="BT207" s="226">
        <v>0.3</v>
      </c>
      <c r="BU207" s="226">
        <v>0.3</v>
      </c>
      <c r="BV207" s="226">
        <v>0.3</v>
      </c>
      <c r="BW207" s="226">
        <v>0.3</v>
      </c>
      <c r="BX207" s="226">
        <v>0.3</v>
      </c>
      <c r="BY207" s="226">
        <v>0.3</v>
      </c>
      <c r="BZ207" s="226">
        <v>0.3</v>
      </c>
      <c r="CA207" s="226">
        <v>0.3</v>
      </c>
    </row>
    <row r="208" spans="1:79">
      <c r="A208" s="227">
        <v>43</v>
      </c>
      <c r="B208" s="226">
        <v>1</v>
      </c>
      <c r="C208" s="226">
        <v>1</v>
      </c>
      <c r="D208" s="226">
        <v>1</v>
      </c>
      <c r="E208" s="226">
        <v>1</v>
      </c>
      <c r="F208" s="226">
        <v>1</v>
      </c>
      <c r="G208" s="226">
        <v>1</v>
      </c>
      <c r="H208" s="226">
        <v>1</v>
      </c>
      <c r="I208" s="226">
        <v>1</v>
      </c>
      <c r="J208" s="226">
        <v>1</v>
      </c>
      <c r="K208" s="226">
        <v>1</v>
      </c>
      <c r="L208" s="226">
        <v>1</v>
      </c>
      <c r="M208" s="226">
        <v>1</v>
      </c>
      <c r="N208" s="226">
        <v>1</v>
      </c>
      <c r="O208" s="226">
        <v>1</v>
      </c>
      <c r="P208" s="226"/>
      <c r="Q208" s="226">
        <v>1</v>
      </c>
      <c r="R208" s="226">
        <v>1</v>
      </c>
      <c r="S208" s="226">
        <v>0.97</v>
      </c>
      <c r="T208" s="226">
        <v>0.97</v>
      </c>
      <c r="U208" s="226"/>
      <c r="V208" s="226">
        <v>0.97</v>
      </c>
      <c r="W208" s="226">
        <v>0.97</v>
      </c>
      <c r="X208" s="226">
        <v>0.97</v>
      </c>
      <c r="Y208" s="226">
        <v>0.94</v>
      </c>
      <c r="Z208" s="226">
        <v>0.94</v>
      </c>
      <c r="AA208" s="226">
        <v>0.94</v>
      </c>
      <c r="AB208" s="226">
        <v>0.94</v>
      </c>
      <c r="AC208" s="226">
        <v>0.94</v>
      </c>
      <c r="AD208" s="226">
        <v>0.9</v>
      </c>
      <c r="AE208" s="226">
        <v>0.9</v>
      </c>
      <c r="AF208" s="226">
        <v>0.9</v>
      </c>
      <c r="AG208" s="226">
        <v>0.9</v>
      </c>
      <c r="AH208" s="226">
        <v>0.9</v>
      </c>
      <c r="AI208" s="226">
        <v>0.85</v>
      </c>
      <c r="AJ208" s="226">
        <v>0.85</v>
      </c>
      <c r="AK208" s="226">
        <v>0.85</v>
      </c>
      <c r="AL208" s="226">
        <v>0.85</v>
      </c>
      <c r="AM208" s="226">
        <v>0.85</v>
      </c>
      <c r="AN208" s="226">
        <v>0.8</v>
      </c>
      <c r="AO208" s="226">
        <v>0.8</v>
      </c>
      <c r="AP208" s="226">
        <v>0.8</v>
      </c>
      <c r="AQ208" s="226">
        <v>0.8</v>
      </c>
      <c r="AR208" s="226">
        <v>0.8</v>
      </c>
      <c r="AS208" s="226">
        <v>0.75</v>
      </c>
      <c r="AT208" s="226">
        <v>0.75</v>
      </c>
      <c r="AU208" s="226">
        <v>0.75</v>
      </c>
      <c r="AV208" s="226">
        <v>0.75</v>
      </c>
      <c r="AW208" s="226">
        <v>0.75</v>
      </c>
      <c r="AX208" s="226">
        <v>0.69</v>
      </c>
      <c r="AY208" s="226">
        <v>0.69</v>
      </c>
      <c r="AZ208" s="226">
        <v>0.69</v>
      </c>
      <c r="BA208" s="226">
        <v>0.69</v>
      </c>
      <c r="BB208" s="226">
        <v>0.69</v>
      </c>
      <c r="BC208" s="226">
        <v>0.64</v>
      </c>
      <c r="BD208" s="226">
        <v>0.64</v>
      </c>
      <c r="BE208" s="226">
        <v>0.64</v>
      </c>
      <c r="BF208" s="226">
        <v>0.64</v>
      </c>
      <c r="BG208" s="226">
        <v>0.64</v>
      </c>
      <c r="BH208" s="226">
        <v>0.57999999999999996</v>
      </c>
      <c r="BI208" s="226">
        <v>0.57999999999999996</v>
      </c>
      <c r="BJ208" s="226">
        <v>0.57999999999999996</v>
      </c>
      <c r="BK208" s="226">
        <v>0.57999999999999996</v>
      </c>
      <c r="BL208" s="226">
        <v>0.57999999999999996</v>
      </c>
      <c r="BM208" s="226">
        <v>0.3</v>
      </c>
      <c r="BN208" s="226">
        <v>0.3</v>
      </c>
      <c r="BO208" s="226">
        <v>0.3</v>
      </c>
      <c r="BP208" s="226">
        <v>0.3</v>
      </c>
      <c r="BQ208" s="226">
        <v>0.3</v>
      </c>
      <c r="BR208" s="226">
        <v>0.3</v>
      </c>
      <c r="BS208" s="226">
        <v>0.3</v>
      </c>
      <c r="BT208" s="226">
        <v>0.3</v>
      </c>
      <c r="BU208" s="226">
        <v>0.3</v>
      </c>
      <c r="BV208" s="226">
        <v>0.3</v>
      </c>
      <c r="BW208" s="226">
        <v>0.3</v>
      </c>
      <c r="BX208" s="226">
        <v>0.3</v>
      </c>
      <c r="BY208" s="226">
        <v>0.3</v>
      </c>
      <c r="BZ208" s="226">
        <v>0.3</v>
      </c>
      <c r="CA208" s="226">
        <v>0.3</v>
      </c>
    </row>
    <row r="209" spans="1:79">
      <c r="A209" s="227">
        <v>44</v>
      </c>
      <c r="B209" s="226">
        <v>1</v>
      </c>
      <c r="C209" s="226">
        <v>1</v>
      </c>
      <c r="D209" s="226">
        <v>1</v>
      </c>
      <c r="E209" s="226">
        <v>1</v>
      </c>
      <c r="F209" s="226">
        <v>1</v>
      </c>
      <c r="G209" s="226">
        <v>1</v>
      </c>
      <c r="H209" s="226">
        <v>1</v>
      </c>
      <c r="I209" s="226">
        <v>1</v>
      </c>
      <c r="J209" s="226">
        <v>1</v>
      </c>
      <c r="K209" s="226">
        <v>1</v>
      </c>
      <c r="L209" s="226">
        <v>1</v>
      </c>
      <c r="M209" s="226">
        <v>1</v>
      </c>
      <c r="N209" s="226">
        <v>1</v>
      </c>
      <c r="O209" s="226">
        <v>1</v>
      </c>
      <c r="P209" s="226"/>
      <c r="Q209" s="226">
        <v>1</v>
      </c>
      <c r="R209" s="226">
        <v>1</v>
      </c>
      <c r="S209" s="226">
        <v>0.97</v>
      </c>
      <c r="T209" s="226">
        <v>0.97</v>
      </c>
      <c r="U209" s="226"/>
      <c r="V209" s="226">
        <v>0.97</v>
      </c>
      <c r="W209" s="226">
        <v>0.97</v>
      </c>
      <c r="X209" s="226">
        <v>0.97</v>
      </c>
      <c r="Y209" s="226">
        <v>0.94</v>
      </c>
      <c r="Z209" s="226">
        <v>0.94</v>
      </c>
      <c r="AA209" s="226">
        <v>0.94</v>
      </c>
      <c r="AB209" s="226">
        <v>0.94</v>
      </c>
      <c r="AC209" s="226">
        <v>0.94</v>
      </c>
      <c r="AD209" s="226">
        <v>0.9</v>
      </c>
      <c r="AE209" s="226">
        <v>0.9</v>
      </c>
      <c r="AF209" s="226">
        <v>0.9</v>
      </c>
      <c r="AG209" s="226">
        <v>0.9</v>
      </c>
      <c r="AH209" s="226">
        <v>0.9</v>
      </c>
      <c r="AI209" s="226">
        <v>0.85</v>
      </c>
      <c r="AJ209" s="226">
        <v>0.85</v>
      </c>
      <c r="AK209" s="226">
        <v>0.85</v>
      </c>
      <c r="AL209" s="226">
        <v>0.85</v>
      </c>
      <c r="AM209" s="226">
        <v>0.85</v>
      </c>
      <c r="AN209" s="226">
        <v>0.8</v>
      </c>
      <c r="AO209" s="226">
        <v>0.8</v>
      </c>
      <c r="AP209" s="226">
        <v>0.8</v>
      </c>
      <c r="AQ209" s="226">
        <v>0.8</v>
      </c>
      <c r="AR209" s="226">
        <v>0.8</v>
      </c>
      <c r="AS209" s="226">
        <v>0.75</v>
      </c>
      <c r="AT209" s="226">
        <v>0.75</v>
      </c>
      <c r="AU209" s="226">
        <v>0.75</v>
      </c>
      <c r="AV209" s="226">
        <v>0.75</v>
      </c>
      <c r="AW209" s="226">
        <v>0.75</v>
      </c>
      <c r="AX209" s="226">
        <v>0.69</v>
      </c>
      <c r="AY209" s="226">
        <v>0.69</v>
      </c>
      <c r="AZ209" s="226">
        <v>0.69</v>
      </c>
      <c r="BA209" s="226">
        <v>0.69</v>
      </c>
      <c r="BB209" s="226">
        <v>0.69</v>
      </c>
      <c r="BC209" s="226">
        <v>0.64</v>
      </c>
      <c r="BD209" s="226">
        <v>0.64</v>
      </c>
      <c r="BE209" s="226">
        <v>0.64</v>
      </c>
      <c r="BF209" s="226">
        <v>0.64</v>
      </c>
      <c r="BG209" s="226">
        <v>0.64</v>
      </c>
      <c r="BH209" s="226">
        <v>0.57999999999999996</v>
      </c>
      <c r="BI209" s="226">
        <v>0.57999999999999996</v>
      </c>
      <c r="BJ209" s="226">
        <v>0.57999999999999996</v>
      </c>
      <c r="BK209" s="226">
        <v>0.57999999999999996</v>
      </c>
      <c r="BL209" s="226">
        <v>0.57999999999999996</v>
      </c>
      <c r="BM209" s="226">
        <v>0.3</v>
      </c>
      <c r="BN209" s="226">
        <v>0.3</v>
      </c>
      <c r="BO209" s="226">
        <v>0.3</v>
      </c>
      <c r="BP209" s="226">
        <v>0.3</v>
      </c>
      <c r="BQ209" s="226">
        <v>0.3</v>
      </c>
      <c r="BR209" s="226">
        <v>0.3</v>
      </c>
      <c r="BS209" s="226">
        <v>0.3</v>
      </c>
      <c r="BT209" s="226">
        <v>0.3</v>
      </c>
      <c r="BU209" s="226">
        <v>0.3</v>
      </c>
      <c r="BV209" s="226">
        <v>0.3</v>
      </c>
      <c r="BW209" s="226">
        <v>0.3</v>
      </c>
      <c r="BX209" s="226">
        <v>0.3</v>
      </c>
      <c r="BY209" s="226">
        <v>0.3</v>
      </c>
      <c r="BZ209" s="226">
        <v>0.3</v>
      </c>
      <c r="CA209" s="226">
        <v>0.3</v>
      </c>
    </row>
    <row r="210" spans="1:79">
      <c r="A210" s="227">
        <v>45</v>
      </c>
      <c r="B210" s="226">
        <v>1</v>
      </c>
      <c r="C210" s="226">
        <v>1</v>
      </c>
      <c r="D210" s="226">
        <v>1</v>
      </c>
      <c r="E210" s="226">
        <v>1</v>
      </c>
      <c r="F210" s="226">
        <v>1</v>
      </c>
      <c r="G210" s="226">
        <v>1</v>
      </c>
      <c r="H210" s="226">
        <v>1</v>
      </c>
      <c r="I210" s="226">
        <v>1</v>
      </c>
      <c r="J210" s="226">
        <v>1</v>
      </c>
      <c r="K210" s="226">
        <v>1</v>
      </c>
      <c r="L210" s="226">
        <v>1</v>
      </c>
      <c r="M210" s="226">
        <v>1</v>
      </c>
      <c r="N210" s="226">
        <v>1</v>
      </c>
      <c r="O210" s="226">
        <v>1</v>
      </c>
      <c r="P210" s="226"/>
      <c r="Q210" s="226">
        <v>1</v>
      </c>
      <c r="R210" s="226">
        <v>1</v>
      </c>
      <c r="S210" s="226">
        <v>0.97</v>
      </c>
      <c r="T210" s="226">
        <v>0.97</v>
      </c>
      <c r="U210" s="226"/>
      <c r="V210" s="226">
        <v>0.97</v>
      </c>
      <c r="W210" s="226">
        <v>0.97</v>
      </c>
      <c r="X210" s="226">
        <v>0.97</v>
      </c>
      <c r="Y210" s="226">
        <v>0.94</v>
      </c>
      <c r="Z210" s="226">
        <v>0.94</v>
      </c>
      <c r="AA210" s="226">
        <v>0.94</v>
      </c>
      <c r="AB210" s="226">
        <v>0.94</v>
      </c>
      <c r="AC210" s="226">
        <v>0.94</v>
      </c>
      <c r="AD210" s="226">
        <v>0.9</v>
      </c>
      <c r="AE210" s="226">
        <v>0.9</v>
      </c>
      <c r="AF210" s="226">
        <v>0.9</v>
      </c>
      <c r="AG210" s="226">
        <v>0.9</v>
      </c>
      <c r="AH210" s="226">
        <v>0.9</v>
      </c>
      <c r="AI210" s="226">
        <v>0.85</v>
      </c>
      <c r="AJ210" s="226">
        <v>0.85</v>
      </c>
      <c r="AK210" s="226">
        <v>0.85</v>
      </c>
      <c r="AL210" s="226">
        <v>0.85</v>
      </c>
      <c r="AM210" s="226">
        <v>0.85</v>
      </c>
      <c r="AN210" s="226">
        <v>0.8</v>
      </c>
      <c r="AO210" s="226">
        <v>0.8</v>
      </c>
      <c r="AP210" s="226">
        <v>0.8</v>
      </c>
      <c r="AQ210" s="226">
        <v>0.8</v>
      </c>
      <c r="AR210" s="226">
        <v>0.8</v>
      </c>
      <c r="AS210" s="226">
        <v>0.75</v>
      </c>
      <c r="AT210" s="226">
        <v>0.75</v>
      </c>
      <c r="AU210" s="226">
        <v>0.75</v>
      </c>
      <c r="AV210" s="226">
        <v>0.75</v>
      </c>
      <c r="AW210" s="226">
        <v>0.75</v>
      </c>
      <c r="AX210" s="226">
        <v>0.69</v>
      </c>
      <c r="AY210" s="226">
        <v>0.69</v>
      </c>
      <c r="AZ210" s="226">
        <v>0.69</v>
      </c>
      <c r="BA210" s="226">
        <v>0.69</v>
      </c>
      <c r="BB210" s="226">
        <v>0.69</v>
      </c>
      <c r="BC210" s="226">
        <v>0.64</v>
      </c>
      <c r="BD210" s="226">
        <v>0.64</v>
      </c>
      <c r="BE210" s="226">
        <v>0.64</v>
      </c>
      <c r="BF210" s="226">
        <v>0.64</v>
      </c>
      <c r="BG210" s="226">
        <v>0.64</v>
      </c>
      <c r="BH210" s="226">
        <v>0.57999999999999996</v>
      </c>
      <c r="BI210" s="226">
        <v>0.57999999999999996</v>
      </c>
      <c r="BJ210" s="226">
        <v>0.57999999999999996</v>
      </c>
      <c r="BK210" s="226">
        <v>0.57999999999999996</v>
      </c>
      <c r="BL210" s="226">
        <v>0.57999999999999996</v>
      </c>
      <c r="BM210" s="226">
        <v>0.3</v>
      </c>
      <c r="BN210" s="226">
        <v>0.3</v>
      </c>
      <c r="BO210" s="226">
        <v>0.3</v>
      </c>
      <c r="BP210" s="226">
        <v>0.3</v>
      </c>
      <c r="BQ210" s="226">
        <v>0.3</v>
      </c>
      <c r="BR210" s="226">
        <v>0.3</v>
      </c>
      <c r="BS210" s="226">
        <v>0.3</v>
      </c>
      <c r="BT210" s="226">
        <v>0.3</v>
      </c>
      <c r="BU210" s="226">
        <v>0.3</v>
      </c>
      <c r="BV210" s="226">
        <v>0.3</v>
      </c>
      <c r="BW210" s="226">
        <v>0.3</v>
      </c>
      <c r="BX210" s="226">
        <v>0.3</v>
      </c>
      <c r="BY210" s="226">
        <v>0.3</v>
      </c>
      <c r="BZ210" s="226">
        <v>0.3</v>
      </c>
      <c r="CA210" s="226">
        <v>0.3</v>
      </c>
    </row>
    <row r="211" spans="1:79">
      <c r="A211" s="227">
        <v>46</v>
      </c>
      <c r="B211" s="226">
        <v>1</v>
      </c>
      <c r="C211" s="226">
        <v>1</v>
      </c>
      <c r="D211" s="226">
        <v>1</v>
      </c>
      <c r="E211" s="226">
        <v>1</v>
      </c>
      <c r="F211" s="226">
        <v>1</v>
      </c>
      <c r="G211" s="226">
        <v>1</v>
      </c>
      <c r="H211" s="226">
        <v>1</v>
      </c>
      <c r="I211" s="226">
        <v>1</v>
      </c>
      <c r="J211" s="226">
        <v>1</v>
      </c>
      <c r="K211" s="226">
        <v>1</v>
      </c>
      <c r="L211" s="226">
        <v>1</v>
      </c>
      <c r="M211" s="226">
        <v>1</v>
      </c>
      <c r="N211" s="226">
        <v>1</v>
      </c>
      <c r="O211" s="226">
        <v>1</v>
      </c>
      <c r="P211" s="226"/>
      <c r="Q211" s="226">
        <v>1</v>
      </c>
      <c r="R211" s="226">
        <v>1</v>
      </c>
      <c r="S211" s="226">
        <v>0.97</v>
      </c>
      <c r="T211" s="226">
        <v>0.97</v>
      </c>
      <c r="U211" s="226"/>
      <c r="V211" s="226">
        <v>0.97</v>
      </c>
      <c r="W211" s="226">
        <v>0.97</v>
      </c>
      <c r="X211" s="226">
        <v>0.97</v>
      </c>
      <c r="Y211" s="226">
        <v>0.94</v>
      </c>
      <c r="Z211" s="226">
        <v>0.94</v>
      </c>
      <c r="AA211" s="226">
        <v>0.94</v>
      </c>
      <c r="AB211" s="226">
        <v>0.94</v>
      </c>
      <c r="AC211" s="226">
        <v>0.94</v>
      </c>
      <c r="AD211" s="226">
        <v>0.9</v>
      </c>
      <c r="AE211" s="226">
        <v>0.9</v>
      </c>
      <c r="AF211" s="226">
        <v>0.9</v>
      </c>
      <c r="AG211" s="226">
        <v>0.9</v>
      </c>
      <c r="AH211" s="226">
        <v>0.9</v>
      </c>
      <c r="AI211" s="226">
        <v>0.85</v>
      </c>
      <c r="AJ211" s="226">
        <v>0.85</v>
      </c>
      <c r="AK211" s="226">
        <v>0.85</v>
      </c>
      <c r="AL211" s="226">
        <v>0.85</v>
      </c>
      <c r="AM211" s="226">
        <v>0.85</v>
      </c>
      <c r="AN211" s="226">
        <v>0.8</v>
      </c>
      <c r="AO211" s="226">
        <v>0.8</v>
      </c>
      <c r="AP211" s="226">
        <v>0.8</v>
      </c>
      <c r="AQ211" s="226">
        <v>0.8</v>
      </c>
      <c r="AR211" s="226">
        <v>0.8</v>
      </c>
      <c r="AS211" s="226">
        <v>0.75</v>
      </c>
      <c r="AT211" s="226">
        <v>0.75</v>
      </c>
      <c r="AU211" s="226">
        <v>0.75</v>
      </c>
      <c r="AV211" s="226">
        <v>0.75</v>
      </c>
      <c r="AW211" s="226">
        <v>0.75</v>
      </c>
      <c r="AX211" s="226">
        <v>0.69</v>
      </c>
      <c r="AY211" s="226">
        <v>0.69</v>
      </c>
      <c r="AZ211" s="226">
        <v>0.69</v>
      </c>
      <c r="BA211" s="226">
        <v>0.69</v>
      </c>
      <c r="BB211" s="226">
        <v>0.69</v>
      </c>
      <c r="BC211" s="226">
        <v>0.64</v>
      </c>
      <c r="BD211" s="226">
        <v>0.64</v>
      </c>
      <c r="BE211" s="226">
        <v>0.64</v>
      </c>
      <c r="BF211" s="226">
        <v>0.64</v>
      </c>
      <c r="BG211" s="226">
        <v>0.64</v>
      </c>
      <c r="BH211" s="226">
        <v>0.57999999999999996</v>
      </c>
      <c r="BI211" s="226">
        <v>0.57999999999999996</v>
      </c>
      <c r="BJ211" s="226">
        <v>0.57999999999999996</v>
      </c>
      <c r="BK211" s="226">
        <v>0.57999999999999996</v>
      </c>
      <c r="BL211" s="226">
        <v>0.57999999999999996</v>
      </c>
      <c r="BM211" s="226">
        <v>0.3</v>
      </c>
      <c r="BN211" s="226">
        <v>0.3</v>
      </c>
      <c r="BO211" s="226">
        <v>0.3</v>
      </c>
      <c r="BP211" s="226">
        <v>0.3</v>
      </c>
      <c r="BQ211" s="226">
        <v>0.3</v>
      </c>
      <c r="BR211" s="226">
        <v>0.3</v>
      </c>
      <c r="BS211" s="226">
        <v>0.3</v>
      </c>
      <c r="BT211" s="226">
        <v>0.3</v>
      </c>
      <c r="BU211" s="226">
        <v>0.3</v>
      </c>
      <c r="BV211" s="226">
        <v>0.3</v>
      </c>
      <c r="BW211" s="226">
        <v>0.3</v>
      </c>
      <c r="BX211" s="226">
        <v>0.3</v>
      </c>
      <c r="BY211" s="226">
        <v>0.3</v>
      </c>
      <c r="BZ211" s="226">
        <v>0.3</v>
      </c>
      <c r="CA211" s="226">
        <v>0.3</v>
      </c>
    </row>
    <row r="212" spans="1:79">
      <c r="A212" s="227">
        <v>47</v>
      </c>
      <c r="B212" s="226">
        <v>1</v>
      </c>
      <c r="C212" s="226">
        <v>1</v>
      </c>
      <c r="D212" s="226">
        <v>1</v>
      </c>
      <c r="E212" s="226">
        <v>1</v>
      </c>
      <c r="F212" s="226">
        <v>1</v>
      </c>
      <c r="G212" s="226">
        <v>1</v>
      </c>
      <c r="H212" s="226">
        <v>1</v>
      </c>
      <c r="I212" s="226">
        <v>1</v>
      </c>
      <c r="J212" s="226">
        <v>1</v>
      </c>
      <c r="K212" s="226">
        <v>1</v>
      </c>
      <c r="L212" s="226">
        <v>1</v>
      </c>
      <c r="M212" s="226">
        <v>1</v>
      </c>
      <c r="N212" s="226">
        <v>1</v>
      </c>
      <c r="O212" s="226">
        <v>1</v>
      </c>
      <c r="P212" s="226"/>
      <c r="Q212" s="226">
        <v>1</v>
      </c>
      <c r="R212" s="226">
        <v>1</v>
      </c>
      <c r="S212" s="226">
        <v>0.97</v>
      </c>
      <c r="T212" s="226">
        <v>0.97</v>
      </c>
      <c r="U212" s="226"/>
      <c r="V212" s="226">
        <v>0.97</v>
      </c>
      <c r="W212" s="226">
        <v>0.97</v>
      </c>
      <c r="X212" s="226">
        <v>0.97</v>
      </c>
      <c r="Y212" s="226">
        <v>0.94</v>
      </c>
      <c r="Z212" s="226">
        <v>0.94</v>
      </c>
      <c r="AA212" s="226">
        <v>0.94</v>
      </c>
      <c r="AB212" s="226">
        <v>0.94</v>
      </c>
      <c r="AC212" s="226">
        <v>0.94</v>
      </c>
      <c r="AD212" s="226">
        <v>0.9</v>
      </c>
      <c r="AE212" s="226">
        <v>0.9</v>
      </c>
      <c r="AF212" s="226">
        <v>0.9</v>
      </c>
      <c r="AG212" s="226">
        <v>0.9</v>
      </c>
      <c r="AH212" s="226">
        <v>0.9</v>
      </c>
      <c r="AI212" s="226">
        <v>0.85</v>
      </c>
      <c r="AJ212" s="226">
        <v>0.85</v>
      </c>
      <c r="AK212" s="226">
        <v>0.85</v>
      </c>
      <c r="AL212" s="226">
        <v>0.85</v>
      </c>
      <c r="AM212" s="226">
        <v>0.85</v>
      </c>
      <c r="AN212" s="226">
        <v>0.8</v>
      </c>
      <c r="AO212" s="226">
        <v>0.8</v>
      </c>
      <c r="AP212" s="226">
        <v>0.8</v>
      </c>
      <c r="AQ212" s="226">
        <v>0.8</v>
      </c>
      <c r="AR212" s="226">
        <v>0.8</v>
      </c>
      <c r="AS212" s="226">
        <v>0.75</v>
      </c>
      <c r="AT212" s="226">
        <v>0.75</v>
      </c>
      <c r="AU212" s="226">
        <v>0.75</v>
      </c>
      <c r="AV212" s="226">
        <v>0.75</v>
      </c>
      <c r="AW212" s="226">
        <v>0.75</v>
      </c>
      <c r="AX212" s="226">
        <v>0.69</v>
      </c>
      <c r="AY212" s="226">
        <v>0.69</v>
      </c>
      <c r="AZ212" s="226">
        <v>0.69</v>
      </c>
      <c r="BA212" s="226">
        <v>0.69</v>
      </c>
      <c r="BB212" s="226">
        <v>0.69</v>
      </c>
      <c r="BC212" s="226">
        <v>0.64</v>
      </c>
      <c r="BD212" s="226">
        <v>0.64</v>
      </c>
      <c r="BE212" s="226">
        <v>0.64</v>
      </c>
      <c r="BF212" s="226">
        <v>0.64</v>
      </c>
      <c r="BG212" s="226">
        <v>0.64</v>
      </c>
      <c r="BH212" s="226">
        <v>0.57999999999999996</v>
      </c>
      <c r="BI212" s="226">
        <v>0.57999999999999996</v>
      </c>
      <c r="BJ212" s="226">
        <v>0.57999999999999996</v>
      </c>
      <c r="BK212" s="226">
        <v>0.57999999999999996</v>
      </c>
      <c r="BL212" s="226">
        <v>0.57999999999999996</v>
      </c>
      <c r="BM212" s="226">
        <v>0.3</v>
      </c>
      <c r="BN212" s="226">
        <v>0.3</v>
      </c>
      <c r="BO212" s="226">
        <v>0.3</v>
      </c>
      <c r="BP212" s="226">
        <v>0.3</v>
      </c>
      <c r="BQ212" s="226">
        <v>0.3</v>
      </c>
      <c r="BR212" s="226">
        <v>0.3</v>
      </c>
      <c r="BS212" s="226">
        <v>0.3</v>
      </c>
      <c r="BT212" s="226">
        <v>0.3</v>
      </c>
      <c r="BU212" s="226">
        <v>0.3</v>
      </c>
      <c r="BV212" s="226">
        <v>0.3</v>
      </c>
      <c r="BW212" s="226">
        <v>0.3</v>
      </c>
      <c r="BX212" s="226">
        <v>0.3</v>
      </c>
      <c r="BY212" s="226">
        <v>0.3</v>
      </c>
      <c r="BZ212" s="226">
        <v>0.3</v>
      </c>
      <c r="CA212" s="226">
        <v>0.3</v>
      </c>
    </row>
    <row r="213" spans="1:79">
      <c r="A213" s="227">
        <v>48</v>
      </c>
      <c r="B213" s="226">
        <v>1</v>
      </c>
      <c r="C213" s="226">
        <v>1</v>
      </c>
      <c r="D213" s="226">
        <v>1</v>
      </c>
      <c r="E213" s="226">
        <v>1</v>
      </c>
      <c r="F213" s="226">
        <v>1</v>
      </c>
      <c r="G213" s="226">
        <v>1</v>
      </c>
      <c r="H213" s="226">
        <v>1</v>
      </c>
      <c r="I213" s="226">
        <v>1</v>
      </c>
      <c r="J213" s="226">
        <v>1</v>
      </c>
      <c r="K213" s="226">
        <v>1</v>
      </c>
      <c r="L213" s="226">
        <v>1</v>
      </c>
      <c r="M213" s="226">
        <v>1</v>
      </c>
      <c r="N213" s="226">
        <v>1</v>
      </c>
      <c r="O213" s="226">
        <v>1</v>
      </c>
      <c r="P213" s="226"/>
      <c r="Q213" s="226">
        <v>1</v>
      </c>
      <c r="R213" s="226">
        <v>1</v>
      </c>
      <c r="S213" s="226">
        <v>0.97</v>
      </c>
      <c r="T213" s="226">
        <v>0.97</v>
      </c>
      <c r="U213" s="226"/>
      <c r="V213" s="226">
        <v>0.97</v>
      </c>
      <c r="W213" s="226">
        <v>0.97</v>
      </c>
      <c r="X213" s="226">
        <v>0.97</v>
      </c>
      <c r="Y213" s="226">
        <v>0.94</v>
      </c>
      <c r="Z213" s="226">
        <v>0.94</v>
      </c>
      <c r="AA213" s="226">
        <v>0.94</v>
      </c>
      <c r="AB213" s="226">
        <v>0.94</v>
      </c>
      <c r="AC213" s="226">
        <v>0.94</v>
      </c>
      <c r="AD213" s="226">
        <v>0.9</v>
      </c>
      <c r="AE213" s="226">
        <v>0.9</v>
      </c>
      <c r="AF213" s="226">
        <v>0.9</v>
      </c>
      <c r="AG213" s="226">
        <v>0.9</v>
      </c>
      <c r="AH213" s="226">
        <v>0.9</v>
      </c>
      <c r="AI213" s="226">
        <v>0.85</v>
      </c>
      <c r="AJ213" s="226">
        <v>0.85</v>
      </c>
      <c r="AK213" s="226">
        <v>0.85</v>
      </c>
      <c r="AL213" s="226">
        <v>0.85</v>
      </c>
      <c r="AM213" s="226">
        <v>0.85</v>
      </c>
      <c r="AN213" s="226">
        <v>0.8</v>
      </c>
      <c r="AO213" s="226">
        <v>0.8</v>
      </c>
      <c r="AP213" s="226">
        <v>0.8</v>
      </c>
      <c r="AQ213" s="226">
        <v>0.8</v>
      </c>
      <c r="AR213" s="226">
        <v>0.8</v>
      </c>
      <c r="AS213" s="226">
        <v>0.75</v>
      </c>
      <c r="AT213" s="226">
        <v>0.75</v>
      </c>
      <c r="AU213" s="226">
        <v>0.75</v>
      </c>
      <c r="AV213" s="226">
        <v>0.75</v>
      </c>
      <c r="AW213" s="226">
        <v>0.75</v>
      </c>
      <c r="AX213" s="226">
        <v>0.69</v>
      </c>
      <c r="AY213" s="226">
        <v>0.69</v>
      </c>
      <c r="AZ213" s="226">
        <v>0.69</v>
      </c>
      <c r="BA213" s="226">
        <v>0.69</v>
      </c>
      <c r="BB213" s="226">
        <v>0.69</v>
      </c>
      <c r="BC213" s="226">
        <v>0.64</v>
      </c>
      <c r="BD213" s="226">
        <v>0.64</v>
      </c>
      <c r="BE213" s="226">
        <v>0.64</v>
      </c>
      <c r="BF213" s="226">
        <v>0.64</v>
      </c>
      <c r="BG213" s="226">
        <v>0.64</v>
      </c>
      <c r="BH213" s="226">
        <v>0.57999999999999996</v>
      </c>
      <c r="BI213" s="226">
        <v>0.57999999999999996</v>
      </c>
      <c r="BJ213" s="226">
        <v>0.57999999999999996</v>
      </c>
      <c r="BK213" s="226">
        <v>0.57999999999999996</v>
      </c>
      <c r="BL213" s="226">
        <v>0.57999999999999996</v>
      </c>
      <c r="BM213" s="226">
        <v>0.3</v>
      </c>
      <c r="BN213" s="226">
        <v>0.3</v>
      </c>
      <c r="BO213" s="226">
        <v>0.3</v>
      </c>
      <c r="BP213" s="226">
        <v>0.3</v>
      </c>
      <c r="BQ213" s="226">
        <v>0.3</v>
      </c>
      <c r="BR213" s="226">
        <v>0.3</v>
      </c>
      <c r="BS213" s="226">
        <v>0.3</v>
      </c>
      <c r="BT213" s="226">
        <v>0.3</v>
      </c>
      <c r="BU213" s="226">
        <v>0.3</v>
      </c>
      <c r="BV213" s="226">
        <v>0.3</v>
      </c>
      <c r="BW213" s="226">
        <v>0.3</v>
      </c>
      <c r="BX213" s="226">
        <v>0.3</v>
      </c>
      <c r="BY213" s="226">
        <v>0.3</v>
      </c>
      <c r="BZ213" s="226">
        <v>0.3</v>
      </c>
      <c r="CA213" s="226">
        <v>0.3</v>
      </c>
    </row>
    <row r="214" spans="1:79">
      <c r="A214" s="227">
        <v>49</v>
      </c>
      <c r="B214" s="226">
        <v>1</v>
      </c>
      <c r="C214" s="226">
        <v>1</v>
      </c>
      <c r="D214" s="226">
        <v>1</v>
      </c>
      <c r="E214" s="226">
        <v>1</v>
      </c>
      <c r="F214" s="226">
        <v>1</v>
      </c>
      <c r="G214" s="226">
        <v>1</v>
      </c>
      <c r="H214" s="226">
        <v>1</v>
      </c>
      <c r="I214" s="226">
        <v>1</v>
      </c>
      <c r="J214" s="226">
        <v>1</v>
      </c>
      <c r="K214" s="226">
        <v>1</v>
      </c>
      <c r="L214" s="226">
        <v>1</v>
      </c>
      <c r="M214" s="226">
        <v>1</v>
      </c>
      <c r="N214" s="226">
        <v>1</v>
      </c>
      <c r="O214" s="226">
        <v>1</v>
      </c>
      <c r="P214" s="226"/>
      <c r="Q214" s="226">
        <v>1</v>
      </c>
      <c r="R214" s="226">
        <v>1</v>
      </c>
      <c r="S214" s="226">
        <v>0.97</v>
      </c>
      <c r="T214" s="226">
        <v>0.97</v>
      </c>
      <c r="U214" s="226"/>
      <c r="V214" s="226">
        <v>0.97</v>
      </c>
      <c r="W214" s="226">
        <v>0.97</v>
      </c>
      <c r="X214" s="226">
        <v>0.97</v>
      </c>
      <c r="Y214" s="226">
        <v>0.94</v>
      </c>
      <c r="Z214" s="226">
        <v>0.94</v>
      </c>
      <c r="AA214" s="226">
        <v>0.94</v>
      </c>
      <c r="AB214" s="226">
        <v>0.94</v>
      </c>
      <c r="AC214" s="226">
        <v>0.94</v>
      </c>
      <c r="AD214" s="226">
        <v>0.9</v>
      </c>
      <c r="AE214" s="226">
        <v>0.9</v>
      </c>
      <c r="AF214" s="226">
        <v>0.9</v>
      </c>
      <c r="AG214" s="226">
        <v>0.9</v>
      </c>
      <c r="AH214" s="226">
        <v>0.9</v>
      </c>
      <c r="AI214" s="226">
        <v>0.85</v>
      </c>
      <c r="AJ214" s="226">
        <v>0.85</v>
      </c>
      <c r="AK214" s="226">
        <v>0.85</v>
      </c>
      <c r="AL214" s="226">
        <v>0.85</v>
      </c>
      <c r="AM214" s="226">
        <v>0.85</v>
      </c>
      <c r="AN214" s="226">
        <v>0.8</v>
      </c>
      <c r="AO214" s="226">
        <v>0.8</v>
      </c>
      <c r="AP214" s="226">
        <v>0.8</v>
      </c>
      <c r="AQ214" s="226">
        <v>0.8</v>
      </c>
      <c r="AR214" s="226">
        <v>0.8</v>
      </c>
      <c r="AS214" s="226">
        <v>0.75</v>
      </c>
      <c r="AT214" s="226">
        <v>0.75</v>
      </c>
      <c r="AU214" s="226">
        <v>0.75</v>
      </c>
      <c r="AV214" s="226">
        <v>0.75</v>
      </c>
      <c r="AW214" s="226">
        <v>0.75</v>
      </c>
      <c r="AX214" s="226">
        <v>0.69</v>
      </c>
      <c r="AY214" s="226">
        <v>0.69</v>
      </c>
      <c r="AZ214" s="226">
        <v>0.69</v>
      </c>
      <c r="BA214" s="226">
        <v>0.69</v>
      </c>
      <c r="BB214" s="226">
        <v>0.69</v>
      </c>
      <c r="BC214" s="226">
        <v>0.64</v>
      </c>
      <c r="BD214" s="226">
        <v>0.64</v>
      </c>
      <c r="BE214" s="226">
        <v>0.64</v>
      </c>
      <c r="BF214" s="226">
        <v>0.64</v>
      </c>
      <c r="BG214" s="226">
        <v>0.64</v>
      </c>
      <c r="BH214" s="226">
        <v>0.57999999999999996</v>
      </c>
      <c r="BI214" s="226">
        <v>0.57999999999999996</v>
      </c>
      <c r="BJ214" s="226">
        <v>0.57999999999999996</v>
      </c>
      <c r="BK214" s="226">
        <v>0.57999999999999996</v>
      </c>
      <c r="BL214" s="226">
        <v>0.57999999999999996</v>
      </c>
      <c r="BM214" s="226">
        <v>0.3</v>
      </c>
      <c r="BN214" s="226">
        <v>0.3</v>
      </c>
      <c r="BO214" s="226">
        <v>0.3</v>
      </c>
      <c r="BP214" s="226">
        <v>0.3</v>
      </c>
      <c r="BQ214" s="226">
        <v>0.3</v>
      </c>
      <c r="BR214" s="226">
        <v>0.3</v>
      </c>
      <c r="BS214" s="226">
        <v>0.3</v>
      </c>
      <c r="BT214" s="226">
        <v>0.3</v>
      </c>
      <c r="BU214" s="226">
        <v>0.3</v>
      </c>
      <c r="BV214" s="226">
        <v>0.3</v>
      </c>
      <c r="BW214" s="226">
        <v>0.3</v>
      </c>
      <c r="BX214" s="226">
        <v>0.3</v>
      </c>
      <c r="BY214" s="226">
        <v>0.3</v>
      </c>
      <c r="BZ214" s="226">
        <v>0.3</v>
      </c>
      <c r="CA214" s="226">
        <v>0.3</v>
      </c>
    </row>
    <row r="215" spans="1:79">
      <c r="A215" s="227">
        <v>50</v>
      </c>
      <c r="B215" s="226">
        <v>1</v>
      </c>
      <c r="C215" s="226">
        <v>1</v>
      </c>
      <c r="D215" s="226">
        <v>1</v>
      </c>
      <c r="E215" s="226">
        <v>1</v>
      </c>
      <c r="F215" s="226">
        <v>1</v>
      </c>
      <c r="G215" s="226">
        <v>1</v>
      </c>
      <c r="H215" s="226">
        <v>1</v>
      </c>
      <c r="I215" s="226">
        <v>1</v>
      </c>
      <c r="J215" s="226">
        <v>1</v>
      </c>
      <c r="K215" s="226">
        <v>1</v>
      </c>
      <c r="L215" s="226">
        <v>1</v>
      </c>
      <c r="M215" s="226">
        <v>1</v>
      </c>
      <c r="N215" s="226">
        <v>1</v>
      </c>
      <c r="O215" s="226">
        <v>1</v>
      </c>
      <c r="P215" s="226"/>
      <c r="Q215" s="226">
        <v>1</v>
      </c>
      <c r="R215" s="226">
        <v>1</v>
      </c>
      <c r="S215" s="226">
        <v>0.97</v>
      </c>
      <c r="T215" s="226">
        <v>0.97</v>
      </c>
      <c r="U215" s="226"/>
      <c r="V215" s="226">
        <v>0.97</v>
      </c>
      <c r="W215" s="226">
        <v>0.97</v>
      </c>
      <c r="X215" s="226">
        <v>0.97</v>
      </c>
      <c r="Y215" s="226">
        <v>0.94</v>
      </c>
      <c r="Z215" s="226">
        <v>0.94</v>
      </c>
      <c r="AA215" s="226">
        <v>0.94</v>
      </c>
      <c r="AB215" s="226">
        <v>0.94</v>
      </c>
      <c r="AC215" s="226">
        <v>0.94</v>
      </c>
      <c r="AD215" s="226">
        <v>0.9</v>
      </c>
      <c r="AE215" s="226">
        <v>0.9</v>
      </c>
      <c r="AF215" s="226">
        <v>0.9</v>
      </c>
      <c r="AG215" s="226">
        <v>0.9</v>
      </c>
      <c r="AH215" s="226">
        <v>0.9</v>
      </c>
      <c r="AI215" s="226">
        <v>0.85</v>
      </c>
      <c r="AJ215" s="226">
        <v>0.85</v>
      </c>
      <c r="AK215" s="226">
        <v>0.85</v>
      </c>
      <c r="AL215" s="226">
        <v>0.85</v>
      </c>
      <c r="AM215" s="226">
        <v>0.85</v>
      </c>
      <c r="AN215" s="226">
        <v>0.8</v>
      </c>
      <c r="AO215" s="226">
        <v>0.8</v>
      </c>
      <c r="AP215" s="226">
        <v>0.8</v>
      </c>
      <c r="AQ215" s="226">
        <v>0.8</v>
      </c>
      <c r="AR215" s="226">
        <v>0.8</v>
      </c>
      <c r="AS215" s="226">
        <v>0.75</v>
      </c>
      <c r="AT215" s="226">
        <v>0.75</v>
      </c>
      <c r="AU215" s="226">
        <v>0.75</v>
      </c>
      <c r="AV215" s="226">
        <v>0.75</v>
      </c>
      <c r="AW215" s="226">
        <v>0.75</v>
      </c>
      <c r="AX215" s="226">
        <v>0.69</v>
      </c>
      <c r="AY215" s="226">
        <v>0.69</v>
      </c>
      <c r="AZ215" s="226">
        <v>0.69</v>
      </c>
      <c r="BA215" s="226">
        <v>0.69</v>
      </c>
      <c r="BB215" s="226">
        <v>0.69</v>
      </c>
      <c r="BC215" s="226">
        <v>0.64</v>
      </c>
      <c r="BD215" s="226">
        <v>0.64</v>
      </c>
      <c r="BE215" s="226">
        <v>0.64</v>
      </c>
      <c r="BF215" s="226">
        <v>0.64</v>
      </c>
      <c r="BG215" s="226">
        <v>0.64</v>
      </c>
      <c r="BH215" s="226">
        <v>0.57999999999999996</v>
      </c>
      <c r="BI215" s="226">
        <v>0.57999999999999996</v>
      </c>
      <c r="BJ215" s="226">
        <v>0.57999999999999996</v>
      </c>
      <c r="BK215" s="226">
        <v>0.57999999999999996</v>
      </c>
      <c r="BL215" s="226">
        <v>0.57999999999999996</v>
      </c>
      <c r="BM215" s="226">
        <v>0.3</v>
      </c>
      <c r="BN215" s="226">
        <v>0.3</v>
      </c>
      <c r="BO215" s="226">
        <v>0.3</v>
      </c>
      <c r="BP215" s="226">
        <v>0.3</v>
      </c>
      <c r="BQ215" s="226">
        <v>0.3</v>
      </c>
      <c r="BR215" s="226">
        <v>0.3</v>
      </c>
      <c r="BS215" s="226">
        <v>0.3</v>
      </c>
      <c r="BT215" s="226">
        <v>0.3</v>
      </c>
      <c r="BU215" s="226">
        <v>0.3</v>
      </c>
      <c r="BV215" s="226">
        <v>0.3</v>
      </c>
      <c r="BW215" s="226">
        <v>0.3</v>
      </c>
      <c r="BX215" s="226">
        <v>0.3</v>
      </c>
      <c r="BY215" s="226">
        <v>0.3</v>
      </c>
      <c r="BZ215" s="226">
        <v>0.3</v>
      </c>
      <c r="CA215" s="226">
        <v>0.3</v>
      </c>
    </row>
    <row r="216" spans="1:79">
      <c r="A216" s="227">
        <v>51</v>
      </c>
      <c r="B216" s="226">
        <v>1</v>
      </c>
      <c r="C216" s="226">
        <v>1</v>
      </c>
      <c r="D216" s="226">
        <v>1</v>
      </c>
      <c r="E216" s="226">
        <v>1</v>
      </c>
      <c r="F216" s="226">
        <v>1</v>
      </c>
      <c r="G216" s="226">
        <v>1</v>
      </c>
      <c r="H216" s="226">
        <v>1</v>
      </c>
      <c r="I216" s="226">
        <v>1</v>
      </c>
      <c r="J216" s="226">
        <v>1</v>
      </c>
      <c r="K216" s="226">
        <v>1</v>
      </c>
      <c r="L216" s="226">
        <v>1</v>
      </c>
      <c r="M216" s="226">
        <v>1</v>
      </c>
      <c r="N216" s="226">
        <v>1</v>
      </c>
      <c r="O216" s="226">
        <v>1</v>
      </c>
      <c r="P216" s="226"/>
      <c r="Q216" s="226">
        <v>1</v>
      </c>
      <c r="R216" s="226">
        <v>1</v>
      </c>
      <c r="S216" s="226">
        <v>0.97</v>
      </c>
      <c r="T216" s="226">
        <v>0.97</v>
      </c>
      <c r="U216" s="226"/>
      <c r="V216" s="226">
        <v>0.97</v>
      </c>
      <c r="W216" s="226">
        <v>0.97</v>
      </c>
      <c r="X216" s="226">
        <v>0.97</v>
      </c>
      <c r="Y216" s="226">
        <v>0.93</v>
      </c>
      <c r="Z216" s="226">
        <v>0.93</v>
      </c>
      <c r="AA216" s="226">
        <v>0.93</v>
      </c>
      <c r="AB216" s="226">
        <v>0.93</v>
      </c>
      <c r="AC216" s="226">
        <v>0.93</v>
      </c>
      <c r="AD216" s="226">
        <v>0.88</v>
      </c>
      <c r="AE216" s="226">
        <v>0.88</v>
      </c>
      <c r="AF216" s="226">
        <v>0.88</v>
      </c>
      <c r="AG216" s="226">
        <v>0.88</v>
      </c>
      <c r="AH216" s="226">
        <v>0.88</v>
      </c>
      <c r="AI216" s="226">
        <v>0.83</v>
      </c>
      <c r="AJ216" s="226">
        <v>0.83</v>
      </c>
      <c r="AK216" s="226">
        <v>0.83</v>
      </c>
      <c r="AL216" s="226">
        <v>0.83</v>
      </c>
      <c r="AM216" s="226">
        <v>0.83</v>
      </c>
      <c r="AN216" s="226">
        <v>0.77</v>
      </c>
      <c r="AO216" s="226">
        <v>0.77</v>
      </c>
      <c r="AP216" s="226">
        <v>0.77</v>
      </c>
      <c r="AQ216" s="226">
        <v>0.77</v>
      </c>
      <c r="AR216" s="226">
        <v>0.77</v>
      </c>
      <c r="AS216" s="226">
        <v>0.71</v>
      </c>
      <c r="AT216" s="226">
        <v>0.71</v>
      </c>
      <c r="AU216" s="226">
        <v>0.71</v>
      </c>
      <c r="AV216" s="226">
        <v>0.71</v>
      </c>
      <c r="AW216" s="226">
        <v>0.71</v>
      </c>
      <c r="AX216" s="226">
        <v>0.65</v>
      </c>
      <c r="AY216" s="226">
        <v>0.65</v>
      </c>
      <c r="AZ216" s="226">
        <v>0.65</v>
      </c>
      <c r="BA216" s="226">
        <v>0.65</v>
      </c>
      <c r="BB216" s="226">
        <v>0.65</v>
      </c>
      <c r="BC216" s="226">
        <v>0.59</v>
      </c>
      <c r="BD216" s="226">
        <v>0.59</v>
      </c>
      <c r="BE216" s="226">
        <v>0.59</v>
      </c>
      <c r="BF216" s="226">
        <v>0.59</v>
      </c>
      <c r="BG216" s="226">
        <v>0.59</v>
      </c>
      <c r="BH216" s="226">
        <v>0.53</v>
      </c>
      <c r="BI216" s="226">
        <v>0.53</v>
      </c>
      <c r="BJ216" s="226">
        <v>0.53</v>
      </c>
      <c r="BK216" s="226">
        <v>0.53</v>
      </c>
      <c r="BL216" s="226">
        <v>0.53</v>
      </c>
      <c r="BM216" s="226">
        <v>0.3</v>
      </c>
      <c r="BN216" s="226">
        <v>0.3</v>
      </c>
      <c r="BO216" s="226">
        <v>0.3</v>
      </c>
      <c r="BP216" s="226">
        <v>0.3</v>
      </c>
      <c r="BQ216" s="226">
        <v>0.3</v>
      </c>
      <c r="BR216" s="226">
        <v>0.3</v>
      </c>
      <c r="BS216" s="226">
        <v>0.3</v>
      </c>
      <c r="BT216" s="226">
        <v>0.3</v>
      </c>
      <c r="BU216" s="226">
        <v>0.3</v>
      </c>
      <c r="BV216" s="226">
        <v>0.3</v>
      </c>
      <c r="BW216" s="226">
        <v>0.3</v>
      </c>
      <c r="BX216" s="226">
        <v>0.3</v>
      </c>
      <c r="BY216" s="226">
        <v>0.3</v>
      </c>
      <c r="BZ216" s="226">
        <v>0.3</v>
      </c>
      <c r="CA216" s="226">
        <v>0.3</v>
      </c>
    </row>
    <row r="217" spans="1:79">
      <c r="A217" s="227">
        <v>52</v>
      </c>
      <c r="B217" s="226">
        <v>1</v>
      </c>
      <c r="C217" s="226">
        <v>1</v>
      </c>
      <c r="D217" s="226">
        <v>1</v>
      </c>
      <c r="E217" s="226">
        <v>1</v>
      </c>
      <c r="F217" s="226">
        <v>1</v>
      </c>
      <c r="G217" s="226">
        <v>1</v>
      </c>
      <c r="H217" s="226">
        <v>1</v>
      </c>
      <c r="I217" s="226">
        <v>1</v>
      </c>
      <c r="J217" s="226">
        <v>1</v>
      </c>
      <c r="K217" s="226">
        <v>1</v>
      </c>
      <c r="L217" s="226">
        <v>1</v>
      </c>
      <c r="M217" s="226">
        <v>1</v>
      </c>
      <c r="N217" s="226">
        <v>1</v>
      </c>
      <c r="O217" s="226">
        <v>1</v>
      </c>
      <c r="P217" s="226"/>
      <c r="Q217" s="226">
        <v>1</v>
      </c>
      <c r="R217" s="226">
        <v>1</v>
      </c>
      <c r="S217" s="226">
        <v>0.97</v>
      </c>
      <c r="T217" s="226">
        <v>0.97</v>
      </c>
      <c r="U217" s="226"/>
      <c r="V217" s="226">
        <v>0.97</v>
      </c>
      <c r="W217" s="226">
        <v>0.97</v>
      </c>
      <c r="X217" s="226">
        <v>0.97</v>
      </c>
      <c r="Y217" s="226">
        <v>0.93</v>
      </c>
      <c r="Z217" s="226">
        <v>0.93</v>
      </c>
      <c r="AA217" s="226">
        <v>0.93</v>
      </c>
      <c r="AB217" s="226">
        <v>0.93</v>
      </c>
      <c r="AC217" s="226">
        <v>0.93</v>
      </c>
      <c r="AD217" s="226">
        <v>0.88</v>
      </c>
      <c r="AE217" s="226">
        <v>0.88</v>
      </c>
      <c r="AF217" s="226">
        <v>0.88</v>
      </c>
      <c r="AG217" s="226">
        <v>0.88</v>
      </c>
      <c r="AH217" s="226">
        <v>0.88</v>
      </c>
      <c r="AI217" s="226">
        <v>0.83</v>
      </c>
      <c r="AJ217" s="226">
        <v>0.83</v>
      </c>
      <c r="AK217" s="226">
        <v>0.83</v>
      </c>
      <c r="AL217" s="226">
        <v>0.83</v>
      </c>
      <c r="AM217" s="226">
        <v>0.83</v>
      </c>
      <c r="AN217" s="226">
        <v>0.77</v>
      </c>
      <c r="AO217" s="226">
        <v>0.77</v>
      </c>
      <c r="AP217" s="226">
        <v>0.77</v>
      </c>
      <c r="AQ217" s="226">
        <v>0.77</v>
      </c>
      <c r="AR217" s="226">
        <v>0.77</v>
      </c>
      <c r="AS217" s="226">
        <v>0.71</v>
      </c>
      <c r="AT217" s="226">
        <v>0.71</v>
      </c>
      <c r="AU217" s="226">
        <v>0.71</v>
      </c>
      <c r="AV217" s="226">
        <v>0.71</v>
      </c>
      <c r="AW217" s="226">
        <v>0.71</v>
      </c>
      <c r="AX217" s="226">
        <v>0.65</v>
      </c>
      <c r="AY217" s="226">
        <v>0.65</v>
      </c>
      <c r="AZ217" s="226">
        <v>0.65</v>
      </c>
      <c r="BA217" s="226">
        <v>0.65</v>
      </c>
      <c r="BB217" s="226">
        <v>0.65</v>
      </c>
      <c r="BC217" s="226">
        <v>0.59</v>
      </c>
      <c r="BD217" s="226">
        <v>0.59</v>
      </c>
      <c r="BE217" s="226">
        <v>0.59</v>
      </c>
      <c r="BF217" s="226">
        <v>0.59</v>
      </c>
      <c r="BG217" s="226">
        <v>0.59</v>
      </c>
      <c r="BH217" s="226">
        <v>0.53</v>
      </c>
      <c r="BI217" s="226">
        <v>0.53</v>
      </c>
      <c r="BJ217" s="226">
        <v>0.53</v>
      </c>
      <c r="BK217" s="226">
        <v>0.53</v>
      </c>
      <c r="BL217" s="226">
        <v>0.53</v>
      </c>
      <c r="BM217" s="226">
        <v>0.3</v>
      </c>
      <c r="BN217" s="226">
        <v>0.3</v>
      </c>
      <c r="BO217" s="226">
        <v>0.3</v>
      </c>
      <c r="BP217" s="226">
        <v>0.3</v>
      </c>
      <c r="BQ217" s="226">
        <v>0.3</v>
      </c>
      <c r="BR217" s="226">
        <v>0.3</v>
      </c>
      <c r="BS217" s="226">
        <v>0.3</v>
      </c>
      <c r="BT217" s="226">
        <v>0.3</v>
      </c>
      <c r="BU217" s="226">
        <v>0.3</v>
      </c>
      <c r="BV217" s="226">
        <v>0.3</v>
      </c>
      <c r="BW217" s="226">
        <v>0.3</v>
      </c>
      <c r="BX217" s="226">
        <v>0.3</v>
      </c>
      <c r="BY217" s="226">
        <v>0.3</v>
      </c>
      <c r="BZ217" s="226">
        <v>0.3</v>
      </c>
      <c r="CA217" s="226">
        <v>0.3</v>
      </c>
    </row>
    <row r="218" spans="1:79">
      <c r="A218" s="227">
        <v>53</v>
      </c>
      <c r="B218" s="226">
        <v>1</v>
      </c>
      <c r="C218" s="226">
        <v>1</v>
      </c>
      <c r="D218" s="226">
        <v>1</v>
      </c>
      <c r="E218" s="226">
        <v>1</v>
      </c>
      <c r="F218" s="226">
        <v>1</v>
      </c>
      <c r="G218" s="226">
        <v>1</v>
      </c>
      <c r="H218" s="226">
        <v>1</v>
      </c>
      <c r="I218" s="226">
        <v>1</v>
      </c>
      <c r="J218" s="226">
        <v>1</v>
      </c>
      <c r="K218" s="226">
        <v>1</v>
      </c>
      <c r="L218" s="226">
        <v>1</v>
      </c>
      <c r="M218" s="226">
        <v>1</v>
      </c>
      <c r="N218" s="226">
        <v>1</v>
      </c>
      <c r="O218" s="226">
        <v>1</v>
      </c>
      <c r="P218" s="226"/>
      <c r="Q218" s="226">
        <v>1</v>
      </c>
      <c r="R218" s="226">
        <v>1</v>
      </c>
      <c r="S218" s="226">
        <v>0.97</v>
      </c>
      <c r="T218" s="226">
        <v>0.97</v>
      </c>
      <c r="U218" s="226"/>
      <c r="V218" s="226">
        <v>0.97</v>
      </c>
      <c r="W218" s="226">
        <v>0.97</v>
      </c>
      <c r="X218" s="226">
        <v>0.97</v>
      </c>
      <c r="Y218" s="226">
        <v>0.93</v>
      </c>
      <c r="Z218" s="226">
        <v>0.93</v>
      </c>
      <c r="AA218" s="226">
        <v>0.93</v>
      </c>
      <c r="AB218" s="226">
        <v>0.93</v>
      </c>
      <c r="AC218" s="226">
        <v>0.93</v>
      </c>
      <c r="AD218" s="226">
        <v>0.88</v>
      </c>
      <c r="AE218" s="226">
        <v>0.88</v>
      </c>
      <c r="AF218" s="226">
        <v>0.88</v>
      </c>
      <c r="AG218" s="226">
        <v>0.88</v>
      </c>
      <c r="AH218" s="226">
        <v>0.88</v>
      </c>
      <c r="AI218" s="226">
        <v>0.83</v>
      </c>
      <c r="AJ218" s="226">
        <v>0.83</v>
      </c>
      <c r="AK218" s="226">
        <v>0.83</v>
      </c>
      <c r="AL218" s="226">
        <v>0.83</v>
      </c>
      <c r="AM218" s="226">
        <v>0.83</v>
      </c>
      <c r="AN218" s="226">
        <v>0.77</v>
      </c>
      <c r="AO218" s="226">
        <v>0.77</v>
      </c>
      <c r="AP218" s="226">
        <v>0.77</v>
      </c>
      <c r="AQ218" s="226">
        <v>0.77</v>
      </c>
      <c r="AR218" s="226">
        <v>0.77</v>
      </c>
      <c r="AS218" s="226">
        <v>0.71</v>
      </c>
      <c r="AT218" s="226">
        <v>0.71</v>
      </c>
      <c r="AU218" s="226">
        <v>0.71</v>
      </c>
      <c r="AV218" s="226">
        <v>0.71</v>
      </c>
      <c r="AW218" s="226">
        <v>0.71</v>
      </c>
      <c r="AX218" s="226">
        <v>0.65</v>
      </c>
      <c r="AY218" s="226">
        <v>0.65</v>
      </c>
      <c r="AZ218" s="226">
        <v>0.65</v>
      </c>
      <c r="BA218" s="226">
        <v>0.65</v>
      </c>
      <c r="BB218" s="226">
        <v>0.65</v>
      </c>
      <c r="BC218" s="226">
        <v>0.59</v>
      </c>
      <c r="BD218" s="226">
        <v>0.59</v>
      </c>
      <c r="BE218" s="226">
        <v>0.59</v>
      </c>
      <c r="BF218" s="226">
        <v>0.59</v>
      </c>
      <c r="BG218" s="226">
        <v>0.59</v>
      </c>
      <c r="BH218" s="226">
        <v>0.53</v>
      </c>
      <c r="BI218" s="226">
        <v>0.53</v>
      </c>
      <c r="BJ218" s="226">
        <v>0.53</v>
      </c>
      <c r="BK218" s="226">
        <v>0.53</v>
      </c>
      <c r="BL218" s="226">
        <v>0.53</v>
      </c>
      <c r="BM218" s="226">
        <v>0.3</v>
      </c>
      <c r="BN218" s="226">
        <v>0.3</v>
      </c>
      <c r="BO218" s="226">
        <v>0.3</v>
      </c>
      <c r="BP218" s="226">
        <v>0.3</v>
      </c>
      <c r="BQ218" s="226">
        <v>0.3</v>
      </c>
      <c r="BR218" s="226">
        <v>0.3</v>
      </c>
      <c r="BS218" s="226">
        <v>0.3</v>
      </c>
      <c r="BT218" s="226">
        <v>0.3</v>
      </c>
      <c r="BU218" s="226">
        <v>0.3</v>
      </c>
      <c r="BV218" s="226">
        <v>0.3</v>
      </c>
      <c r="BW218" s="226">
        <v>0.3</v>
      </c>
      <c r="BX218" s="226">
        <v>0.3</v>
      </c>
      <c r="BY218" s="226">
        <v>0.3</v>
      </c>
      <c r="BZ218" s="226">
        <v>0.3</v>
      </c>
      <c r="CA218" s="226">
        <v>0.3</v>
      </c>
    </row>
    <row r="219" spans="1:79">
      <c r="A219" s="227">
        <v>54</v>
      </c>
      <c r="B219" s="226">
        <v>1</v>
      </c>
      <c r="C219" s="226">
        <v>1</v>
      </c>
      <c r="D219" s="226">
        <v>1</v>
      </c>
      <c r="E219" s="226">
        <v>1</v>
      </c>
      <c r="F219" s="226">
        <v>1</v>
      </c>
      <c r="G219" s="226">
        <v>1</v>
      </c>
      <c r="H219" s="226">
        <v>1</v>
      </c>
      <c r="I219" s="226">
        <v>1</v>
      </c>
      <c r="J219" s="226">
        <v>1</v>
      </c>
      <c r="K219" s="226">
        <v>1</v>
      </c>
      <c r="L219" s="226">
        <v>1</v>
      </c>
      <c r="M219" s="226">
        <v>1</v>
      </c>
      <c r="N219" s="226">
        <v>1</v>
      </c>
      <c r="O219" s="226">
        <v>1</v>
      </c>
      <c r="P219" s="226"/>
      <c r="Q219" s="226">
        <v>1</v>
      </c>
      <c r="R219" s="226">
        <v>1</v>
      </c>
      <c r="S219" s="226">
        <v>0.97</v>
      </c>
      <c r="T219" s="226">
        <v>0.97</v>
      </c>
      <c r="U219" s="226"/>
      <c r="V219" s="226">
        <v>0.97</v>
      </c>
      <c r="W219" s="226">
        <v>0.97</v>
      </c>
      <c r="X219" s="226">
        <v>0.97</v>
      </c>
      <c r="Y219" s="226">
        <v>0.93</v>
      </c>
      <c r="Z219" s="226">
        <v>0.93</v>
      </c>
      <c r="AA219" s="226">
        <v>0.93</v>
      </c>
      <c r="AB219" s="226">
        <v>0.93</v>
      </c>
      <c r="AC219" s="226">
        <v>0.93</v>
      </c>
      <c r="AD219" s="226">
        <v>0.88</v>
      </c>
      <c r="AE219" s="226">
        <v>0.88</v>
      </c>
      <c r="AF219" s="226">
        <v>0.88</v>
      </c>
      <c r="AG219" s="226">
        <v>0.88</v>
      </c>
      <c r="AH219" s="226">
        <v>0.88</v>
      </c>
      <c r="AI219" s="226">
        <v>0.83</v>
      </c>
      <c r="AJ219" s="226">
        <v>0.83</v>
      </c>
      <c r="AK219" s="226">
        <v>0.83</v>
      </c>
      <c r="AL219" s="226">
        <v>0.83</v>
      </c>
      <c r="AM219" s="226">
        <v>0.83</v>
      </c>
      <c r="AN219" s="226">
        <v>0.77</v>
      </c>
      <c r="AO219" s="226">
        <v>0.77</v>
      </c>
      <c r="AP219" s="226">
        <v>0.77</v>
      </c>
      <c r="AQ219" s="226">
        <v>0.77</v>
      </c>
      <c r="AR219" s="226">
        <v>0.77</v>
      </c>
      <c r="AS219" s="226">
        <v>0.71</v>
      </c>
      <c r="AT219" s="226">
        <v>0.71</v>
      </c>
      <c r="AU219" s="226">
        <v>0.71</v>
      </c>
      <c r="AV219" s="226">
        <v>0.71</v>
      </c>
      <c r="AW219" s="226">
        <v>0.71</v>
      </c>
      <c r="AX219" s="226">
        <v>0.65</v>
      </c>
      <c r="AY219" s="226">
        <v>0.65</v>
      </c>
      <c r="AZ219" s="226">
        <v>0.65</v>
      </c>
      <c r="BA219" s="226">
        <v>0.65</v>
      </c>
      <c r="BB219" s="226">
        <v>0.65</v>
      </c>
      <c r="BC219" s="226">
        <v>0.59</v>
      </c>
      <c r="BD219" s="226">
        <v>0.59</v>
      </c>
      <c r="BE219" s="226">
        <v>0.59</v>
      </c>
      <c r="BF219" s="226">
        <v>0.59</v>
      </c>
      <c r="BG219" s="226">
        <v>0.59</v>
      </c>
      <c r="BH219" s="226">
        <v>0.53</v>
      </c>
      <c r="BI219" s="226">
        <v>0.53</v>
      </c>
      <c r="BJ219" s="226">
        <v>0.53</v>
      </c>
      <c r="BK219" s="226">
        <v>0.53</v>
      </c>
      <c r="BL219" s="226">
        <v>0.53</v>
      </c>
      <c r="BM219" s="226">
        <v>0.3</v>
      </c>
      <c r="BN219" s="226">
        <v>0.3</v>
      </c>
      <c r="BO219" s="226">
        <v>0.3</v>
      </c>
      <c r="BP219" s="226">
        <v>0.3</v>
      </c>
      <c r="BQ219" s="226">
        <v>0.3</v>
      </c>
      <c r="BR219" s="226">
        <v>0.3</v>
      </c>
      <c r="BS219" s="226">
        <v>0.3</v>
      </c>
      <c r="BT219" s="226">
        <v>0.3</v>
      </c>
      <c r="BU219" s="226">
        <v>0.3</v>
      </c>
      <c r="BV219" s="226">
        <v>0.3</v>
      </c>
      <c r="BW219" s="226">
        <v>0.3</v>
      </c>
      <c r="BX219" s="226">
        <v>0.3</v>
      </c>
      <c r="BY219" s="226">
        <v>0.3</v>
      </c>
      <c r="BZ219" s="226">
        <v>0.3</v>
      </c>
      <c r="CA219" s="226">
        <v>0.3</v>
      </c>
    </row>
    <row r="220" spans="1:79">
      <c r="A220" s="227">
        <v>55</v>
      </c>
      <c r="B220" s="226">
        <v>1</v>
      </c>
      <c r="C220" s="226">
        <v>1</v>
      </c>
      <c r="D220" s="226">
        <v>1</v>
      </c>
      <c r="E220" s="226">
        <v>1</v>
      </c>
      <c r="F220" s="226">
        <v>1</v>
      </c>
      <c r="G220" s="226">
        <v>1</v>
      </c>
      <c r="H220" s="226">
        <v>1</v>
      </c>
      <c r="I220" s="226">
        <v>1</v>
      </c>
      <c r="J220" s="226">
        <v>1</v>
      </c>
      <c r="K220" s="226">
        <v>1</v>
      </c>
      <c r="L220" s="226">
        <v>1</v>
      </c>
      <c r="M220" s="226">
        <v>1</v>
      </c>
      <c r="N220" s="226">
        <v>1</v>
      </c>
      <c r="O220" s="226">
        <v>1</v>
      </c>
      <c r="P220" s="226"/>
      <c r="Q220" s="226">
        <v>1</v>
      </c>
      <c r="R220" s="226">
        <v>1</v>
      </c>
      <c r="S220" s="226">
        <v>0.97</v>
      </c>
      <c r="T220" s="226">
        <v>0.97</v>
      </c>
      <c r="U220" s="226"/>
      <c r="V220" s="226">
        <v>0.97</v>
      </c>
      <c r="W220" s="226">
        <v>0.97</v>
      </c>
      <c r="X220" s="226">
        <v>0.97</v>
      </c>
      <c r="Y220" s="226">
        <v>0.93</v>
      </c>
      <c r="Z220" s="226">
        <v>0.93</v>
      </c>
      <c r="AA220" s="226">
        <v>0.93</v>
      </c>
      <c r="AB220" s="226">
        <v>0.93</v>
      </c>
      <c r="AC220" s="226">
        <v>0.93</v>
      </c>
      <c r="AD220" s="226">
        <v>0.88</v>
      </c>
      <c r="AE220" s="226">
        <v>0.88</v>
      </c>
      <c r="AF220" s="226">
        <v>0.88</v>
      </c>
      <c r="AG220" s="226">
        <v>0.88</v>
      </c>
      <c r="AH220" s="226">
        <v>0.88</v>
      </c>
      <c r="AI220" s="226">
        <v>0.83</v>
      </c>
      <c r="AJ220" s="226">
        <v>0.83</v>
      </c>
      <c r="AK220" s="226">
        <v>0.83</v>
      </c>
      <c r="AL220" s="226">
        <v>0.83</v>
      </c>
      <c r="AM220" s="226">
        <v>0.83</v>
      </c>
      <c r="AN220" s="226">
        <v>0.77</v>
      </c>
      <c r="AO220" s="226">
        <v>0.77</v>
      </c>
      <c r="AP220" s="226">
        <v>0.77</v>
      </c>
      <c r="AQ220" s="226">
        <v>0.77</v>
      </c>
      <c r="AR220" s="226">
        <v>0.77</v>
      </c>
      <c r="AS220" s="226">
        <v>0.71</v>
      </c>
      <c r="AT220" s="226">
        <v>0.71</v>
      </c>
      <c r="AU220" s="226">
        <v>0.71</v>
      </c>
      <c r="AV220" s="226">
        <v>0.71</v>
      </c>
      <c r="AW220" s="226">
        <v>0.71</v>
      </c>
      <c r="AX220" s="226">
        <v>0.65</v>
      </c>
      <c r="AY220" s="226">
        <v>0.65</v>
      </c>
      <c r="AZ220" s="226">
        <v>0.65</v>
      </c>
      <c r="BA220" s="226">
        <v>0.65</v>
      </c>
      <c r="BB220" s="226">
        <v>0.65</v>
      </c>
      <c r="BC220" s="226">
        <v>0.59</v>
      </c>
      <c r="BD220" s="226">
        <v>0.59</v>
      </c>
      <c r="BE220" s="226">
        <v>0.59</v>
      </c>
      <c r="BF220" s="226">
        <v>0.59</v>
      </c>
      <c r="BG220" s="226">
        <v>0.59</v>
      </c>
      <c r="BH220" s="226">
        <v>0.53</v>
      </c>
      <c r="BI220" s="226">
        <v>0.53</v>
      </c>
      <c r="BJ220" s="226">
        <v>0.53</v>
      </c>
      <c r="BK220" s="226">
        <v>0.53</v>
      </c>
      <c r="BL220" s="226">
        <v>0.53</v>
      </c>
      <c r="BM220" s="226">
        <v>0.3</v>
      </c>
      <c r="BN220" s="226">
        <v>0.3</v>
      </c>
      <c r="BO220" s="226">
        <v>0.3</v>
      </c>
      <c r="BP220" s="226">
        <v>0.3</v>
      </c>
      <c r="BQ220" s="226">
        <v>0.3</v>
      </c>
      <c r="BR220" s="226">
        <v>0.3</v>
      </c>
      <c r="BS220" s="226">
        <v>0.3</v>
      </c>
      <c r="BT220" s="226">
        <v>0.3</v>
      </c>
      <c r="BU220" s="226">
        <v>0.3</v>
      </c>
      <c r="BV220" s="226">
        <v>0.3</v>
      </c>
      <c r="BW220" s="226">
        <v>0.3</v>
      </c>
      <c r="BX220" s="226">
        <v>0.3</v>
      </c>
      <c r="BY220" s="226">
        <v>0.3</v>
      </c>
      <c r="BZ220" s="226">
        <v>0.3</v>
      </c>
      <c r="CA220" s="226">
        <v>0.3</v>
      </c>
    </row>
    <row r="221" spans="1:79">
      <c r="A221" s="227">
        <v>56</v>
      </c>
      <c r="B221" s="226">
        <v>1</v>
      </c>
      <c r="C221" s="226">
        <v>1</v>
      </c>
      <c r="D221" s="226">
        <v>1</v>
      </c>
      <c r="E221" s="226">
        <v>1</v>
      </c>
      <c r="F221" s="226">
        <v>1</v>
      </c>
      <c r="G221" s="226">
        <v>1</v>
      </c>
      <c r="H221" s="226">
        <v>1</v>
      </c>
      <c r="I221" s="226">
        <v>1</v>
      </c>
      <c r="J221" s="226">
        <v>1</v>
      </c>
      <c r="K221" s="226">
        <v>1</v>
      </c>
      <c r="L221" s="226">
        <v>1</v>
      </c>
      <c r="M221" s="226">
        <v>1</v>
      </c>
      <c r="N221" s="226">
        <v>1</v>
      </c>
      <c r="O221" s="226">
        <v>1</v>
      </c>
      <c r="P221" s="226"/>
      <c r="Q221" s="226">
        <v>1</v>
      </c>
      <c r="R221" s="226">
        <v>1</v>
      </c>
      <c r="S221" s="226">
        <v>0.97</v>
      </c>
      <c r="T221" s="226">
        <v>0.97</v>
      </c>
      <c r="U221" s="226"/>
      <c r="V221" s="226">
        <v>0.97</v>
      </c>
      <c r="W221" s="226">
        <v>0.97</v>
      </c>
      <c r="X221" s="226">
        <v>0.97</v>
      </c>
      <c r="Y221" s="226">
        <v>0.93</v>
      </c>
      <c r="Z221" s="226">
        <v>0.93</v>
      </c>
      <c r="AA221" s="226">
        <v>0.93</v>
      </c>
      <c r="AB221" s="226">
        <v>0.93</v>
      </c>
      <c r="AC221" s="226">
        <v>0.93</v>
      </c>
      <c r="AD221" s="226">
        <v>0.88</v>
      </c>
      <c r="AE221" s="226">
        <v>0.88</v>
      </c>
      <c r="AF221" s="226">
        <v>0.88</v>
      </c>
      <c r="AG221" s="226">
        <v>0.88</v>
      </c>
      <c r="AH221" s="226">
        <v>0.88</v>
      </c>
      <c r="AI221" s="226">
        <v>0.83</v>
      </c>
      <c r="AJ221" s="226">
        <v>0.83</v>
      </c>
      <c r="AK221" s="226">
        <v>0.83</v>
      </c>
      <c r="AL221" s="226">
        <v>0.83</v>
      </c>
      <c r="AM221" s="226">
        <v>0.83</v>
      </c>
      <c r="AN221" s="226">
        <v>0.77</v>
      </c>
      <c r="AO221" s="226">
        <v>0.77</v>
      </c>
      <c r="AP221" s="226">
        <v>0.77</v>
      </c>
      <c r="AQ221" s="226">
        <v>0.77</v>
      </c>
      <c r="AR221" s="226">
        <v>0.77</v>
      </c>
      <c r="AS221" s="226">
        <v>0.71</v>
      </c>
      <c r="AT221" s="226">
        <v>0.71</v>
      </c>
      <c r="AU221" s="226">
        <v>0.71</v>
      </c>
      <c r="AV221" s="226">
        <v>0.71</v>
      </c>
      <c r="AW221" s="226">
        <v>0.71</v>
      </c>
      <c r="AX221" s="226">
        <v>0.65</v>
      </c>
      <c r="AY221" s="226">
        <v>0.65</v>
      </c>
      <c r="AZ221" s="226">
        <v>0.65</v>
      </c>
      <c r="BA221" s="226">
        <v>0.65</v>
      </c>
      <c r="BB221" s="226">
        <v>0.65</v>
      </c>
      <c r="BC221" s="226">
        <v>0.59</v>
      </c>
      <c r="BD221" s="226">
        <v>0.59</v>
      </c>
      <c r="BE221" s="226">
        <v>0.59</v>
      </c>
      <c r="BF221" s="226">
        <v>0.59</v>
      </c>
      <c r="BG221" s="226">
        <v>0.59</v>
      </c>
      <c r="BH221" s="226">
        <v>0.53</v>
      </c>
      <c r="BI221" s="226">
        <v>0.53</v>
      </c>
      <c r="BJ221" s="226">
        <v>0.53</v>
      </c>
      <c r="BK221" s="226">
        <v>0.53</v>
      </c>
      <c r="BL221" s="226">
        <v>0.53</v>
      </c>
      <c r="BM221" s="226">
        <v>0.3</v>
      </c>
      <c r="BN221" s="226">
        <v>0.3</v>
      </c>
      <c r="BO221" s="226">
        <v>0.3</v>
      </c>
      <c r="BP221" s="226">
        <v>0.3</v>
      </c>
      <c r="BQ221" s="226">
        <v>0.3</v>
      </c>
      <c r="BR221" s="226">
        <v>0.3</v>
      </c>
      <c r="BS221" s="226">
        <v>0.3</v>
      </c>
      <c r="BT221" s="226">
        <v>0.3</v>
      </c>
      <c r="BU221" s="226">
        <v>0.3</v>
      </c>
      <c r="BV221" s="226">
        <v>0.3</v>
      </c>
      <c r="BW221" s="226">
        <v>0.3</v>
      </c>
      <c r="BX221" s="226">
        <v>0.3</v>
      </c>
      <c r="BY221" s="226">
        <v>0.3</v>
      </c>
      <c r="BZ221" s="226">
        <v>0.3</v>
      </c>
      <c r="CA221" s="226">
        <v>0.3</v>
      </c>
    </row>
    <row r="222" spans="1:79">
      <c r="A222" s="227">
        <v>57</v>
      </c>
      <c r="B222" s="226">
        <v>1</v>
      </c>
      <c r="C222" s="226">
        <v>1</v>
      </c>
      <c r="D222" s="226">
        <v>1</v>
      </c>
      <c r="E222" s="226">
        <v>1</v>
      </c>
      <c r="F222" s="226">
        <v>1</v>
      </c>
      <c r="G222" s="226">
        <v>1</v>
      </c>
      <c r="H222" s="226">
        <v>1</v>
      </c>
      <c r="I222" s="226">
        <v>1</v>
      </c>
      <c r="J222" s="226">
        <v>1</v>
      </c>
      <c r="K222" s="226">
        <v>1</v>
      </c>
      <c r="L222" s="226">
        <v>1</v>
      </c>
      <c r="M222" s="226">
        <v>1</v>
      </c>
      <c r="N222" s="226">
        <v>1</v>
      </c>
      <c r="O222" s="226">
        <v>1</v>
      </c>
      <c r="P222" s="226"/>
      <c r="Q222" s="226">
        <v>1</v>
      </c>
      <c r="R222" s="226">
        <v>1</v>
      </c>
      <c r="S222" s="226">
        <v>0.97</v>
      </c>
      <c r="T222" s="226">
        <v>0.97</v>
      </c>
      <c r="U222" s="226"/>
      <c r="V222" s="226">
        <v>0.97</v>
      </c>
      <c r="W222" s="226">
        <v>0.97</v>
      </c>
      <c r="X222" s="226">
        <v>0.97</v>
      </c>
      <c r="Y222" s="226">
        <v>0.93</v>
      </c>
      <c r="Z222" s="226">
        <v>0.93</v>
      </c>
      <c r="AA222" s="226">
        <v>0.93</v>
      </c>
      <c r="AB222" s="226">
        <v>0.93</v>
      </c>
      <c r="AC222" s="226">
        <v>0.93</v>
      </c>
      <c r="AD222" s="226">
        <v>0.88</v>
      </c>
      <c r="AE222" s="226">
        <v>0.88</v>
      </c>
      <c r="AF222" s="226">
        <v>0.88</v>
      </c>
      <c r="AG222" s="226">
        <v>0.88</v>
      </c>
      <c r="AH222" s="226">
        <v>0.88</v>
      </c>
      <c r="AI222" s="226">
        <v>0.83</v>
      </c>
      <c r="AJ222" s="226">
        <v>0.83</v>
      </c>
      <c r="AK222" s="226">
        <v>0.83</v>
      </c>
      <c r="AL222" s="226">
        <v>0.83</v>
      </c>
      <c r="AM222" s="226">
        <v>0.83</v>
      </c>
      <c r="AN222" s="226">
        <v>0.77</v>
      </c>
      <c r="AO222" s="226">
        <v>0.77</v>
      </c>
      <c r="AP222" s="226">
        <v>0.77</v>
      </c>
      <c r="AQ222" s="226">
        <v>0.77</v>
      </c>
      <c r="AR222" s="226">
        <v>0.77</v>
      </c>
      <c r="AS222" s="226">
        <v>0.71</v>
      </c>
      <c r="AT222" s="226">
        <v>0.71</v>
      </c>
      <c r="AU222" s="226">
        <v>0.71</v>
      </c>
      <c r="AV222" s="226">
        <v>0.71</v>
      </c>
      <c r="AW222" s="226">
        <v>0.71</v>
      </c>
      <c r="AX222" s="226">
        <v>0.65</v>
      </c>
      <c r="AY222" s="226">
        <v>0.65</v>
      </c>
      <c r="AZ222" s="226">
        <v>0.65</v>
      </c>
      <c r="BA222" s="226">
        <v>0.65</v>
      </c>
      <c r="BB222" s="226">
        <v>0.65</v>
      </c>
      <c r="BC222" s="226">
        <v>0.59</v>
      </c>
      <c r="BD222" s="226">
        <v>0.59</v>
      </c>
      <c r="BE222" s="226">
        <v>0.59</v>
      </c>
      <c r="BF222" s="226">
        <v>0.59</v>
      </c>
      <c r="BG222" s="226">
        <v>0.59</v>
      </c>
      <c r="BH222" s="226">
        <v>0.53</v>
      </c>
      <c r="BI222" s="226">
        <v>0.53</v>
      </c>
      <c r="BJ222" s="226">
        <v>0.53</v>
      </c>
      <c r="BK222" s="226">
        <v>0.53</v>
      </c>
      <c r="BL222" s="226">
        <v>0.53</v>
      </c>
      <c r="BM222" s="226">
        <v>0.3</v>
      </c>
      <c r="BN222" s="226">
        <v>0.3</v>
      </c>
      <c r="BO222" s="226">
        <v>0.3</v>
      </c>
      <c r="BP222" s="226">
        <v>0.3</v>
      </c>
      <c r="BQ222" s="226">
        <v>0.3</v>
      </c>
      <c r="BR222" s="226">
        <v>0.3</v>
      </c>
      <c r="BS222" s="226">
        <v>0.3</v>
      </c>
      <c r="BT222" s="226">
        <v>0.3</v>
      </c>
      <c r="BU222" s="226">
        <v>0.3</v>
      </c>
      <c r="BV222" s="226">
        <v>0.3</v>
      </c>
      <c r="BW222" s="226">
        <v>0.3</v>
      </c>
      <c r="BX222" s="226">
        <v>0.3</v>
      </c>
      <c r="BY222" s="226">
        <v>0.3</v>
      </c>
      <c r="BZ222" s="226">
        <v>0.3</v>
      </c>
      <c r="CA222" s="226">
        <v>0.3</v>
      </c>
    </row>
    <row r="223" spans="1:79">
      <c r="A223" s="227">
        <v>58</v>
      </c>
      <c r="B223" s="226">
        <v>1</v>
      </c>
      <c r="C223" s="226">
        <v>1</v>
      </c>
      <c r="D223" s="226">
        <v>1</v>
      </c>
      <c r="E223" s="226">
        <v>1</v>
      </c>
      <c r="F223" s="226">
        <v>1</v>
      </c>
      <c r="G223" s="226">
        <v>1</v>
      </c>
      <c r="H223" s="226">
        <v>1</v>
      </c>
      <c r="I223" s="226">
        <v>1</v>
      </c>
      <c r="J223" s="226">
        <v>1</v>
      </c>
      <c r="K223" s="226">
        <v>1</v>
      </c>
      <c r="L223" s="226">
        <v>1</v>
      </c>
      <c r="M223" s="226">
        <v>1</v>
      </c>
      <c r="N223" s="226">
        <v>1</v>
      </c>
      <c r="O223" s="226">
        <v>1</v>
      </c>
      <c r="P223" s="226"/>
      <c r="Q223" s="226">
        <v>1</v>
      </c>
      <c r="R223" s="226">
        <v>1</v>
      </c>
      <c r="S223" s="226">
        <v>0.97</v>
      </c>
      <c r="T223" s="226">
        <v>0.97</v>
      </c>
      <c r="U223" s="226"/>
      <c r="V223" s="226">
        <v>0.97</v>
      </c>
      <c r="W223" s="226">
        <v>0.97</v>
      </c>
      <c r="X223" s="226">
        <v>0.97</v>
      </c>
      <c r="Y223" s="226">
        <v>0.93</v>
      </c>
      <c r="Z223" s="226">
        <v>0.93</v>
      </c>
      <c r="AA223" s="226">
        <v>0.93</v>
      </c>
      <c r="AB223" s="226">
        <v>0.93</v>
      </c>
      <c r="AC223" s="226">
        <v>0.93</v>
      </c>
      <c r="AD223" s="226">
        <v>0.88</v>
      </c>
      <c r="AE223" s="226">
        <v>0.88</v>
      </c>
      <c r="AF223" s="226">
        <v>0.88</v>
      </c>
      <c r="AG223" s="226">
        <v>0.88</v>
      </c>
      <c r="AH223" s="226">
        <v>0.88</v>
      </c>
      <c r="AI223" s="226">
        <v>0.83</v>
      </c>
      <c r="AJ223" s="226">
        <v>0.83</v>
      </c>
      <c r="AK223" s="226">
        <v>0.83</v>
      </c>
      <c r="AL223" s="226">
        <v>0.83</v>
      </c>
      <c r="AM223" s="226">
        <v>0.83</v>
      </c>
      <c r="AN223" s="226">
        <v>0.77</v>
      </c>
      <c r="AO223" s="226">
        <v>0.77</v>
      </c>
      <c r="AP223" s="226">
        <v>0.77</v>
      </c>
      <c r="AQ223" s="226">
        <v>0.77</v>
      </c>
      <c r="AR223" s="226">
        <v>0.77</v>
      </c>
      <c r="AS223" s="226">
        <v>0.71</v>
      </c>
      <c r="AT223" s="226">
        <v>0.71</v>
      </c>
      <c r="AU223" s="226">
        <v>0.71</v>
      </c>
      <c r="AV223" s="226">
        <v>0.71</v>
      </c>
      <c r="AW223" s="226">
        <v>0.71</v>
      </c>
      <c r="AX223" s="226">
        <v>0.65</v>
      </c>
      <c r="AY223" s="226">
        <v>0.65</v>
      </c>
      <c r="AZ223" s="226">
        <v>0.65</v>
      </c>
      <c r="BA223" s="226">
        <v>0.65</v>
      </c>
      <c r="BB223" s="226">
        <v>0.65</v>
      </c>
      <c r="BC223" s="226">
        <v>0.59</v>
      </c>
      <c r="BD223" s="226">
        <v>0.59</v>
      </c>
      <c r="BE223" s="226">
        <v>0.59</v>
      </c>
      <c r="BF223" s="226">
        <v>0.59</v>
      </c>
      <c r="BG223" s="226">
        <v>0.59</v>
      </c>
      <c r="BH223" s="226">
        <v>0.53</v>
      </c>
      <c r="BI223" s="226">
        <v>0.53</v>
      </c>
      <c r="BJ223" s="226">
        <v>0.53</v>
      </c>
      <c r="BK223" s="226">
        <v>0.53</v>
      </c>
      <c r="BL223" s="226">
        <v>0.53</v>
      </c>
      <c r="BM223" s="226">
        <v>0.3</v>
      </c>
      <c r="BN223" s="226">
        <v>0.3</v>
      </c>
      <c r="BO223" s="226">
        <v>0.3</v>
      </c>
      <c r="BP223" s="226">
        <v>0.3</v>
      </c>
      <c r="BQ223" s="226">
        <v>0.3</v>
      </c>
      <c r="BR223" s="226">
        <v>0.3</v>
      </c>
      <c r="BS223" s="226">
        <v>0.3</v>
      </c>
      <c r="BT223" s="226">
        <v>0.3</v>
      </c>
      <c r="BU223" s="226">
        <v>0.3</v>
      </c>
      <c r="BV223" s="226">
        <v>0.3</v>
      </c>
      <c r="BW223" s="226">
        <v>0.3</v>
      </c>
      <c r="BX223" s="226">
        <v>0.3</v>
      </c>
      <c r="BY223" s="226">
        <v>0.3</v>
      </c>
      <c r="BZ223" s="226">
        <v>0.3</v>
      </c>
      <c r="CA223" s="226">
        <v>0.3</v>
      </c>
    </row>
    <row r="224" spans="1:79">
      <c r="A224" s="227">
        <v>59</v>
      </c>
      <c r="B224" s="226">
        <v>1</v>
      </c>
      <c r="C224" s="226">
        <v>1</v>
      </c>
      <c r="D224" s="226">
        <v>1</v>
      </c>
      <c r="E224" s="226">
        <v>1</v>
      </c>
      <c r="F224" s="226">
        <v>1</v>
      </c>
      <c r="G224" s="226">
        <v>1</v>
      </c>
      <c r="H224" s="226">
        <v>1</v>
      </c>
      <c r="I224" s="226">
        <v>1</v>
      </c>
      <c r="J224" s="226">
        <v>1</v>
      </c>
      <c r="K224" s="226">
        <v>1</v>
      </c>
      <c r="L224" s="226">
        <v>1</v>
      </c>
      <c r="M224" s="226">
        <v>1</v>
      </c>
      <c r="N224" s="226">
        <v>1</v>
      </c>
      <c r="O224" s="226">
        <v>1</v>
      </c>
      <c r="P224" s="226"/>
      <c r="Q224" s="226">
        <v>1</v>
      </c>
      <c r="R224" s="226">
        <v>1</v>
      </c>
      <c r="S224" s="226">
        <v>0.97</v>
      </c>
      <c r="T224" s="226">
        <v>0.97</v>
      </c>
      <c r="U224" s="226"/>
      <c r="V224" s="226">
        <v>0.97</v>
      </c>
      <c r="W224" s="226">
        <v>0.97</v>
      </c>
      <c r="X224" s="226">
        <v>0.97</v>
      </c>
      <c r="Y224" s="226">
        <v>0.93</v>
      </c>
      <c r="Z224" s="226">
        <v>0.93</v>
      </c>
      <c r="AA224" s="226">
        <v>0.93</v>
      </c>
      <c r="AB224" s="226">
        <v>0.93</v>
      </c>
      <c r="AC224" s="226">
        <v>0.93</v>
      </c>
      <c r="AD224" s="226">
        <v>0.88</v>
      </c>
      <c r="AE224" s="226">
        <v>0.88</v>
      </c>
      <c r="AF224" s="226">
        <v>0.88</v>
      </c>
      <c r="AG224" s="226">
        <v>0.88</v>
      </c>
      <c r="AH224" s="226">
        <v>0.88</v>
      </c>
      <c r="AI224" s="226">
        <v>0.83</v>
      </c>
      <c r="AJ224" s="226">
        <v>0.83</v>
      </c>
      <c r="AK224" s="226">
        <v>0.83</v>
      </c>
      <c r="AL224" s="226">
        <v>0.83</v>
      </c>
      <c r="AM224" s="226">
        <v>0.83</v>
      </c>
      <c r="AN224" s="226">
        <v>0.77</v>
      </c>
      <c r="AO224" s="226">
        <v>0.77</v>
      </c>
      <c r="AP224" s="226">
        <v>0.77</v>
      </c>
      <c r="AQ224" s="226">
        <v>0.77</v>
      </c>
      <c r="AR224" s="226">
        <v>0.77</v>
      </c>
      <c r="AS224" s="226">
        <v>0.71</v>
      </c>
      <c r="AT224" s="226">
        <v>0.71</v>
      </c>
      <c r="AU224" s="226">
        <v>0.71</v>
      </c>
      <c r="AV224" s="226">
        <v>0.71</v>
      </c>
      <c r="AW224" s="226">
        <v>0.71</v>
      </c>
      <c r="AX224" s="226">
        <v>0.65</v>
      </c>
      <c r="AY224" s="226">
        <v>0.65</v>
      </c>
      <c r="AZ224" s="226">
        <v>0.65</v>
      </c>
      <c r="BA224" s="226">
        <v>0.65</v>
      </c>
      <c r="BB224" s="226">
        <v>0.65</v>
      </c>
      <c r="BC224" s="226">
        <v>0.59</v>
      </c>
      <c r="BD224" s="226">
        <v>0.59</v>
      </c>
      <c r="BE224" s="226">
        <v>0.59</v>
      </c>
      <c r="BF224" s="226">
        <v>0.59</v>
      </c>
      <c r="BG224" s="226">
        <v>0.59</v>
      </c>
      <c r="BH224" s="226">
        <v>0.53</v>
      </c>
      <c r="BI224" s="226">
        <v>0.53</v>
      </c>
      <c r="BJ224" s="226">
        <v>0.53</v>
      </c>
      <c r="BK224" s="226">
        <v>0.53</v>
      </c>
      <c r="BL224" s="226">
        <v>0.53</v>
      </c>
      <c r="BM224" s="226">
        <v>0.3</v>
      </c>
      <c r="BN224" s="226">
        <v>0.3</v>
      </c>
      <c r="BO224" s="226">
        <v>0.3</v>
      </c>
      <c r="BP224" s="226">
        <v>0.3</v>
      </c>
      <c r="BQ224" s="226">
        <v>0.3</v>
      </c>
      <c r="BR224" s="226">
        <v>0.3</v>
      </c>
      <c r="BS224" s="226">
        <v>0.3</v>
      </c>
      <c r="BT224" s="226">
        <v>0.3</v>
      </c>
      <c r="BU224" s="226">
        <v>0.3</v>
      </c>
      <c r="BV224" s="226">
        <v>0.3</v>
      </c>
      <c r="BW224" s="226">
        <v>0.3</v>
      </c>
      <c r="BX224" s="226">
        <v>0.3</v>
      </c>
      <c r="BY224" s="226">
        <v>0.3</v>
      </c>
      <c r="BZ224" s="226">
        <v>0.3</v>
      </c>
      <c r="CA224" s="226">
        <v>0.3</v>
      </c>
    </row>
    <row r="225" spans="1:79">
      <c r="A225" s="227">
        <v>60</v>
      </c>
      <c r="B225" s="226">
        <v>1</v>
      </c>
      <c r="C225" s="226">
        <v>1</v>
      </c>
      <c r="D225" s="226">
        <v>1</v>
      </c>
      <c r="E225" s="226">
        <v>1</v>
      </c>
      <c r="F225" s="226">
        <v>1</v>
      </c>
      <c r="G225" s="226">
        <v>1</v>
      </c>
      <c r="H225" s="226">
        <v>1</v>
      </c>
      <c r="I225" s="226">
        <v>1</v>
      </c>
      <c r="J225" s="226">
        <v>1</v>
      </c>
      <c r="K225" s="226">
        <v>1</v>
      </c>
      <c r="L225" s="226">
        <v>1</v>
      </c>
      <c r="M225" s="226">
        <v>1</v>
      </c>
      <c r="N225" s="226">
        <v>1</v>
      </c>
      <c r="O225" s="226">
        <v>1</v>
      </c>
      <c r="P225" s="226"/>
      <c r="Q225" s="226">
        <v>1</v>
      </c>
      <c r="R225" s="226">
        <v>1</v>
      </c>
      <c r="S225" s="226">
        <v>0.97</v>
      </c>
      <c r="T225" s="226">
        <v>0.97</v>
      </c>
      <c r="U225" s="226"/>
      <c r="V225" s="226">
        <v>0.97</v>
      </c>
      <c r="W225" s="226">
        <v>0.97</v>
      </c>
      <c r="X225" s="226">
        <v>0.97</v>
      </c>
      <c r="Y225" s="226">
        <v>0.93</v>
      </c>
      <c r="Z225" s="226">
        <v>0.93</v>
      </c>
      <c r="AA225" s="226">
        <v>0.93</v>
      </c>
      <c r="AB225" s="226">
        <v>0.93</v>
      </c>
      <c r="AC225" s="226">
        <v>0.93</v>
      </c>
      <c r="AD225" s="226">
        <v>0.88</v>
      </c>
      <c r="AE225" s="226">
        <v>0.88</v>
      </c>
      <c r="AF225" s="226">
        <v>0.88</v>
      </c>
      <c r="AG225" s="226">
        <v>0.88</v>
      </c>
      <c r="AH225" s="226">
        <v>0.88</v>
      </c>
      <c r="AI225" s="226">
        <v>0.83</v>
      </c>
      <c r="AJ225" s="226">
        <v>0.83</v>
      </c>
      <c r="AK225" s="226">
        <v>0.83</v>
      </c>
      <c r="AL225" s="226">
        <v>0.83</v>
      </c>
      <c r="AM225" s="226">
        <v>0.83</v>
      </c>
      <c r="AN225" s="226">
        <v>0.77</v>
      </c>
      <c r="AO225" s="226">
        <v>0.77</v>
      </c>
      <c r="AP225" s="226">
        <v>0.77</v>
      </c>
      <c r="AQ225" s="226">
        <v>0.77</v>
      </c>
      <c r="AR225" s="226">
        <v>0.77</v>
      </c>
      <c r="AS225" s="226">
        <v>0.71</v>
      </c>
      <c r="AT225" s="226">
        <v>0.71</v>
      </c>
      <c r="AU225" s="226">
        <v>0.71</v>
      </c>
      <c r="AV225" s="226">
        <v>0.71</v>
      </c>
      <c r="AW225" s="226">
        <v>0.71</v>
      </c>
      <c r="AX225" s="226">
        <v>0.65</v>
      </c>
      <c r="AY225" s="226">
        <v>0.65</v>
      </c>
      <c r="AZ225" s="226">
        <v>0.65</v>
      </c>
      <c r="BA225" s="226">
        <v>0.65</v>
      </c>
      <c r="BB225" s="226">
        <v>0.65</v>
      </c>
      <c r="BC225" s="226">
        <v>0.59</v>
      </c>
      <c r="BD225" s="226">
        <v>0.59</v>
      </c>
      <c r="BE225" s="226">
        <v>0.59</v>
      </c>
      <c r="BF225" s="226">
        <v>0.59</v>
      </c>
      <c r="BG225" s="226">
        <v>0.59</v>
      </c>
      <c r="BH225" s="226">
        <v>0.53</v>
      </c>
      <c r="BI225" s="226">
        <v>0.53</v>
      </c>
      <c r="BJ225" s="226">
        <v>0.53</v>
      </c>
      <c r="BK225" s="226">
        <v>0.53</v>
      </c>
      <c r="BL225" s="226">
        <v>0.53</v>
      </c>
      <c r="BM225" s="226">
        <v>0.3</v>
      </c>
      <c r="BN225" s="226">
        <v>0.3</v>
      </c>
      <c r="BO225" s="226">
        <v>0.3</v>
      </c>
      <c r="BP225" s="226">
        <v>0.3</v>
      </c>
      <c r="BQ225" s="226">
        <v>0.3</v>
      </c>
      <c r="BR225" s="226">
        <v>0.3</v>
      </c>
      <c r="BS225" s="226">
        <v>0.3</v>
      </c>
      <c r="BT225" s="226">
        <v>0.3</v>
      </c>
      <c r="BU225" s="226">
        <v>0.3</v>
      </c>
      <c r="BV225" s="226">
        <v>0.3</v>
      </c>
      <c r="BW225" s="226">
        <v>0.3</v>
      </c>
      <c r="BX225" s="226">
        <v>0.3</v>
      </c>
      <c r="BY225" s="226">
        <v>0.3</v>
      </c>
      <c r="BZ225" s="226">
        <v>0.3</v>
      </c>
      <c r="CA225" s="226">
        <v>0.3</v>
      </c>
    </row>
    <row r="226" spans="1:79">
      <c r="A226" s="227">
        <v>61</v>
      </c>
      <c r="B226" s="226">
        <v>1</v>
      </c>
      <c r="C226" s="226">
        <v>1</v>
      </c>
      <c r="D226" s="226">
        <v>1</v>
      </c>
      <c r="E226" s="226">
        <v>1</v>
      </c>
      <c r="F226" s="226">
        <v>1</v>
      </c>
      <c r="G226" s="226">
        <v>1</v>
      </c>
      <c r="H226" s="226">
        <v>1</v>
      </c>
      <c r="I226" s="226">
        <v>1</v>
      </c>
      <c r="J226" s="226">
        <v>1</v>
      </c>
      <c r="K226" s="226">
        <v>1</v>
      </c>
      <c r="L226" s="226">
        <v>1</v>
      </c>
      <c r="M226" s="226">
        <v>1</v>
      </c>
      <c r="N226" s="226">
        <v>1</v>
      </c>
      <c r="O226" s="226">
        <v>1</v>
      </c>
      <c r="P226" s="226"/>
      <c r="Q226" s="226">
        <v>1</v>
      </c>
      <c r="R226" s="226">
        <v>1</v>
      </c>
      <c r="S226" s="226">
        <v>0.96</v>
      </c>
      <c r="T226" s="226">
        <v>0.96</v>
      </c>
      <c r="U226" s="226"/>
      <c r="V226" s="226">
        <v>0.96</v>
      </c>
      <c r="W226" s="226">
        <v>0.96</v>
      </c>
      <c r="X226" s="226">
        <v>0.96</v>
      </c>
      <c r="Y226" s="226">
        <v>0.91</v>
      </c>
      <c r="Z226" s="226">
        <v>0.91</v>
      </c>
      <c r="AA226" s="226">
        <v>0.91</v>
      </c>
      <c r="AB226" s="226">
        <v>0.91</v>
      </c>
      <c r="AC226" s="226">
        <v>0.91</v>
      </c>
      <c r="AD226" s="226">
        <v>0.85</v>
      </c>
      <c r="AE226" s="226">
        <v>0.85</v>
      </c>
      <c r="AF226" s="226">
        <v>0.85</v>
      </c>
      <c r="AG226" s="226">
        <v>0.85</v>
      </c>
      <c r="AH226" s="226">
        <v>0.85</v>
      </c>
      <c r="AI226" s="226">
        <v>0.79</v>
      </c>
      <c r="AJ226" s="226">
        <v>0.79</v>
      </c>
      <c r="AK226" s="226">
        <v>0.79</v>
      </c>
      <c r="AL226" s="226">
        <v>0.79</v>
      </c>
      <c r="AM226" s="226">
        <v>0.79</v>
      </c>
      <c r="AN226" s="226">
        <v>0.73</v>
      </c>
      <c r="AO226" s="226">
        <v>0.73</v>
      </c>
      <c r="AP226" s="226">
        <v>0.73</v>
      </c>
      <c r="AQ226" s="226">
        <v>0.73</v>
      </c>
      <c r="AR226" s="226">
        <v>0.73</v>
      </c>
      <c r="AS226" s="226">
        <v>0.67</v>
      </c>
      <c r="AT226" s="226">
        <v>0.67</v>
      </c>
      <c r="AU226" s="226">
        <v>0.67</v>
      </c>
      <c r="AV226" s="226">
        <v>0.67</v>
      </c>
      <c r="AW226" s="226">
        <v>0.67</v>
      </c>
      <c r="AX226" s="226">
        <v>0.61</v>
      </c>
      <c r="AY226" s="226">
        <v>0.61</v>
      </c>
      <c r="AZ226" s="226">
        <v>0.61</v>
      </c>
      <c r="BA226" s="226">
        <v>0.61</v>
      </c>
      <c r="BB226" s="226">
        <v>0.61</v>
      </c>
      <c r="BC226" s="226">
        <v>0.54</v>
      </c>
      <c r="BD226" s="226">
        <v>0.54</v>
      </c>
      <c r="BE226" s="226">
        <v>0.54</v>
      </c>
      <c r="BF226" s="226">
        <v>0.54</v>
      </c>
      <c r="BG226" s="226">
        <v>0.54</v>
      </c>
      <c r="BH226" s="226">
        <v>0.48</v>
      </c>
      <c r="BI226" s="226">
        <v>0.48</v>
      </c>
      <c r="BJ226" s="226">
        <v>0.48</v>
      </c>
      <c r="BK226" s="226">
        <v>0.48</v>
      </c>
      <c r="BL226" s="226">
        <v>0.48</v>
      </c>
      <c r="BM226" s="226">
        <v>0</v>
      </c>
      <c r="BN226" s="226">
        <v>0</v>
      </c>
      <c r="BO226" s="226">
        <v>0</v>
      </c>
      <c r="BP226" s="226">
        <v>0</v>
      </c>
      <c r="BQ226" s="226">
        <v>0</v>
      </c>
      <c r="BR226" s="226">
        <v>0</v>
      </c>
      <c r="BS226" s="226">
        <v>0</v>
      </c>
      <c r="BT226" s="226">
        <v>0</v>
      </c>
      <c r="BU226" s="226">
        <v>0</v>
      </c>
      <c r="BV226" s="226">
        <v>0</v>
      </c>
      <c r="BW226" s="226">
        <v>0</v>
      </c>
      <c r="BX226" s="226">
        <v>0</v>
      </c>
      <c r="BY226" s="226">
        <v>0</v>
      </c>
      <c r="BZ226" s="226">
        <v>0</v>
      </c>
      <c r="CA226" s="226">
        <v>0</v>
      </c>
    </row>
    <row r="227" spans="1:79">
      <c r="A227" s="227">
        <v>62</v>
      </c>
      <c r="B227" s="226">
        <v>1</v>
      </c>
      <c r="C227" s="226">
        <v>1</v>
      </c>
      <c r="D227" s="226">
        <v>1</v>
      </c>
      <c r="E227" s="226">
        <v>1</v>
      </c>
      <c r="F227" s="226">
        <v>1</v>
      </c>
      <c r="G227" s="226">
        <v>1</v>
      </c>
      <c r="H227" s="226">
        <v>1</v>
      </c>
      <c r="I227" s="226">
        <v>1</v>
      </c>
      <c r="J227" s="226">
        <v>1</v>
      </c>
      <c r="K227" s="226">
        <v>1</v>
      </c>
      <c r="L227" s="226">
        <v>1</v>
      </c>
      <c r="M227" s="226">
        <v>1</v>
      </c>
      <c r="N227" s="226">
        <v>1</v>
      </c>
      <c r="O227" s="226">
        <v>1</v>
      </c>
      <c r="P227" s="226"/>
      <c r="Q227" s="226">
        <v>1</v>
      </c>
      <c r="R227" s="226">
        <v>1</v>
      </c>
      <c r="S227" s="226">
        <v>0.96</v>
      </c>
      <c r="T227" s="226">
        <v>0.96</v>
      </c>
      <c r="U227" s="226"/>
      <c r="V227" s="226">
        <v>0.96</v>
      </c>
      <c r="W227" s="226">
        <v>0.96</v>
      </c>
      <c r="X227" s="226">
        <v>0.96</v>
      </c>
      <c r="Y227" s="226">
        <v>0.91</v>
      </c>
      <c r="Z227" s="226">
        <v>0.91</v>
      </c>
      <c r="AA227" s="226">
        <v>0.91</v>
      </c>
      <c r="AB227" s="226">
        <v>0.91</v>
      </c>
      <c r="AC227" s="226">
        <v>0.91</v>
      </c>
      <c r="AD227" s="226">
        <v>0.85</v>
      </c>
      <c r="AE227" s="226">
        <v>0.85</v>
      </c>
      <c r="AF227" s="226">
        <v>0.85</v>
      </c>
      <c r="AG227" s="226">
        <v>0.85</v>
      </c>
      <c r="AH227" s="226">
        <v>0.85</v>
      </c>
      <c r="AI227" s="226">
        <v>0.79</v>
      </c>
      <c r="AJ227" s="226">
        <v>0.79</v>
      </c>
      <c r="AK227" s="226">
        <v>0.79</v>
      </c>
      <c r="AL227" s="226">
        <v>0.79</v>
      </c>
      <c r="AM227" s="226">
        <v>0.79</v>
      </c>
      <c r="AN227" s="226">
        <v>0.73</v>
      </c>
      <c r="AO227" s="226">
        <v>0.73</v>
      </c>
      <c r="AP227" s="226">
        <v>0.73</v>
      </c>
      <c r="AQ227" s="226">
        <v>0.73</v>
      </c>
      <c r="AR227" s="226">
        <v>0.73</v>
      </c>
      <c r="AS227" s="226">
        <v>0.67</v>
      </c>
      <c r="AT227" s="226">
        <v>0.67</v>
      </c>
      <c r="AU227" s="226">
        <v>0.67</v>
      </c>
      <c r="AV227" s="226">
        <v>0.67</v>
      </c>
      <c r="AW227" s="226">
        <v>0.67</v>
      </c>
      <c r="AX227" s="226">
        <v>0.61</v>
      </c>
      <c r="AY227" s="226">
        <v>0.61</v>
      </c>
      <c r="AZ227" s="226">
        <v>0.61</v>
      </c>
      <c r="BA227" s="226">
        <v>0.61</v>
      </c>
      <c r="BB227" s="226">
        <v>0.61</v>
      </c>
      <c r="BC227" s="226">
        <v>0.54</v>
      </c>
      <c r="BD227" s="226">
        <v>0.54</v>
      </c>
      <c r="BE227" s="226">
        <v>0.54</v>
      </c>
      <c r="BF227" s="226">
        <v>0.54</v>
      </c>
      <c r="BG227" s="226">
        <v>0.54</v>
      </c>
      <c r="BH227" s="226">
        <v>0.48</v>
      </c>
      <c r="BI227" s="226">
        <v>0.48</v>
      </c>
      <c r="BJ227" s="226">
        <v>0.48</v>
      </c>
      <c r="BK227" s="226">
        <v>0.48</v>
      </c>
      <c r="BL227" s="226">
        <v>0.48</v>
      </c>
      <c r="BM227" s="226">
        <v>0</v>
      </c>
      <c r="BN227" s="226">
        <v>0</v>
      </c>
      <c r="BO227" s="226">
        <v>0</v>
      </c>
      <c r="BP227" s="226">
        <v>0</v>
      </c>
      <c r="BQ227" s="226">
        <v>0</v>
      </c>
      <c r="BR227" s="226">
        <v>0</v>
      </c>
      <c r="BS227" s="226">
        <v>0</v>
      </c>
      <c r="BT227" s="226">
        <v>0</v>
      </c>
      <c r="BU227" s="226">
        <v>0</v>
      </c>
      <c r="BV227" s="226">
        <v>0</v>
      </c>
      <c r="BW227" s="226">
        <v>0</v>
      </c>
      <c r="BX227" s="226">
        <v>0</v>
      </c>
      <c r="BY227" s="226">
        <v>0</v>
      </c>
      <c r="BZ227" s="226">
        <v>0</v>
      </c>
      <c r="CA227" s="226">
        <v>0</v>
      </c>
    </row>
    <row r="228" spans="1:79">
      <c r="A228" s="227">
        <v>63</v>
      </c>
      <c r="B228" s="226">
        <v>1</v>
      </c>
      <c r="C228" s="226">
        <v>1</v>
      </c>
      <c r="D228" s="226">
        <v>1</v>
      </c>
      <c r="E228" s="226">
        <v>1</v>
      </c>
      <c r="F228" s="226">
        <v>1</v>
      </c>
      <c r="G228" s="226">
        <v>1</v>
      </c>
      <c r="H228" s="226">
        <v>1</v>
      </c>
      <c r="I228" s="226">
        <v>1</v>
      </c>
      <c r="J228" s="226">
        <v>1</v>
      </c>
      <c r="K228" s="226">
        <v>1</v>
      </c>
      <c r="L228" s="226">
        <v>1</v>
      </c>
      <c r="M228" s="226">
        <v>1</v>
      </c>
      <c r="N228" s="226">
        <v>1</v>
      </c>
      <c r="O228" s="226">
        <v>1</v>
      </c>
      <c r="P228" s="226"/>
      <c r="Q228" s="226">
        <v>1</v>
      </c>
      <c r="R228" s="226">
        <v>1</v>
      </c>
      <c r="S228" s="226">
        <v>0.96</v>
      </c>
      <c r="T228" s="226">
        <v>0.96</v>
      </c>
      <c r="U228" s="226"/>
      <c r="V228" s="226">
        <v>0.96</v>
      </c>
      <c r="W228" s="226">
        <v>0.96</v>
      </c>
      <c r="X228" s="226">
        <v>0.96</v>
      </c>
      <c r="Y228" s="226">
        <v>0.91</v>
      </c>
      <c r="Z228" s="226">
        <v>0.91</v>
      </c>
      <c r="AA228" s="226">
        <v>0.91</v>
      </c>
      <c r="AB228" s="226">
        <v>0.91</v>
      </c>
      <c r="AC228" s="226">
        <v>0.91</v>
      </c>
      <c r="AD228" s="226">
        <v>0.85</v>
      </c>
      <c r="AE228" s="226">
        <v>0.85</v>
      </c>
      <c r="AF228" s="226">
        <v>0.85</v>
      </c>
      <c r="AG228" s="226">
        <v>0.85</v>
      </c>
      <c r="AH228" s="226">
        <v>0.85</v>
      </c>
      <c r="AI228" s="226">
        <v>0.79</v>
      </c>
      <c r="AJ228" s="226">
        <v>0.79</v>
      </c>
      <c r="AK228" s="226">
        <v>0.79</v>
      </c>
      <c r="AL228" s="226">
        <v>0.79</v>
      </c>
      <c r="AM228" s="226">
        <v>0.79</v>
      </c>
      <c r="AN228" s="226">
        <v>0.73</v>
      </c>
      <c r="AO228" s="226">
        <v>0.73</v>
      </c>
      <c r="AP228" s="226">
        <v>0.73</v>
      </c>
      <c r="AQ228" s="226">
        <v>0.73</v>
      </c>
      <c r="AR228" s="226">
        <v>0.73</v>
      </c>
      <c r="AS228" s="226">
        <v>0.67</v>
      </c>
      <c r="AT228" s="226">
        <v>0.67</v>
      </c>
      <c r="AU228" s="226">
        <v>0.67</v>
      </c>
      <c r="AV228" s="226">
        <v>0.67</v>
      </c>
      <c r="AW228" s="226">
        <v>0.67</v>
      </c>
      <c r="AX228" s="226">
        <v>0.61</v>
      </c>
      <c r="AY228" s="226">
        <v>0.61</v>
      </c>
      <c r="AZ228" s="226">
        <v>0.61</v>
      </c>
      <c r="BA228" s="226">
        <v>0.61</v>
      </c>
      <c r="BB228" s="226">
        <v>0.61</v>
      </c>
      <c r="BC228" s="226">
        <v>0.54</v>
      </c>
      <c r="BD228" s="226">
        <v>0.54</v>
      </c>
      <c r="BE228" s="226">
        <v>0.54</v>
      </c>
      <c r="BF228" s="226">
        <v>0.54</v>
      </c>
      <c r="BG228" s="226">
        <v>0.54</v>
      </c>
      <c r="BH228" s="226">
        <v>0.48</v>
      </c>
      <c r="BI228" s="226">
        <v>0.48</v>
      </c>
      <c r="BJ228" s="226">
        <v>0.48</v>
      </c>
      <c r="BK228" s="226">
        <v>0.48</v>
      </c>
      <c r="BL228" s="226">
        <v>0.48</v>
      </c>
      <c r="BM228" s="226">
        <v>0</v>
      </c>
      <c r="BN228" s="226">
        <v>0</v>
      </c>
      <c r="BO228" s="226">
        <v>0</v>
      </c>
      <c r="BP228" s="226">
        <v>0</v>
      </c>
      <c r="BQ228" s="226">
        <v>0</v>
      </c>
      <c r="BR228" s="226">
        <v>0</v>
      </c>
      <c r="BS228" s="226">
        <v>0</v>
      </c>
      <c r="BT228" s="226">
        <v>0</v>
      </c>
      <c r="BU228" s="226">
        <v>0</v>
      </c>
      <c r="BV228" s="226">
        <v>0</v>
      </c>
      <c r="BW228" s="226">
        <v>0</v>
      </c>
      <c r="BX228" s="226">
        <v>0</v>
      </c>
      <c r="BY228" s="226">
        <v>0</v>
      </c>
      <c r="BZ228" s="226">
        <v>0</v>
      </c>
      <c r="CA228" s="226">
        <v>0</v>
      </c>
    </row>
    <row r="229" spans="1:79">
      <c r="A229" s="227">
        <v>64</v>
      </c>
      <c r="B229" s="226">
        <v>1</v>
      </c>
      <c r="C229" s="226">
        <v>1</v>
      </c>
      <c r="D229" s="226">
        <v>1</v>
      </c>
      <c r="E229" s="226">
        <v>1</v>
      </c>
      <c r="F229" s="226">
        <v>1</v>
      </c>
      <c r="G229" s="226">
        <v>1</v>
      </c>
      <c r="H229" s="226">
        <v>1</v>
      </c>
      <c r="I229" s="226">
        <v>1</v>
      </c>
      <c r="J229" s="226">
        <v>1</v>
      </c>
      <c r="K229" s="226">
        <v>1</v>
      </c>
      <c r="L229" s="226">
        <v>1</v>
      </c>
      <c r="M229" s="226">
        <v>1</v>
      </c>
      <c r="N229" s="226">
        <v>1</v>
      </c>
      <c r="O229" s="226">
        <v>1</v>
      </c>
      <c r="P229" s="226"/>
      <c r="Q229" s="226">
        <v>1</v>
      </c>
      <c r="R229" s="226">
        <v>1</v>
      </c>
      <c r="S229" s="226">
        <v>0.96</v>
      </c>
      <c r="T229" s="226">
        <v>0.96</v>
      </c>
      <c r="U229" s="226"/>
      <c r="V229" s="226">
        <v>0.96</v>
      </c>
      <c r="W229" s="226">
        <v>0.96</v>
      </c>
      <c r="X229" s="226">
        <v>0.96</v>
      </c>
      <c r="Y229" s="226">
        <v>0.91</v>
      </c>
      <c r="Z229" s="226">
        <v>0.91</v>
      </c>
      <c r="AA229" s="226">
        <v>0.91</v>
      </c>
      <c r="AB229" s="226">
        <v>0.91</v>
      </c>
      <c r="AC229" s="226">
        <v>0.91</v>
      </c>
      <c r="AD229" s="226">
        <v>0.85</v>
      </c>
      <c r="AE229" s="226">
        <v>0.85</v>
      </c>
      <c r="AF229" s="226">
        <v>0.85</v>
      </c>
      <c r="AG229" s="226">
        <v>0.85</v>
      </c>
      <c r="AH229" s="226">
        <v>0.85</v>
      </c>
      <c r="AI229" s="226">
        <v>0.79</v>
      </c>
      <c r="AJ229" s="226">
        <v>0.79</v>
      </c>
      <c r="AK229" s="226">
        <v>0.79</v>
      </c>
      <c r="AL229" s="226">
        <v>0.79</v>
      </c>
      <c r="AM229" s="226">
        <v>0.79</v>
      </c>
      <c r="AN229" s="226">
        <v>0.73</v>
      </c>
      <c r="AO229" s="226">
        <v>0.73</v>
      </c>
      <c r="AP229" s="226">
        <v>0.73</v>
      </c>
      <c r="AQ229" s="226">
        <v>0.73</v>
      </c>
      <c r="AR229" s="226">
        <v>0.73</v>
      </c>
      <c r="AS229" s="226">
        <v>0.67</v>
      </c>
      <c r="AT229" s="226">
        <v>0.67</v>
      </c>
      <c r="AU229" s="226">
        <v>0.67</v>
      </c>
      <c r="AV229" s="226">
        <v>0.67</v>
      </c>
      <c r="AW229" s="226">
        <v>0.67</v>
      </c>
      <c r="AX229" s="226">
        <v>0.61</v>
      </c>
      <c r="AY229" s="226">
        <v>0.61</v>
      </c>
      <c r="AZ229" s="226">
        <v>0.61</v>
      </c>
      <c r="BA229" s="226">
        <v>0.61</v>
      </c>
      <c r="BB229" s="226">
        <v>0.61</v>
      </c>
      <c r="BC229" s="226">
        <v>0.54</v>
      </c>
      <c r="BD229" s="226">
        <v>0.54</v>
      </c>
      <c r="BE229" s="226">
        <v>0.54</v>
      </c>
      <c r="BF229" s="226">
        <v>0.54</v>
      </c>
      <c r="BG229" s="226">
        <v>0.54</v>
      </c>
      <c r="BH229" s="226">
        <v>0.48</v>
      </c>
      <c r="BI229" s="226">
        <v>0.48</v>
      </c>
      <c r="BJ229" s="226">
        <v>0.48</v>
      </c>
      <c r="BK229" s="226">
        <v>0.48</v>
      </c>
      <c r="BL229" s="226">
        <v>0.48</v>
      </c>
      <c r="BM229" s="226">
        <v>0</v>
      </c>
      <c r="BN229" s="226">
        <v>0</v>
      </c>
      <c r="BO229" s="226">
        <v>0</v>
      </c>
      <c r="BP229" s="226">
        <v>0</v>
      </c>
      <c r="BQ229" s="226">
        <v>0</v>
      </c>
      <c r="BR229" s="226">
        <v>0</v>
      </c>
      <c r="BS229" s="226">
        <v>0</v>
      </c>
      <c r="BT229" s="226">
        <v>0</v>
      </c>
      <c r="BU229" s="226">
        <v>0</v>
      </c>
      <c r="BV229" s="226">
        <v>0</v>
      </c>
      <c r="BW229" s="226">
        <v>0</v>
      </c>
      <c r="BX229" s="226">
        <v>0</v>
      </c>
      <c r="BY229" s="226">
        <v>0</v>
      </c>
      <c r="BZ229" s="226">
        <v>0</v>
      </c>
      <c r="CA229" s="226">
        <v>0</v>
      </c>
    </row>
    <row r="230" spans="1:79">
      <c r="A230" s="227">
        <v>65</v>
      </c>
      <c r="B230" s="226">
        <v>1</v>
      </c>
      <c r="C230" s="226">
        <v>1</v>
      </c>
      <c r="D230" s="226">
        <v>1</v>
      </c>
      <c r="E230" s="226">
        <v>1</v>
      </c>
      <c r="F230" s="226">
        <v>1</v>
      </c>
      <c r="G230" s="226">
        <v>1</v>
      </c>
      <c r="H230" s="226">
        <v>1</v>
      </c>
      <c r="I230" s="226">
        <v>1</v>
      </c>
      <c r="J230" s="226">
        <v>1</v>
      </c>
      <c r="K230" s="226">
        <v>1</v>
      </c>
      <c r="L230" s="226">
        <v>1</v>
      </c>
      <c r="M230" s="226">
        <v>1</v>
      </c>
      <c r="N230" s="226">
        <v>1</v>
      </c>
      <c r="O230" s="226">
        <v>1</v>
      </c>
      <c r="P230" s="226"/>
      <c r="Q230" s="226">
        <v>1</v>
      </c>
      <c r="R230" s="226">
        <v>1</v>
      </c>
      <c r="S230" s="226">
        <v>0.96</v>
      </c>
      <c r="T230" s="226">
        <v>0.96</v>
      </c>
      <c r="U230" s="226"/>
      <c r="V230" s="226">
        <v>0.96</v>
      </c>
      <c r="W230" s="226">
        <v>0.96</v>
      </c>
      <c r="X230" s="226">
        <v>0.96</v>
      </c>
      <c r="Y230" s="226">
        <v>0.91</v>
      </c>
      <c r="Z230" s="226">
        <v>0.91</v>
      </c>
      <c r="AA230" s="226">
        <v>0.91</v>
      </c>
      <c r="AB230" s="226">
        <v>0.91</v>
      </c>
      <c r="AC230" s="226">
        <v>0.91</v>
      </c>
      <c r="AD230" s="226">
        <v>0.85</v>
      </c>
      <c r="AE230" s="226">
        <v>0.85</v>
      </c>
      <c r="AF230" s="226">
        <v>0.85</v>
      </c>
      <c r="AG230" s="226">
        <v>0.85</v>
      </c>
      <c r="AH230" s="226">
        <v>0.85</v>
      </c>
      <c r="AI230" s="226">
        <v>0.79</v>
      </c>
      <c r="AJ230" s="226">
        <v>0.79</v>
      </c>
      <c r="AK230" s="226">
        <v>0.79</v>
      </c>
      <c r="AL230" s="226">
        <v>0.79</v>
      </c>
      <c r="AM230" s="226">
        <v>0.79</v>
      </c>
      <c r="AN230" s="226">
        <v>0.73</v>
      </c>
      <c r="AO230" s="226">
        <v>0.73</v>
      </c>
      <c r="AP230" s="226">
        <v>0.73</v>
      </c>
      <c r="AQ230" s="226">
        <v>0.73</v>
      </c>
      <c r="AR230" s="226">
        <v>0.73</v>
      </c>
      <c r="AS230" s="226">
        <v>0.67</v>
      </c>
      <c r="AT230" s="226">
        <v>0.67</v>
      </c>
      <c r="AU230" s="226">
        <v>0.67</v>
      </c>
      <c r="AV230" s="226">
        <v>0.67</v>
      </c>
      <c r="AW230" s="226">
        <v>0.67</v>
      </c>
      <c r="AX230" s="226">
        <v>0.61</v>
      </c>
      <c r="AY230" s="226">
        <v>0.61</v>
      </c>
      <c r="AZ230" s="226">
        <v>0.61</v>
      </c>
      <c r="BA230" s="226">
        <v>0.61</v>
      </c>
      <c r="BB230" s="226">
        <v>0.61</v>
      </c>
      <c r="BC230" s="226">
        <v>0.54</v>
      </c>
      <c r="BD230" s="226">
        <v>0.54</v>
      </c>
      <c r="BE230" s="226">
        <v>0.54</v>
      </c>
      <c r="BF230" s="226">
        <v>0.54</v>
      </c>
      <c r="BG230" s="226">
        <v>0.54</v>
      </c>
      <c r="BH230" s="226">
        <v>0.48</v>
      </c>
      <c r="BI230" s="226">
        <v>0.48</v>
      </c>
      <c r="BJ230" s="226">
        <v>0.48</v>
      </c>
      <c r="BK230" s="226">
        <v>0.48</v>
      </c>
      <c r="BL230" s="226">
        <v>0.48</v>
      </c>
      <c r="BM230" s="226">
        <v>0</v>
      </c>
      <c r="BN230" s="226">
        <v>0</v>
      </c>
      <c r="BO230" s="226">
        <v>0</v>
      </c>
      <c r="BP230" s="226">
        <v>0</v>
      </c>
      <c r="BQ230" s="226">
        <v>0</v>
      </c>
      <c r="BR230" s="226">
        <v>0</v>
      </c>
      <c r="BS230" s="226">
        <v>0</v>
      </c>
      <c r="BT230" s="226">
        <v>0</v>
      </c>
      <c r="BU230" s="226">
        <v>0</v>
      </c>
      <c r="BV230" s="226">
        <v>0</v>
      </c>
      <c r="BW230" s="226">
        <v>0</v>
      </c>
      <c r="BX230" s="226">
        <v>0</v>
      </c>
      <c r="BY230" s="226">
        <v>0</v>
      </c>
      <c r="BZ230" s="226">
        <v>0</v>
      </c>
      <c r="CA230" s="226">
        <v>0</v>
      </c>
    </row>
    <row r="231" spans="1:79">
      <c r="A231" s="227">
        <v>66</v>
      </c>
      <c r="B231" s="226">
        <v>1</v>
      </c>
      <c r="C231" s="226">
        <v>1</v>
      </c>
      <c r="D231" s="226">
        <v>1</v>
      </c>
      <c r="E231" s="226">
        <v>1</v>
      </c>
      <c r="F231" s="226">
        <v>1</v>
      </c>
      <c r="G231" s="226">
        <v>1</v>
      </c>
      <c r="H231" s="226">
        <v>1</v>
      </c>
      <c r="I231" s="226">
        <v>1</v>
      </c>
      <c r="J231" s="226">
        <v>1</v>
      </c>
      <c r="K231" s="226">
        <v>1</v>
      </c>
      <c r="L231" s="226">
        <v>1</v>
      </c>
      <c r="M231" s="226">
        <v>1</v>
      </c>
      <c r="N231" s="226">
        <v>1</v>
      </c>
      <c r="O231" s="226">
        <v>1</v>
      </c>
      <c r="P231" s="226"/>
      <c r="Q231" s="226">
        <v>1</v>
      </c>
      <c r="R231" s="226">
        <v>1</v>
      </c>
      <c r="S231" s="226">
        <v>0.96</v>
      </c>
      <c r="T231" s="226">
        <v>0.96</v>
      </c>
      <c r="U231" s="226"/>
      <c r="V231" s="226">
        <v>0.96</v>
      </c>
      <c r="W231" s="226">
        <v>0.96</v>
      </c>
      <c r="X231" s="226">
        <v>0.96</v>
      </c>
      <c r="Y231" s="226">
        <v>0.91</v>
      </c>
      <c r="Z231" s="226">
        <v>0.91</v>
      </c>
      <c r="AA231" s="226">
        <v>0.91</v>
      </c>
      <c r="AB231" s="226">
        <v>0.91</v>
      </c>
      <c r="AC231" s="226">
        <v>0.91</v>
      </c>
      <c r="AD231" s="226">
        <v>0.85</v>
      </c>
      <c r="AE231" s="226">
        <v>0.85</v>
      </c>
      <c r="AF231" s="226">
        <v>0.85</v>
      </c>
      <c r="AG231" s="226">
        <v>0.85</v>
      </c>
      <c r="AH231" s="226">
        <v>0.85</v>
      </c>
      <c r="AI231" s="226">
        <v>0.79</v>
      </c>
      <c r="AJ231" s="226">
        <v>0.79</v>
      </c>
      <c r="AK231" s="226">
        <v>0.79</v>
      </c>
      <c r="AL231" s="226">
        <v>0.79</v>
      </c>
      <c r="AM231" s="226">
        <v>0.79</v>
      </c>
      <c r="AN231" s="226">
        <v>0.73</v>
      </c>
      <c r="AO231" s="226">
        <v>0.73</v>
      </c>
      <c r="AP231" s="226">
        <v>0.73</v>
      </c>
      <c r="AQ231" s="226">
        <v>0.73</v>
      </c>
      <c r="AR231" s="226">
        <v>0.73</v>
      </c>
      <c r="AS231" s="226">
        <v>0.67</v>
      </c>
      <c r="AT231" s="226">
        <v>0.67</v>
      </c>
      <c r="AU231" s="226">
        <v>0.67</v>
      </c>
      <c r="AV231" s="226">
        <v>0.67</v>
      </c>
      <c r="AW231" s="226">
        <v>0.67</v>
      </c>
      <c r="AX231" s="226">
        <v>0.61</v>
      </c>
      <c r="AY231" s="226">
        <v>0.61</v>
      </c>
      <c r="AZ231" s="226">
        <v>0.61</v>
      </c>
      <c r="BA231" s="226">
        <v>0.61</v>
      </c>
      <c r="BB231" s="226">
        <v>0.61</v>
      </c>
      <c r="BC231" s="226">
        <v>0.54</v>
      </c>
      <c r="BD231" s="226">
        <v>0.54</v>
      </c>
      <c r="BE231" s="226">
        <v>0.54</v>
      </c>
      <c r="BF231" s="226">
        <v>0.54</v>
      </c>
      <c r="BG231" s="226">
        <v>0.54</v>
      </c>
      <c r="BH231" s="226">
        <v>0.48</v>
      </c>
      <c r="BI231" s="226">
        <v>0.48</v>
      </c>
      <c r="BJ231" s="226">
        <v>0.48</v>
      </c>
      <c r="BK231" s="226">
        <v>0.48</v>
      </c>
      <c r="BL231" s="226">
        <v>0.48</v>
      </c>
      <c r="BM231" s="226">
        <v>0</v>
      </c>
      <c r="BN231" s="226">
        <v>0</v>
      </c>
      <c r="BO231" s="226">
        <v>0</v>
      </c>
      <c r="BP231" s="226">
        <v>0</v>
      </c>
      <c r="BQ231" s="226">
        <v>0</v>
      </c>
      <c r="BR231" s="226">
        <v>0</v>
      </c>
      <c r="BS231" s="226">
        <v>0</v>
      </c>
      <c r="BT231" s="226">
        <v>0</v>
      </c>
      <c r="BU231" s="226">
        <v>0</v>
      </c>
      <c r="BV231" s="226">
        <v>0</v>
      </c>
      <c r="BW231" s="226">
        <v>0</v>
      </c>
      <c r="BX231" s="226">
        <v>0</v>
      </c>
      <c r="BY231" s="226">
        <v>0</v>
      </c>
      <c r="BZ231" s="226">
        <v>0</v>
      </c>
      <c r="CA231" s="226">
        <v>0</v>
      </c>
    </row>
    <row r="232" spans="1:79">
      <c r="A232" s="227">
        <v>67</v>
      </c>
      <c r="B232" s="226">
        <v>1</v>
      </c>
      <c r="C232" s="226">
        <v>1</v>
      </c>
      <c r="D232" s="226">
        <v>1</v>
      </c>
      <c r="E232" s="226">
        <v>1</v>
      </c>
      <c r="F232" s="226">
        <v>1</v>
      </c>
      <c r="G232" s="226">
        <v>1</v>
      </c>
      <c r="H232" s="226">
        <v>1</v>
      </c>
      <c r="I232" s="226">
        <v>1</v>
      </c>
      <c r="J232" s="226">
        <v>1</v>
      </c>
      <c r="K232" s="226">
        <v>1</v>
      </c>
      <c r="L232" s="226">
        <v>1</v>
      </c>
      <c r="M232" s="226">
        <v>1</v>
      </c>
      <c r="N232" s="226">
        <v>1</v>
      </c>
      <c r="O232" s="226">
        <v>1</v>
      </c>
      <c r="P232" s="226"/>
      <c r="Q232" s="226">
        <v>1</v>
      </c>
      <c r="R232" s="226">
        <v>1</v>
      </c>
      <c r="S232" s="226">
        <v>0.96</v>
      </c>
      <c r="T232" s="226">
        <v>0.96</v>
      </c>
      <c r="U232" s="226"/>
      <c r="V232" s="226">
        <v>0.96</v>
      </c>
      <c r="W232" s="226">
        <v>0.96</v>
      </c>
      <c r="X232" s="226">
        <v>0.96</v>
      </c>
      <c r="Y232" s="226">
        <v>0.91</v>
      </c>
      <c r="Z232" s="226">
        <v>0.91</v>
      </c>
      <c r="AA232" s="226">
        <v>0.91</v>
      </c>
      <c r="AB232" s="226">
        <v>0.91</v>
      </c>
      <c r="AC232" s="226">
        <v>0.91</v>
      </c>
      <c r="AD232" s="226">
        <v>0.85</v>
      </c>
      <c r="AE232" s="226">
        <v>0.85</v>
      </c>
      <c r="AF232" s="226">
        <v>0.85</v>
      </c>
      <c r="AG232" s="226">
        <v>0.85</v>
      </c>
      <c r="AH232" s="226">
        <v>0.85</v>
      </c>
      <c r="AI232" s="226">
        <v>0.79</v>
      </c>
      <c r="AJ232" s="226">
        <v>0.79</v>
      </c>
      <c r="AK232" s="226">
        <v>0.79</v>
      </c>
      <c r="AL232" s="226">
        <v>0.79</v>
      </c>
      <c r="AM232" s="226">
        <v>0.79</v>
      </c>
      <c r="AN232" s="226">
        <v>0.73</v>
      </c>
      <c r="AO232" s="226">
        <v>0.73</v>
      </c>
      <c r="AP232" s="226">
        <v>0.73</v>
      </c>
      <c r="AQ232" s="226">
        <v>0.73</v>
      </c>
      <c r="AR232" s="226">
        <v>0.73</v>
      </c>
      <c r="AS232" s="226">
        <v>0.67</v>
      </c>
      <c r="AT232" s="226">
        <v>0.67</v>
      </c>
      <c r="AU232" s="226">
        <v>0.67</v>
      </c>
      <c r="AV232" s="226">
        <v>0.67</v>
      </c>
      <c r="AW232" s="226">
        <v>0.67</v>
      </c>
      <c r="AX232" s="226">
        <v>0.61</v>
      </c>
      <c r="AY232" s="226">
        <v>0.61</v>
      </c>
      <c r="AZ232" s="226">
        <v>0.61</v>
      </c>
      <c r="BA232" s="226">
        <v>0.61</v>
      </c>
      <c r="BB232" s="226">
        <v>0.61</v>
      </c>
      <c r="BC232" s="226">
        <v>0.54</v>
      </c>
      <c r="BD232" s="226">
        <v>0.54</v>
      </c>
      <c r="BE232" s="226">
        <v>0.54</v>
      </c>
      <c r="BF232" s="226">
        <v>0.54</v>
      </c>
      <c r="BG232" s="226">
        <v>0.54</v>
      </c>
      <c r="BH232" s="226">
        <v>0.48</v>
      </c>
      <c r="BI232" s="226">
        <v>0.48</v>
      </c>
      <c r="BJ232" s="226">
        <v>0.48</v>
      </c>
      <c r="BK232" s="226">
        <v>0.48</v>
      </c>
      <c r="BL232" s="226">
        <v>0.48</v>
      </c>
      <c r="BM232" s="226">
        <v>0</v>
      </c>
      <c r="BN232" s="226">
        <v>0</v>
      </c>
      <c r="BO232" s="226">
        <v>0</v>
      </c>
      <c r="BP232" s="226">
        <v>0</v>
      </c>
      <c r="BQ232" s="226">
        <v>0</v>
      </c>
      <c r="BR232" s="226">
        <v>0</v>
      </c>
      <c r="BS232" s="226">
        <v>0</v>
      </c>
      <c r="BT232" s="226">
        <v>0</v>
      </c>
      <c r="BU232" s="226">
        <v>0</v>
      </c>
      <c r="BV232" s="226">
        <v>0</v>
      </c>
      <c r="BW232" s="226">
        <v>0</v>
      </c>
      <c r="BX232" s="226">
        <v>0</v>
      </c>
      <c r="BY232" s="226">
        <v>0</v>
      </c>
      <c r="BZ232" s="226">
        <v>0</v>
      </c>
      <c r="CA232" s="226">
        <v>0</v>
      </c>
    </row>
    <row r="233" spans="1:79">
      <c r="A233" s="227">
        <v>68</v>
      </c>
      <c r="B233" s="226">
        <v>1</v>
      </c>
      <c r="C233" s="226">
        <v>1</v>
      </c>
      <c r="D233" s="226">
        <v>1</v>
      </c>
      <c r="E233" s="226">
        <v>1</v>
      </c>
      <c r="F233" s="226">
        <v>1</v>
      </c>
      <c r="G233" s="226">
        <v>1</v>
      </c>
      <c r="H233" s="226">
        <v>1</v>
      </c>
      <c r="I233" s="226">
        <v>1</v>
      </c>
      <c r="J233" s="226">
        <v>1</v>
      </c>
      <c r="K233" s="226">
        <v>1</v>
      </c>
      <c r="L233" s="226">
        <v>1</v>
      </c>
      <c r="M233" s="226">
        <v>1</v>
      </c>
      <c r="N233" s="226">
        <v>1</v>
      </c>
      <c r="O233" s="226">
        <v>1</v>
      </c>
      <c r="P233" s="226"/>
      <c r="Q233" s="226">
        <v>1</v>
      </c>
      <c r="R233" s="226">
        <v>1</v>
      </c>
      <c r="S233" s="226">
        <v>0.96</v>
      </c>
      <c r="T233" s="226">
        <v>0.96</v>
      </c>
      <c r="U233" s="226"/>
      <c r="V233" s="226">
        <v>0.96</v>
      </c>
      <c r="W233" s="226">
        <v>0.96</v>
      </c>
      <c r="X233" s="226">
        <v>0.96</v>
      </c>
      <c r="Y233" s="226">
        <v>0.91</v>
      </c>
      <c r="Z233" s="226">
        <v>0.91</v>
      </c>
      <c r="AA233" s="226">
        <v>0.91</v>
      </c>
      <c r="AB233" s="226">
        <v>0.91</v>
      </c>
      <c r="AC233" s="226">
        <v>0.91</v>
      </c>
      <c r="AD233" s="226">
        <v>0.85</v>
      </c>
      <c r="AE233" s="226">
        <v>0.85</v>
      </c>
      <c r="AF233" s="226">
        <v>0.85</v>
      </c>
      <c r="AG233" s="226">
        <v>0.85</v>
      </c>
      <c r="AH233" s="226">
        <v>0.85</v>
      </c>
      <c r="AI233" s="226">
        <v>0.79</v>
      </c>
      <c r="AJ233" s="226">
        <v>0.79</v>
      </c>
      <c r="AK233" s="226">
        <v>0.79</v>
      </c>
      <c r="AL233" s="226">
        <v>0.79</v>
      </c>
      <c r="AM233" s="226">
        <v>0.79</v>
      </c>
      <c r="AN233" s="226">
        <v>0.73</v>
      </c>
      <c r="AO233" s="226">
        <v>0.73</v>
      </c>
      <c r="AP233" s="226">
        <v>0.73</v>
      </c>
      <c r="AQ233" s="226">
        <v>0.73</v>
      </c>
      <c r="AR233" s="226">
        <v>0.73</v>
      </c>
      <c r="AS233" s="226">
        <v>0.67</v>
      </c>
      <c r="AT233" s="226">
        <v>0.67</v>
      </c>
      <c r="AU233" s="226">
        <v>0.67</v>
      </c>
      <c r="AV233" s="226">
        <v>0.67</v>
      </c>
      <c r="AW233" s="226">
        <v>0.67</v>
      </c>
      <c r="AX233" s="226">
        <v>0.61</v>
      </c>
      <c r="AY233" s="226">
        <v>0.61</v>
      </c>
      <c r="AZ233" s="226">
        <v>0.61</v>
      </c>
      <c r="BA233" s="226">
        <v>0.61</v>
      </c>
      <c r="BB233" s="226">
        <v>0.61</v>
      </c>
      <c r="BC233" s="226">
        <v>0.54</v>
      </c>
      <c r="BD233" s="226">
        <v>0.54</v>
      </c>
      <c r="BE233" s="226">
        <v>0.54</v>
      </c>
      <c r="BF233" s="226">
        <v>0.54</v>
      </c>
      <c r="BG233" s="226">
        <v>0.54</v>
      </c>
      <c r="BH233" s="226">
        <v>0.48</v>
      </c>
      <c r="BI233" s="226">
        <v>0.48</v>
      </c>
      <c r="BJ233" s="226">
        <v>0.48</v>
      </c>
      <c r="BK233" s="226">
        <v>0.48</v>
      </c>
      <c r="BL233" s="226">
        <v>0.48</v>
      </c>
      <c r="BM233" s="226">
        <v>0</v>
      </c>
      <c r="BN233" s="226">
        <v>0</v>
      </c>
      <c r="BO233" s="226">
        <v>0</v>
      </c>
      <c r="BP233" s="226">
        <v>0</v>
      </c>
      <c r="BQ233" s="226">
        <v>0</v>
      </c>
      <c r="BR233" s="226">
        <v>0</v>
      </c>
      <c r="BS233" s="226">
        <v>0</v>
      </c>
      <c r="BT233" s="226">
        <v>0</v>
      </c>
      <c r="BU233" s="226">
        <v>0</v>
      </c>
      <c r="BV233" s="226">
        <v>0</v>
      </c>
      <c r="BW233" s="226">
        <v>0</v>
      </c>
      <c r="BX233" s="226">
        <v>0</v>
      </c>
      <c r="BY233" s="226">
        <v>0</v>
      </c>
      <c r="BZ233" s="226">
        <v>0</v>
      </c>
      <c r="CA233" s="226">
        <v>0</v>
      </c>
    </row>
    <row r="234" spans="1:79">
      <c r="A234" s="227">
        <v>69</v>
      </c>
      <c r="B234" s="226">
        <v>1</v>
      </c>
      <c r="C234" s="226">
        <v>1</v>
      </c>
      <c r="D234" s="226">
        <v>1</v>
      </c>
      <c r="E234" s="226">
        <v>1</v>
      </c>
      <c r="F234" s="226">
        <v>1</v>
      </c>
      <c r="G234" s="226">
        <v>1</v>
      </c>
      <c r="H234" s="226">
        <v>1</v>
      </c>
      <c r="I234" s="226">
        <v>1</v>
      </c>
      <c r="J234" s="226">
        <v>1</v>
      </c>
      <c r="K234" s="226">
        <v>1</v>
      </c>
      <c r="L234" s="226">
        <v>1</v>
      </c>
      <c r="M234" s="226">
        <v>1</v>
      </c>
      <c r="N234" s="226">
        <v>1</v>
      </c>
      <c r="O234" s="226">
        <v>1</v>
      </c>
      <c r="P234" s="226"/>
      <c r="Q234" s="226">
        <v>1</v>
      </c>
      <c r="R234" s="226">
        <v>1</v>
      </c>
      <c r="S234" s="226">
        <v>0.96</v>
      </c>
      <c r="T234" s="226">
        <v>0.96</v>
      </c>
      <c r="U234" s="226"/>
      <c r="V234" s="226">
        <v>0.96</v>
      </c>
      <c r="W234" s="226">
        <v>0.96</v>
      </c>
      <c r="X234" s="226">
        <v>0.96</v>
      </c>
      <c r="Y234" s="226">
        <v>0.91</v>
      </c>
      <c r="Z234" s="226">
        <v>0.91</v>
      </c>
      <c r="AA234" s="226">
        <v>0.91</v>
      </c>
      <c r="AB234" s="226">
        <v>0.91</v>
      </c>
      <c r="AC234" s="226">
        <v>0.91</v>
      </c>
      <c r="AD234" s="226">
        <v>0.85</v>
      </c>
      <c r="AE234" s="226">
        <v>0.85</v>
      </c>
      <c r="AF234" s="226">
        <v>0.85</v>
      </c>
      <c r="AG234" s="226">
        <v>0.85</v>
      </c>
      <c r="AH234" s="226">
        <v>0.85</v>
      </c>
      <c r="AI234" s="226">
        <v>0.79</v>
      </c>
      <c r="AJ234" s="226">
        <v>0.79</v>
      </c>
      <c r="AK234" s="226">
        <v>0.79</v>
      </c>
      <c r="AL234" s="226">
        <v>0.79</v>
      </c>
      <c r="AM234" s="226">
        <v>0.79</v>
      </c>
      <c r="AN234" s="226">
        <v>0.73</v>
      </c>
      <c r="AO234" s="226">
        <v>0.73</v>
      </c>
      <c r="AP234" s="226">
        <v>0.73</v>
      </c>
      <c r="AQ234" s="226">
        <v>0.73</v>
      </c>
      <c r="AR234" s="226">
        <v>0.73</v>
      </c>
      <c r="AS234" s="226">
        <v>0.67</v>
      </c>
      <c r="AT234" s="226">
        <v>0.67</v>
      </c>
      <c r="AU234" s="226">
        <v>0.67</v>
      </c>
      <c r="AV234" s="226">
        <v>0.67</v>
      </c>
      <c r="AW234" s="226">
        <v>0.67</v>
      </c>
      <c r="AX234" s="226">
        <v>0.61</v>
      </c>
      <c r="AY234" s="226">
        <v>0.61</v>
      </c>
      <c r="AZ234" s="226">
        <v>0.61</v>
      </c>
      <c r="BA234" s="226">
        <v>0.61</v>
      </c>
      <c r="BB234" s="226">
        <v>0.61</v>
      </c>
      <c r="BC234" s="226">
        <v>0.54</v>
      </c>
      <c r="BD234" s="226">
        <v>0.54</v>
      </c>
      <c r="BE234" s="226">
        <v>0.54</v>
      </c>
      <c r="BF234" s="226">
        <v>0.54</v>
      </c>
      <c r="BG234" s="226">
        <v>0.54</v>
      </c>
      <c r="BH234" s="226">
        <v>0.48</v>
      </c>
      <c r="BI234" s="226">
        <v>0.48</v>
      </c>
      <c r="BJ234" s="226">
        <v>0.48</v>
      </c>
      <c r="BK234" s="226">
        <v>0.48</v>
      </c>
      <c r="BL234" s="226">
        <v>0.48</v>
      </c>
      <c r="BM234" s="226">
        <v>0</v>
      </c>
      <c r="BN234" s="226">
        <v>0</v>
      </c>
      <c r="BO234" s="226">
        <v>0</v>
      </c>
      <c r="BP234" s="226">
        <v>0</v>
      </c>
      <c r="BQ234" s="226">
        <v>0</v>
      </c>
      <c r="BR234" s="226">
        <v>0</v>
      </c>
      <c r="BS234" s="226">
        <v>0</v>
      </c>
      <c r="BT234" s="226">
        <v>0</v>
      </c>
      <c r="BU234" s="226">
        <v>0</v>
      </c>
      <c r="BV234" s="226">
        <v>0</v>
      </c>
      <c r="BW234" s="226">
        <v>0</v>
      </c>
      <c r="BX234" s="226">
        <v>0</v>
      </c>
      <c r="BY234" s="226">
        <v>0</v>
      </c>
      <c r="BZ234" s="226">
        <v>0</v>
      </c>
      <c r="CA234" s="226">
        <v>0</v>
      </c>
    </row>
    <row r="235" spans="1:79">
      <c r="A235" s="227">
        <v>70</v>
      </c>
      <c r="B235" s="226">
        <v>1</v>
      </c>
      <c r="C235" s="226">
        <v>1</v>
      </c>
      <c r="D235" s="226">
        <v>1</v>
      </c>
      <c r="E235" s="226">
        <v>1</v>
      </c>
      <c r="F235" s="226">
        <v>1</v>
      </c>
      <c r="G235" s="226">
        <v>1</v>
      </c>
      <c r="H235" s="226">
        <v>1</v>
      </c>
      <c r="I235" s="226">
        <v>1</v>
      </c>
      <c r="J235" s="226">
        <v>1</v>
      </c>
      <c r="K235" s="226">
        <v>1</v>
      </c>
      <c r="L235" s="226">
        <v>1</v>
      </c>
      <c r="M235" s="226">
        <v>1</v>
      </c>
      <c r="N235" s="226">
        <v>1</v>
      </c>
      <c r="O235" s="226">
        <v>1</v>
      </c>
      <c r="P235" s="226"/>
      <c r="Q235" s="226">
        <v>1</v>
      </c>
      <c r="R235" s="226">
        <v>1</v>
      </c>
      <c r="S235" s="226">
        <v>0.96</v>
      </c>
      <c r="T235" s="226">
        <v>0.96</v>
      </c>
      <c r="U235" s="226"/>
      <c r="V235" s="226">
        <v>0.96</v>
      </c>
      <c r="W235" s="226">
        <v>0.96</v>
      </c>
      <c r="X235" s="226">
        <v>0.96</v>
      </c>
      <c r="Y235" s="226">
        <v>0.91</v>
      </c>
      <c r="Z235" s="226">
        <v>0.91</v>
      </c>
      <c r="AA235" s="226">
        <v>0.91</v>
      </c>
      <c r="AB235" s="226">
        <v>0.91</v>
      </c>
      <c r="AC235" s="226">
        <v>0.91</v>
      </c>
      <c r="AD235" s="226">
        <v>0.85</v>
      </c>
      <c r="AE235" s="226">
        <v>0.85</v>
      </c>
      <c r="AF235" s="226">
        <v>0.85</v>
      </c>
      <c r="AG235" s="226">
        <v>0.85</v>
      </c>
      <c r="AH235" s="226">
        <v>0.85</v>
      </c>
      <c r="AI235" s="226">
        <v>0.79</v>
      </c>
      <c r="AJ235" s="226">
        <v>0.79</v>
      </c>
      <c r="AK235" s="226">
        <v>0.79</v>
      </c>
      <c r="AL235" s="226">
        <v>0.79</v>
      </c>
      <c r="AM235" s="226">
        <v>0.79</v>
      </c>
      <c r="AN235" s="226">
        <v>0.73</v>
      </c>
      <c r="AO235" s="226">
        <v>0.73</v>
      </c>
      <c r="AP235" s="226">
        <v>0.73</v>
      </c>
      <c r="AQ235" s="226">
        <v>0.73</v>
      </c>
      <c r="AR235" s="226">
        <v>0.73</v>
      </c>
      <c r="AS235" s="226">
        <v>0.67</v>
      </c>
      <c r="AT235" s="226">
        <v>0.67</v>
      </c>
      <c r="AU235" s="226">
        <v>0.67</v>
      </c>
      <c r="AV235" s="226">
        <v>0.67</v>
      </c>
      <c r="AW235" s="226">
        <v>0.67</v>
      </c>
      <c r="AX235" s="226">
        <v>0.61</v>
      </c>
      <c r="AY235" s="226">
        <v>0.61</v>
      </c>
      <c r="AZ235" s="226">
        <v>0.61</v>
      </c>
      <c r="BA235" s="226">
        <v>0.61</v>
      </c>
      <c r="BB235" s="226">
        <v>0.61</v>
      </c>
      <c r="BC235" s="226">
        <v>0.54</v>
      </c>
      <c r="BD235" s="226">
        <v>0.54</v>
      </c>
      <c r="BE235" s="226">
        <v>0.54</v>
      </c>
      <c r="BF235" s="226">
        <v>0.54</v>
      </c>
      <c r="BG235" s="226">
        <v>0.54</v>
      </c>
      <c r="BH235" s="226">
        <v>0.48</v>
      </c>
      <c r="BI235" s="226">
        <v>0.48</v>
      </c>
      <c r="BJ235" s="226">
        <v>0.48</v>
      </c>
      <c r="BK235" s="226">
        <v>0.48</v>
      </c>
      <c r="BL235" s="226">
        <v>0.48</v>
      </c>
      <c r="BM235" s="226">
        <v>0</v>
      </c>
      <c r="BN235" s="226">
        <v>0</v>
      </c>
      <c r="BO235" s="226">
        <v>0</v>
      </c>
      <c r="BP235" s="226">
        <v>0</v>
      </c>
      <c r="BQ235" s="226">
        <v>0</v>
      </c>
      <c r="BR235" s="226">
        <v>0</v>
      </c>
      <c r="BS235" s="226">
        <v>0</v>
      </c>
      <c r="BT235" s="226">
        <v>0</v>
      </c>
      <c r="BU235" s="226">
        <v>0</v>
      </c>
      <c r="BV235" s="226">
        <v>0</v>
      </c>
      <c r="BW235" s="226">
        <v>0</v>
      </c>
      <c r="BX235" s="226">
        <v>0</v>
      </c>
      <c r="BY235" s="226">
        <v>0</v>
      </c>
      <c r="BZ235" s="226">
        <v>0</v>
      </c>
      <c r="CA235" s="226">
        <v>0</v>
      </c>
    </row>
    <row r="236" spans="1:79">
      <c r="A236" s="227">
        <v>71</v>
      </c>
      <c r="B236" s="226">
        <v>1</v>
      </c>
      <c r="C236" s="226">
        <v>1</v>
      </c>
      <c r="D236" s="226">
        <v>1</v>
      </c>
      <c r="E236" s="226">
        <v>1</v>
      </c>
      <c r="F236" s="226">
        <v>1</v>
      </c>
      <c r="G236" s="226">
        <v>1</v>
      </c>
      <c r="H236" s="226">
        <v>1</v>
      </c>
      <c r="I236" s="226">
        <v>1</v>
      </c>
      <c r="J236" s="226">
        <v>1</v>
      </c>
      <c r="K236" s="226">
        <v>1</v>
      </c>
      <c r="L236" s="226">
        <v>1</v>
      </c>
      <c r="M236" s="226">
        <v>1</v>
      </c>
      <c r="N236" s="226">
        <v>1</v>
      </c>
      <c r="O236" s="226">
        <v>1</v>
      </c>
      <c r="P236" s="226"/>
      <c r="Q236" s="226">
        <v>1</v>
      </c>
      <c r="R236" s="226">
        <v>1</v>
      </c>
      <c r="S236" s="226">
        <v>0.95</v>
      </c>
      <c r="T236" s="226">
        <v>0.95</v>
      </c>
      <c r="U236" s="226"/>
      <c r="V236" s="226">
        <v>0.95</v>
      </c>
      <c r="W236" s="226">
        <v>0.95</v>
      </c>
      <c r="X236" s="226">
        <v>0.95</v>
      </c>
      <c r="Y236" s="226">
        <v>0.89</v>
      </c>
      <c r="Z236" s="226">
        <v>0.89</v>
      </c>
      <c r="AA236" s="226">
        <v>0.89</v>
      </c>
      <c r="AB236" s="226">
        <v>0.89</v>
      </c>
      <c r="AC236" s="226">
        <v>0.89</v>
      </c>
      <c r="AD236" s="226">
        <v>0.83</v>
      </c>
      <c r="AE236" s="226">
        <v>0.83</v>
      </c>
      <c r="AF236" s="226">
        <v>0.83</v>
      </c>
      <c r="AG236" s="226">
        <v>0.83</v>
      </c>
      <c r="AH236" s="226">
        <v>0.83</v>
      </c>
      <c r="AI236" s="226">
        <v>0.76</v>
      </c>
      <c r="AJ236" s="226">
        <v>0.76</v>
      </c>
      <c r="AK236" s="226">
        <v>0.76</v>
      </c>
      <c r="AL236" s="226">
        <v>0.76</v>
      </c>
      <c r="AM236" s="226">
        <v>0.76</v>
      </c>
      <c r="AN236" s="226">
        <v>0.69</v>
      </c>
      <c r="AO236" s="226">
        <v>0.69</v>
      </c>
      <c r="AP236" s="226">
        <v>0.69</v>
      </c>
      <c r="AQ236" s="226">
        <v>0.69</v>
      </c>
      <c r="AR236" s="226">
        <v>0.69</v>
      </c>
      <c r="AS236" s="226">
        <v>0.62</v>
      </c>
      <c r="AT236" s="226">
        <v>0.62</v>
      </c>
      <c r="AU236" s="226">
        <v>0.62</v>
      </c>
      <c r="AV236" s="226">
        <v>0.62</v>
      </c>
      <c r="AW236" s="226">
        <v>0.62</v>
      </c>
      <c r="AX236" s="226">
        <v>0.55000000000000004</v>
      </c>
      <c r="AY236" s="226">
        <v>0.55000000000000004</v>
      </c>
      <c r="AZ236" s="226">
        <v>0.55000000000000004</v>
      </c>
      <c r="BA236" s="226">
        <v>0.55000000000000004</v>
      </c>
      <c r="BB236" s="226">
        <v>0.55000000000000004</v>
      </c>
      <c r="BC236" s="226">
        <v>0.48</v>
      </c>
      <c r="BD236" s="226">
        <v>0.48</v>
      </c>
      <c r="BE236" s="226">
        <v>0.48</v>
      </c>
      <c r="BF236" s="226">
        <v>0.48</v>
      </c>
      <c r="BG236" s="226">
        <v>0.48</v>
      </c>
      <c r="BH236" s="226">
        <v>0.42</v>
      </c>
      <c r="BI236" s="226">
        <v>0.42</v>
      </c>
      <c r="BJ236" s="226">
        <v>0.42</v>
      </c>
      <c r="BK236" s="226">
        <v>0.42</v>
      </c>
      <c r="BL236" s="226">
        <v>0.42</v>
      </c>
      <c r="BM236" s="226">
        <v>0</v>
      </c>
      <c r="BN236" s="226">
        <v>0</v>
      </c>
      <c r="BO236" s="226">
        <v>0</v>
      </c>
      <c r="BP236" s="226">
        <v>0</v>
      </c>
      <c r="BQ236" s="226">
        <v>0</v>
      </c>
      <c r="BR236" s="226">
        <v>0</v>
      </c>
      <c r="BS236" s="226">
        <v>0</v>
      </c>
      <c r="BT236" s="226">
        <v>0</v>
      </c>
      <c r="BU236" s="226">
        <v>0</v>
      </c>
      <c r="BV236" s="226">
        <v>0</v>
      </c>
      <c r="BW236" s="226">
        <v>0</v>
      </c>
      <c r="BX236" s="226">
        <v>0</v>
      </c>
      <c r="BY236" s="226">
        <v>0</v>
      </c>
      <c r="BZ236" s="226">
        <v>0</v>
      </c>
      <c r="CA236" s="226">
        <v>0</v>
      </c>
    </row>
    <row r="237" spans="1:79">
      <c r="A237" s="227">
        <v>72</v>
      </c>
      <c r="B237" s="226">
        <v>1</v>
      </c>
      <c r="C237" s="226">
        <v>1</v>
      </c>
      <c r="D237" s="226">
        <v>1</v>
      </c>
      <c r="E237" s="226">
        <v>1</v>
      </c>
      <c r="F237" s="226">
        <v>1</v>
      </c>
      <c r="G237" s="226">
        <v>1</v>
      </c>
      <c r="H237" s="226">
        <v>1</v>
      </c>
      <c r="I237" s="226">
        <v>1</v>
      </c>
      <c r="J237" s="226">
        <v>1</v>
      </c>
      <c r="K237" s="226">
        <v>1</v>
      </c>
      <c r="L237" s="226">
        <v>1</v>
      </c>
      <c r="M237" s="226">
        <v>1</v>
      </c>
      <c r="N237" s="226">
        <v>1</v>
      </c>
      <c r="O237" s="226">
        <v>1</v>
      </c>
      <c r="P237" s="226"/>
      <c r="Q237" s="226">
        <v>1</v>
      </c>
      <c r="R237" s="226">
        <v>1</v>
      </c>
      <c r="S237" s="226">
        <v>0.95</v>
      </c>
      <c r="T237" s="226">
        <v>0.95</v>
      </c>
      <c r="U237" s="226"/>
      <c r="V237" s="226">
        <v>0.95</v>
      </c>
      <c r="W237" s="226">
        <v>0.95</v>
      </c>
      <c r="X237" s="226">
        <v>0.95</v>
      </c>
      <c r="Y237" s="226">
        <v>0.89</v>
      </c>
      <c r="Z237" s="226">
        <v>0.89</v>
      </c>
      <c r="AA237" s="226">
        <v>0.89</v>
      </c>
      <c r="AB237" s="226">
        <v>0.89</v>
      </c>
      <c r="AC237" s="226">
        <v>0.89</v>
      </c>
      <c r="AD237" s="226">
        <v>0.83</v>
      </c>
      <c r="AE237" s="226">
        <v>0.83</v>
      </c>
      <c r="AF237" s="226">
        <v>0.83</v>
      </c>
      <c r="AG237" s="226">
        <v>0.83</v>
      </c>
      <c r="AH237" s="226">
        <v>0.83</v>
      </c>
      <c r="AI237" s="226">
        <v>0.76</v>
      </c>
      <c r="AJ237" s="226">
        <v>0.76</v>
      </c>
      <c r="AK237" s="226">
        <v>0.76</v>
      </c>
      <c r="AL237" s="226">
        <v>0.76</v>
      </c>
      <c r="AM237" s="226">
        <v>0.76</v>
      </c>
      <c r="AN237" s="226">
        <v>0.69</v>
      </c>
      <c r="AO237" s="226">
        <v>0.69</v>
      </c>
      <c r="AP237" s="226">
        <v>0.69</v>
      </c>
      <c r="AQ237" s="226">
        <v>0.69</v>
      </c>
      <c r="AR237" s="226">
        <v>0.69</v>
      </c>
      <c r="AS237" s="226">
        <v>0.62</v>
      </c>
      <c r="AT237" s="226">
        <v>0.62</v>
      </c>
      <c r="AU237" s="226">
        <v>0.62</v>
      </c>
      <c r="AV237" s="226">
        <v>0.62</v>
      </c>
      <c r="AW237" s="226">
        <v>0.62</v>
      </c>
      <c r="AX237" s="226">
        <v>0.55000000000000004</v>
      </c>
      <c r="AY237" s="226">
        <v>0.55000000000000004</v>
      </c>
      <c r="AZ237" s="226">
        <v>0.55000000000000004</v>
      </c>
      <c r="BA237" s="226">
        <v>0.55000000000000004</v>
      </c>
      <c r="BB237" s="226">
        <v>0.55000000000000004</v>
      </c>
      <c r="BC237" s="226">
        <v>0.48</v>
      </c>
      <c r="BD237" s="226">
        <v>0.48</v>
      </c>
      <c r="BE237" s="226">
        <v>0.48</v>
      </c>
      <c r="BF237" s="226">
        <v>0.48</v>
      </c>
      <c r="BG237" s="226">
        <v>0.48</v>
      </c>
      <c r="BH237" s="226">
        <v>0.42</v>
      </c>
      <c r="BI237" s="226">
        <v>0.42</v>
      </c>
      <c r="BJ237" s="226">
        <v>0.42</v>
      </c>
      <c r="BK237" s="226">
        <v>0.42</v>
      </c>
      <c r="BL237" s="226">
        <v>0.42</v>
      </c>
      <c r="BM237" s="226">
        <v>0</v>
      </c>
      <c r="BN237" s="226">
        <v>0</v>
      </c>
      <c r="BO237" s="226">
        <v>0</v>
      </c>
      <c r="BP237" s="226">
        <v>0</v>
      </c>
      <c r="BQ237" s="226">
        <v>0</v>
      </c>
      <c r="BR237" s="226">
        <v>0</v>
      </c>
      <c r="BS237" s="226">
        <v>0</v>
      </c>
      <c r="BT237" s="226">
        <v>0</v>
      </c>
      <c r="BU237" s="226">
        <v>0</v>
      </c>
      <c r="BV237" s="226">
        <v>0</v>
      </c>
      <c r="BW237" s="226">
        <v>0</v>
      </c>
      <c r="BX237" s="226">
        <v>0</v>
      </c>
      <c r="BY237" s="226">
        <v>0</v>
      </c>
      <c r="BZ237" s="226">
        <v>0</v>
      </c>
      <c r="CA237" s="226">
        <v>0</v>
      </c>
    </row>
    <row r="238" spans="1:79">
      <c r="A238" s="227">
        <v>73</v>
      </c>
      <c r="B238" s="226">
        <v>1</v>
      </c>
      <c r="C238" s="226">
        <v>1</v>
      </c>
      <c r="D238" s="226">
        <v>1</v>
      </c>
      <c r="E238" s="226">
        <v>1</v>
      </c>
      <c r="F238" s="226">
        <v>1</v>
      </c>
      <c r="G238" s="226">
        <v>1</v>
      </c>
      <c r="H238" s="226">
        <v>1</v>
      </c>
      <c r="I238" s="226">
        <v>1</v>
      </c>
      <c r="J238" s="226">
        <v>1</v>
      </c>
      <c r="K238" s="226">
        <v>1</v>
      </c>
      <c r="L238" s="226">
        <v>1</v>
      </c>
      <c r="M238" s="226">
        <v>1</v>
      </c>
      <c r="N238" s="226">
        <v>1</v>
      </c>
      <c r="O238" s="226">
        <v>1</v>
      </c>
      <c r="P238" s="226"/>
      <c r="Q238" s="226">
        <v>1</v>
      </c>
      <c r="R238" s="226">
        <v>1</v>
      </c>
      <c r="S238" s="226">
        <v>0.95</v>
      </c>
      <c r="T238" s="226">
        <v>0.95</v>
      </c>
      <c r="U238" s="226"/>
      <c r="V238" s="226">
        <v>0.95</v>
      </c>
      <c r="W238" s="226">
        <v>0.95</v>
      </c>
      <c r="X238" s="226">
        <v>0.95</v>
      </c>
      <c r="Y238" s="226">
        <v>0.89</v>
      </c>
      <c r="Z238" s="226">
        <v>0.89</v>
      </c>
      <c r="AA238" s="226">
        <v>0.89</v>
      </c>
      <c r="AB238" s="226">
        <v>0.89</v>
      </c>
      <c r="AC238" s="226">
        <v>0.89</v>
      </c>
      <c r="AD238" s="226">
        <v>0.83</v>
      </c>
      <c r="AE238" s="226">
        <v>0.83</v>
      </c>
      <c r="AF238" s="226">
        <v>0.83</v>
      </c>
      <c r="AG238" s="226">
        <v>0.83</v>
      </c>
      <c r="AH238" s="226">
        <v>0.83</v>
      </c>
      <c r="AI238" s="226">
        <v>0.76</v>
      </c>
      <c r="AJ238" s="226">
        <v>0.76</v>
      </c>
      <c r="AK238" s="226">
        <v>0.76</v>
      </c>
      <c r="AL238" s="226">
        <v>0.76</v>
      </c>
      <c r="AM238" s="226">
        <v>0.76</v>
      </c>
      <c r="AN238" s="226">
        <v>0.69</v>
      </c>
      <c r="AO238" s="226">
        <v>0.69</v>
      </c>
      <c r="AP238" s="226">
        <v>0.69</v>
      </c>
      <c r="AQ238" s="226">
        <v>0.69</v>
      </c>
      <c r="AR238" s="226">
        <v>0.69</v>
      </c>
      <c r="AS238" s="226">
        <v>0.62</v>
      </c>
      <c r="AT238" s="226">
        <v>0.62</v>
      </c>
      <c r="AU238" s="226">
        <v>0.62</v>
      </c>
      <c r="AV238" s="226">
        <v>0.62</v>
      </c>
      <c r="AW238" s="226">
        <v>0.62</v>
      </c>
      <c r="AX238" s="226">
        <v>0.55000000000000004</v>
      </c>
      <c r="AY238" s="226">
        <v>0.55000000000000004</v>
      </c>
      <c r="AZ238" s="226">
        <v>0.55000000000000004</v>
      </c>
      <c r="BA238" s="226">
        <v>0.55000000000000004</v>
      </c>
      <c r="BB238" s="226">
        <v>0.55000000000000004</v>
      </c>
      <c r="BC238" s="226">
        <v>0.48</v>
      </c>
      <c r="BD238" s="226">
        <v>0.48</v>
      </c>
      <c r="BE238" s="226">
        <v>0.48</v>
      </c>
      <c r="BF238" s="226">
        <v>0.48</v>
      </c>
      <c r="BG238" s="226">
        <v>0.48</v>
      </c>
      <c r="BH238" s="226">
        <v>0.42</v>
      </c>
      <c r="BI238" s="226">
        <v>0.42</v>
      </c>
      <c r="BJ238" s="226">
        <v>0.42</v>
      </c>
      <c r="BK238" s="226">
        <v>0.42</v>
      </c>
      <c r="BL238" s="226">
        <v>0.42</v>
      </c>
      <c r="BM238" s="226">
        <v>0</v>
      </c>
      <c r="BN238" s="226">
        <v>0</v>
      </c>
      <c r="BO238" s="226">
        <v>0</v>
      </c>
      <c r="BP238" s="226">
        <v>0</v>
      </c>
      <c r="BQ238" s="226">
        <v>0</v>
      </c>
      <c r="BR238" s="226">
        <v>0</v>
      </c>
      <c r="BS238" s="226">
        <v>0</v>
      </c>
      <c r="BT238" s="226">
        <v>0</v>
      </c>
      <c r="BU238" s="226">
        <v>0</v>
      </c>
      <c r="BV238" s="226">
        <v>0</v>
      </c>
      <c r="BW238" s="226">
        <v>0</v>
      </c>
      <c r="BX238" s="226">
        <v>0</v>
      </c>
      <c r="BY238" s="226">
        <v>0</v>
      </c>
      <c r="BZ238" s="226">
        <v>0</v>
      </c>
      <c r="CA238" s="226">
        <v>0</v>
      </c>
    </row>
    <row r="239" spans="1:79">
      <c r="A239" s="227">
        <v>74</v>
      </c>
      <c r="B239" s="226">
        <v>1</v>
      </c>
      <c r="C239" s="226">
        <v>1</v>
      </c>
      <c r="D239" s="226">
        <v>1</v>
      </c>
      <c r="E239" s="226">
        <v>1</v>
      </c>
      <c r="F239" s="226">
        <v>1</v>
      </c>
      <c r="G239" s="226">
        <v>1</v>
      </c>
      <c r="H239" s="226">
        <v>1</v>
      </c>
      <c r="I239" s="226">
        <v>1</v>
      </c>
      <c r="J239" s="226">
        <v>1</v>
      </c>
      <c r="K239" s="226">
        <v>1</v>
      </c>
      <c r="L239" s="226">
        <v>1</v>
      </c>
      <c r="M239" s="226">
        <v>1</v>
      </c>
      <c r="N239" s="226">
        <v>1</v>
      </c>
      <c r="O239" s="226">
        <v>1</v>
      </c>
      <c r="P239" s="226"/>
      <c r="Q239" s="226">
        <v>1</v>
      </c>
      <c r="R239" s="226">
        <v>1</v>
      </c>
      <c r="S239" s="226">
        <v>0.95</v>
      </c>
      <c r="T239" s="226">
        <v>0.95</v>
      </c>
      <c r="U239" s="226"/>
      <c r="V239" s="226">
        <v>0.95</v>
      </c>
      <c r="W239" s="226">
        <v>0.95</v>
      </c>
      <c r="X239" s="226">
        <v>0.95</v>
      </c>
      <c r="Y239" s="226">
        <v>0.89</v>
      </c>
      <c r="Z239" s="226">
        <v>0.89</v>
      </c>
      <c r="AA239" s="226">
        <v>0.89</v>
      </c>
      <c r="AB239" s="226">
        <v>0.89</v>
      </c>
      <c r="AC239" s="226">
        <v>0.89</v>
      </c>
      <c r="AD239" s="226">
        <v>0.83</v>
      </c>
      <c r="AE239" s="226">
        <v>0.83</v>
      </c>
      <c r="AF239" s="226">
        <v>0.83</v>
      </c>
      <c r="AG239" s="226">
        <v>0.83</v>
      </c>
      <c r="AH239" s="226">
        <v>0.83</v>
      </c>
      <c r="AI239" s="226">
        <v>0.76</v>
      </c>
      <c r="AJ239" s="226">
        <v>0.76</v>
      </c>
      <c r="AK239" s="226">
        <v>0.76</v>
      </c>
      <c r="AL239" s="226">
        <v>0.76</v>
      </c>
      <c r="AM239" s="226">
        <v>0.76</v>
      </c>
      <c r="AN239" s="226">
        <v>0.69</v>
      </c>
      <c r="AO239" s="226">
        <v>0.69</v>
      </c>
      <c r="AP239" s="226">
        <v>0.69</v>
      </c>
      <c r="AQ239" s="226">
        <v>0.69</v>
      </c>
      <c r="AR239" s="226">
        <v>0.69</v>
      </c>
      <c r="AS239" s="226">
        <v>0.62</v>
      </c>
      <c r="AT239" s="226">
        <v>0.62</v>
      </c>
      <c r="AU239" s="226">
        <v>0.62</v>
      </c>
      <c r="AV239" s="226">
        <v>0.62</v>
      </c>
      <c r="AW239" s="226">
        <v>0.62</v>
      </c>
      <c r="AX239" s="226">
        <v>0.55000000000000004</v>
      </c>
      <c r="AY239" s="226">
        <v>0.55000000000000004</v>
      </c>
      <c r="AZ239" s="226">
        <v>0.55000000000000004</v>
      </c>
      <c r="BA239" s="226">
        <v>0.55000000000000004</v>
      </c>
      <c r="BB239" s="226">
        <v>0.55000000000000004</v>
      </c>
      <c r="BC239" s="226">
        <v>0.48</v>
      </c>
      <c r="BD239" s="226">
        <v>0.48</v>
      </c>
      <c r="BE239" s="226">
        <v>0.48</v>
      </c>
      <c r="BF239" s="226">
        <v>0.48</v>
      </c>
      <c r="BG239" s="226">
        <v>0.48</v>
      </c>
      <c r="BH239" s="226">
        <v>0.42</v>
      </c>
      <c r="BI239" s="226">
        <v>0.42</v>
      </c>
      <c r="BJ239" s="226">
        <v>0.42</v>
      </c>
      <c r="BK239" s="226">
        <v>0.42</v>
      </c>
      <c r="BL239" s="226">
        <v>0.42</v>
      </c>
      <c r="BM239" s="226">
        <v>0</v>
      </c>
      <c r="BN239" s="226">
        <v>0</v>
      </c>
      <c r="BO239" s="226">
        <v>0</v>
      </c>
      <c r="BP239" s="226">
        <v>0</v>
      </c>
      <c r="BQ239" s="226">
        <v>0</v>
      </c>
      <c r="BR239" s="226">
        <v>0</v>
      </c>
      <c r="BS239" s="226">
        <v>0</v>
      </c>
      <c r="BT239" s="226">
        <v>0</v>
      </c>
      <c r="BU239" s="226">
        <v>0</v>
      </c>
      <c r="BV239" s="226">
        <v>0</v>
      </c>
      <c r="BW239" s="226">
        <v>0</v>
      </c>
      <c r="BX239" s="226">
        <v>0</v>
      </c>
      <c r="BY239" s="226">
        <v>0</v>
      </c>
      <c r="BZ239" s="226">
        <v>0</v>
      </c>
      <c r="CA239" s="226">
        <v>0</v>
      </c>
    </row>
    <row r="240" spans="1:79">
      <c r="A240" s="227">
        <v>75</v>
      </c>
      <c r="B240" s="226">
        <v>1</v>
      </c>
      <c r="C240" s="226">
        <v>1</v>
      </c>
      <c r="D240" s="226">
        <v>1</v>
      </c>
      <c r="E240" s="226">
        <v>1</v>
      </c>
      <c r="F240" s="226">
        <v>1</v>
      </c>
      <c r="G240" s="226">
        <v>1</v>
      </c>
      <c r="H240" s="226">
        <v>1</v>
      </c>
      <c r="I240" s="226">
        <v>1</v>
      </c>
      <c r="J240" s="226">
        <v>1</v>
      </c>
      <c r="K240" s="226">
        <v>1</v>
      </c>
      <c r="L240" s="226">
        <v>1</v>
      </c>
      <c r="M240" s="226">
        <v>1</v>
      </c>
      <c r="N240" s="226">
        <v>1</v>
      </c>
      <c r="O240" s="226">
        <v>1</v>
      </c>
      <c r="P240" s="226"/>
      <c r="Q240" s="226">
        <v>1</v>
      </c>
      <c r="R240" s="226">
        <v>1</v>
      </c>
      <c r="S240" s="226">
        <v>0.95</v>
      </c>
      <c r="T240" s="226">
        <v>0.95</v>
      </c>
      <c r="U240" s="226"/>
      <c r="V240" s="226">
        <v>0.95</v>
      </c>
      <c r="W240" s="226">
        <v>0.95</v>
      </c>
      <c r="X240" s="226">
        <v>0.95</v>
      </c>
      <c r="Y240" s="226">
        <v>0.89</v>
      </c>
      <c r="Z240" s="226">
        <v>0.89</v>
      </c>
      <c r="AA240" s="226">
        <v>0.89</v>
      </c>
      <c r="AB240" s="226">
        <v>0.89</v>
      </c>
      <c r="AC240" s="226">
        <v>0.89</v>
      </c>
      <c r="AD240" s="226">
        <v>0.83</v>
      </c>
      <c r="AE240" s="226">
        <v>0.83</v>
      </c>
      <c r="AF240" s="226">
        <v>0.83</v>
      </c>
      <c r="AG240" s="226">
        <v>0.83</v>
      </c>
      <c r="AH240" s="226">
        <v>0.83</v>
      </c>
      <c r="AI240" s="226">
        <v>0.76</v>
      </c>
      <c r="AJ240" s="226">
        <v>0.76</v>
      </c>
      <c r="AK240" s="226">
        <v>0.76</v>
      </c>
      <c r="AL240" s="226">
        <v>0.76</v>
      </c>
      <c r="AM240" s="226">
        <v>0.76</v>
      </c>
      <c r="AN240" s="226">
        <v>0.69</v>
      </c>
      <c r="AO240" s="226">
        <v>0.69</v>
      </c>
      <c r="AP240" s="226">
        <v>0.69</v>
      </c>
      <c r="AQ240" s="226">
        <v>0.69</v>
      </c>
      <c r="AR240" s="226">
        <v>0.69</v>
      </c>
      <c r="AS240" s="226">
        <v>0.62</v>
      </c>
      <c r="AT240" s="226">
        <v>0.62</v>
      </c>
      <c r="AU240" s="226">
        <v>0.62</v>
      </c>
      <c r="AV240" s="226">
        <v>0.62</v>
      </c>
      <c r="AW240" s="226">
        <v>0.62</v>
      </c>
      <c r="AX240" s="226">
        <v>0.55000000000000004</v>
      </c>
      <c r="AY240" s="226">
        <v>0.55000000000000004</v>
      </c>
      <c r="AZ240" s="226">
        <v>0.55000000000000004</v>
      </c>
      <c r="BA240" s="226">
        <v>0.55000000000000004</v>
      </c>
      <c r="BB240" s="226">
        <v>0.55000000000000004</v>
      </c>
      <c r="BC240" s="226">
        <v>0.48</v>
      </c>
      <c r="BD240" s="226">
        <v>0.48</v>
      </c>
      <c r="BE240" s="226">
        <v>0.48</v>
      </c>
      <c r="BF240" s="226">
        <v>0.48</v>
      </c>
      <c r="BG240" s="226">
        <v>0.48</v>
      </c>
      <c r="BH240" s="226">
        <v>0.42</v>
      </c>
      <c r="BI240" s="226">
        <v>0.42</v>
      </c>
      <c r="BJ240" s="226">
        <v>0.42</v>
      </c>
      <c r="BK240" s="226">
        <v>0.42</v>
      </c>
      <c r="BL240" s="226">
        <v>0.42</v>
      </c>
      <c r="BM240" s="226">
        <v>0</v>
      </c>
      <c r="BN240" s="226">
        <v>0</v>
      </c>
      <c r="BO240" s="226">
        <v>0</v>
      </c>
      <c r="BP240" s="226">
        <v>0</v>
      </c>
      <c r="BQ240" s="226">
        <v>0</v>
      </c>
      <c r="BR240" s="226">
        <v>0</v>
      </c>
      <c r="BS240" s="226">
        <v>0</v>
      </c>
      <c r="BT240" s="226">
        <v>0</v>
      </c>
      <c r="BU240" s="226">
        <v>0</v>
      </c>
      <c r="BV240" s="226">
        <v>0</v>
      </c>
      <c r="BW240" s="226">
        <v>0</v>
      </c>
      <c r="BX240" s="226">
        <v>0</v>
      </c>
      <c r="BY240" s="226">
        <v>0</v>
      </c>
      <c r="BZ240" s="226">
        <v>0</v>
      </c>
      <c r="CA240" s="226">
        <v>0</v>
      </c>
    </row>
    <row r="241" spans="1:79">
      <c r="A241" s="227">
        <v>76</v>
      </c>
      <c r="B241" s="226">
        <v>1</v>
      </c>
      <c r="C241" s="226">
        <v>1</v>
      </c>
      <c r="D241" s="226">
        <v>1</v>
      </c>
      <c r="E241" s="226">
        <v>1</v>
      </c>
      <c r="F241" s="226">
        <v>1</v>
      </c>
      <c r="G241" s="226">
        <v>1</v>
      </c>
      <c r="H241" s="226">
        <v>1</v>
      </c>
      <c r="I241" s="226">
        <v>1</v>
      </c>
      <c r="J241" s="226">
        <v>1</v>
      </c>
      <c r="K241" s="226">
        <v>1</v>
      </c>
      <c r="L241" s="226">
        <v>1</v>
      </c>
      <c r="M241" s="226">
        <v>1</v>
      </c>
      <c r="N241" s="226">
        <v>1</v>
      </c>
      <c r="O241" s="226">
        <v>1</v>
      </c>
      <c r="P241" s="226"/>
      <c r="Q241" s="226">
        <v>1</v>
      </c>
      <c r="R241" s="226">
        <v>1</v>
      </c>
      <c r="S241" s="226">
        <v>0.95</v>
      </c>
      <c r="T241" s="226">
        <v>0.95</v>
      </c>
      <c r="U241" s="226"/>
      <c r="V241" s="226">
        <v>0.95</v>
      </c>
      <c r="W241" s="226">
        <v>0.95</v>
      </c>
      <c r="X241" s="226">
        <v>0.95</v>
      </c>
      <c r="Y241" s="226">
        <v>0.89</v>
      </c>
      <c r="Z241" s="226">
        <v>0.89</v>
      </c>
      <c r="AA241" s="226">
        <v>0.89</v>
      </c>
      <c r="AB241" s="226">
        <v>0.89</v>
      </c>
      <c r="AC241" s="226">
        <v>0.89</v>
      </c>
      <c r="AD241" s="226">
        <v>0.83</v>
      </c>
      <c r="AE241" s="226">
        <v>0.83</v>
      </c>
      <c r="AF241" s="226">
        <v>0.83</v>
      </c>
      <c r="AG241" s="226">
        <v>0.83</v>
      </c>
      <c r="AH241" s="226">
        <v>0.83</v>
      </c>
      <c r="AI241" s="226">
        <v>0.76</v>
      </c>
      <c r="AJ241" s="226">
        <v>0.76</v>
      </c>
      <c r="AK241" s="226">
        <v>0.76</v>
      </c>
      <c r="AL241" s="226">
        <v>0.76</v>
      </c>
      <c r="AM241" s="226">
        <v>0.76</v>
      </c>
      <c r="AN241" s="226">
        <v>0.69</v>
      </c>
      <c r="AO241" s="226">
        <v>0.69</v>
      </c>
      <c r="AP241" s="226">
        <v>0.69</v>
      </c>
      <c r="AQ241" s="226">
        <v>0.69</v>
      </c>
      <c r="AR241" s="226">
        <v>0.69</v>
      </c>
      <c r="AS241" s="226">
        <v>0.62</v>
      </c>
      <c r="AT241" s="226">
        <v>0.62</v>
      </c>
      <c r="AU241" s="226">
        <v>0.62</v>
      </c>
      <c r="AV241" s="226">
        <v>0.62</v>
      </c>
      <c r="AW241" s="226">
        <v>0.62</v>
      </c>
      <c r="AX241" s="226">
        <v>0.55000000000000004</v>
      </c>
      <c r="AY241" s="226">
        <v>0.55000000000000004</v>
      </c>
      <c r="AZ241" s="226">
        <v>0.55000000000000004</v>
      </c>
      <c r="BA241" s="226">
        <v>0.55000000000000004</v>
      </c>
      <c r="BB241" s="226">
        <v>0.55000000000000004</v>
      </c>
      <c r="BC241" s="226">
        <v>0.48</v>
      </c>
      <c r="BD241" s="226">
        <v>0.48</v>
      </c>
      <c r="BE241" s="226">
        <v>0.48</v>
      </c>
      <c r="BF241" s="226">
        <v>0.48</v>
      </c>
      <c r="BG241" s="226">
        <v>0.48</v>
      </c>
      <c r="BH241" s="226">
        <v>0.42</v>
      </c>
      <c r="BI241" s="226">
        <v>0.42</v>
      </c>
      <c r="BJ241" s="226">
        <v>0.42</v>
      </c>
      <c r="BK241" s="226">
        <v>0.42</v>
      </c>
      <c r="BL241" s="226">
        <v>0.42</v>
      </c>
      <c r="BM241" s="226">
        <v>0</v>
      </c>
      <c r="BN241" s="226">
        <v>0</v>
      </c>
      <c r="BO241" s="226">
        <v>0</v>
      </c>
      <c r="BP241" s="226">
        <v>0</v>
      </c>
      <c r="BQ241" s="226">
        <v>0</v>
      </c>
      <c r="BR241" s="226">
        <v>0</v>
      </c>
      <c r="BS241" s="226">
        <v>0</v>
      </c>
      <c r="BT241" s="226">
        <v>0</v>
      </c>
      <c r="BU241" s="226">
        <v>0</v>
      </c>
      <c r="BV241" s="226">
        <v>0</v>
      </c>
      <c r="BW241" s="226">
        <v>0</v>
      </c>
      <c r="BX241" s="226">
        <v>0</v>
      </c>
      <c r="BY241" s="226">
        <v>0</v>
      </c>
      <c r="BZ241" s="226">
        <v>0</v>
      </c>
      <c r="CA241" s="226">
        <v>0</v>
      </c>
    </row>
    <row r="242" spans="1:79">
      <c r="A242" s="227">
        <v>77</v>
      </c>
      <c r="B242" s="226">
        <v>1</v>
      </c>
      <c r="C242" s="226">
        <v>1</v>
      </c>
      <c r="D242" s="226">
        <v>1</v>
      </c>
      <c r="E242" s="226">
        <v>1</v>
      </c>
      <c r="F242" s="226">
        <v>1</v>
      </c>
      <c r="G242" s="226">
        <v>1</v>
      </c>
      <c r="H242" s="226">
        <v>1</v>
      </c>
      <c r="I242" s="226">
        <v>1</v>
      </c>
      <c r="J242" s="226">
        <v>1</v>
      </c>
      <c r="K242" s="226">
        <v>1</v>
      </c>
      <c r="L242" s="226">
        <v>1</v>
      </c>
      <c r="M242" s="226">
        <v>1</v>
      </c>
      <c r="N242" s="226">
        <v>1</v>
      </c>
      <c r="O242" s="226">
        <v>1</v>
      </c>
      <c r="P242" s="226"/>
      <c r="Q242" s="226">
        <v>1</v>
      </c>
      <c r="R242" s="226">
        <v>1</v>
      </c>
      <c r="S242" s="226">
        <v>0.95</v>
      </c>
      <c r="T242" s="226">
        <v>0.95</v>
      </c>
      <c r="U242" s="226"/>
      <c r="V242" s="226">
        <v>0.95</v>
      </c>
      <c r="W242" s="226">
        <v>0.95</v>
      </c>
      <c r="X242" s="226">
        <v>0.95</v>
      </c>
      <c r="Y242" s="226">
        <v>0.89</v>
      </c>
      <c r="Z242" s="226">
        <v>0.89</v>
      </c>
      <c r="AA242" s="226">
        <v>0.89</v>
      </c>
      <c r="AB242" s="226">
        <v>0.89</v>
      </c>
      <c r="AC242" s="226">
        <v>0.89</v>
      </c>
      <c r="AD242" s="226">
        <v>0.83</v>
      </c>
      <c r="AE242" s="226">
        <v>0.83</v>
      </c>
      <c r="AF242" s="226">
        <v>0.83</v>
      </c>
      <c r="AG242" s="226">
        <v>0.83</v>
      </c>
      <c r="AH242" s="226">
        <v>0.83</v>
      </c>
      <c r="AI242" s="226">
        <v>0.76</v>
      </c>
      <c r="AJ242" s="226">
        <v>0.76</v>
      </c>
      <c r="AK242" s="226">
        <v>0.76</v>
      </c>
      <c r="AL242" s="226">
        <v>0.76</v>
      </c>
      <c r="AM242" s="226">
        <v>0.76</v>
      </c>
      <c r="AN242" s="226">
        <v>0.69</v>
      </c>
      <c r="AO242" s="226">
        <v>0.69</v>
      </c>
      <c r="AP242" s="226">
        <v>0.69</v>
      </c>
      <c r="AQ242" s="226">
        <v>0.69</v>
      </c>
      <c r="AR242" s="226">
        <v>0.69</v>
      </c>
      <c r="AS242" s="226">
        <v>0.62</v>
      </c>
      <c r="AT242" s="226">
        <v>0.62</v>
      </c>
      <c r="AU242" s="226">
        <v>0.62</v>
      </c>
      <c r="AV242" s="226">
        <v>0.62</v>
      </c>
      <c r="AW242" s="226">
        <v>0.62</v>
      </c>
      <c r="AX242" s="226">
        <v>0.55000000000000004</v>
      </c>
      <c r="AY242" s="226">
        <v>0.55000000000000004</v>
      </c>
      <c r="AZ242" s="226">
        <v>0.55000000000000004</v>
      </c>
      <c r="BA242" s="226">
        <v>0.55000000000000004</v>
      </c>
      <c r="BB242" s="226">
        <v>0.55000000000000004</v>
      </c>
      <c r="BC242" s="226">
        <v>0.48</v>
      </c>
      <c r="BD242" s="226">
        <v>0.48</v>
      </c>
      <c r="BE242" s="226">
        <v>0.48</v>
      </c>
      <c r="BF242" s="226">
        <v>0.48</v>
      </c>
      <c r="BG242" s="226">
        <v>0.48</v>
      </c>
      <c r="BH242" s="226">
        <v>0.42</v>
      </c>
      <c r="BI242" s="226">
        <v>0.42</v>
      </c>
      <c r="BJ242" s="226">
        <v>0.42</v>
      </c>
      <c r="BK242" s="226">
        <v>0.42</v>
      </c>
      <c r="BL242" s="226">
        <v>0.42</v>
      </c>
      <c r="BM242" s="226">
        <v>0</v>
      </c>
      <c r="BN242" s="226">
        <v>0</v>
      </c>
      <c r="BO242" s="226">
        <v>0</v>
      </c>
      <c r="BP242" s="226">
        <v>0</v>
      </c>
      <c r="BQ242" s="226">
        <v>0</v>
      </c>
      <c r="BR242" s="226">
        <v>0</v>
      </c>
      <c r="BS242" s="226">
        <v>0</v>
      </c>
      <c r="BT242" s="226">
        <v>0</v>
      </c>
      <c r="BU242" s="226">
        <v>0</v>
      </c>
      <c r="BV242" s="226">
        <v>0</v>
      </c>
      <c r="BW242" s="226">
        <v>0</v>
      </c>
      <c r="BX242" s="226">
        <v>0</v>
      </c>
      <c r="BY242" s="226">
        <v>0</v>
      </c>
      <c r="BZ242" s="226">
        <v>0</v>
      </c>
      <c r="CA242" s="226">
        <v>0</v>
      </c>
    </row>
    <row r="243" spans="1:79">
      <c r="A243" s="227">
        <v>78</v>
      </c>
      <c r="B243" s="226">
        <v>1</v>
      </c>
      <c r="C243" s="226">
        <v>1</v>
      </c>
      <c r="D243" s="226">
        <v>1</v>
      </c>
      <c r="E243" s="226">
        <v>1</v>
      </c>
      <c r="F243" s="226">
        <v>1</v>
      </c>
      <c r="G243" s="226">
        <v>1</v>
      </c>
      <c r="H243" s="226">
        <v>1</v>
      </c>
      <c r="I243" s="226">
        <v>1</v>
      </c>
      <c r="J243" s="226">
        <v>1</v>
      </c>
      <c r="K243" s="226">
        <v>1</v>
      </c>
      <c r="L243" s="226">
        <v>1</v>
      </c>
      <c r="M243" s="226">
        <v>1</v>
      </c>
      <c r="N243" s="226">
        <v>1</v>
      </c>
      <c r="O243" s="226">
        <v>1</v>
      </c>
      <c r="P243" s="226"/>
      <c r="Q243" s="226">
        <v>1</v>
      </c>
      <c r="R243" s="226">
        <v>1</v>
      </c>
      <c r="S243" s="226">
        <v>0.95</v>
      </c>
      <c r="T243" s="226">
        <v>0.95</v>
      </c>
      <c r="U243" s="226"/>
      <c r="V243" s="226">
        <v>0.95</v>
      </c>
      <c r="W243" s="226">
        <v>0.95</v>
      </c>
      <c r="X243" s="226">
        <v>0.95</v>
      </c>
      <c r="Y243" s="226">
        <v>0.89</v>
      </c>
      <c r="Z243" s="226">
        <v>0.89</v>
      </c>
      <c r="AA243" s="226">
        <v>0.89</v>
      </c>
      <c r="AB243" s="226">
        <v>0.89</v>
      </c>
      <c r="AC243" s="226">
        <v>0.89</v>
      </c>
      <c r="AD243" s="226">
        <v>0.83</v>
      </c>
      <c r="AE243" s="226">
        <v>0.83</v>
      </c>
      <c r="AF243" s="226">
        <v>0.83</v>
      </c>
      <c r="AG243" s="226">
        <v>0.83</v>
      </c>
      <c r="AH243" s="226">
        <v>0.83</v>
      </c>
      <c r="AI243" s="226">
        <v>0.76</v>
      </c>
      <c r="AJ243" s="226">
        <v>0.76</v>
      </c>
      <c r="AK243" s="226">
        <v>0.76</v>
      </c>
      <c r="AL243" s="226">
        <v>0.76</v>
      </c>
      <c r="AM243" s="226">
        <v>0.76</v>
      </c>
      <c r="AN243" s="226">
        <v>0.69</v>
      </c>
      <c r="AO243" s="226">
        <v>0.69</v>
      </c>
      <c r="AP243" s="226">
        <v>0.69</v>
      </c>
      <c r="AQ243" s="226">
        <v>0.69</v>
      </c>
      <c r="AR243" s="226">
        <v>0.69</v>
      </c>
      <c r="AS243" s="226">
        <v>0.62</v>
      </c>
      <c r="AT243" s="226">
        <v>0.62</v>
      </c>
      <c r="AU243" s="226">
        <v>0.62</v>
      </c>
      <c r="AV243" s="226">
        <v>0.62</v>
      </c>
      <c r="AW243" s="226">
        <v>0.62</v>
      </c>
      <c r="AX243" s="226">
        <v>0.55000000000000004</v>
      </c>
      <c r="AY243" s="226">
        <v>0.55000000000000004</v>
      </c>
      <c r="AZ243" s="226">
        <v>0.55000000000000004</v>
      </c>
      <c r="BA243" s="226">
        <v>0.55000000000000004</v>
      </c>
      <c r="BB243" s="226">
        <v>0.55000000000000004</v>
      </c>
      <c r="BC243" s="226">
        <v>0.48</v>
      </c>
      <c r="BD243" s="226">
        <v>0.48</v>
      </c>
      <c r="BE243" s="226">
        <v>0.48</v>
      </c>
      <c r="BF243" s="226">
        <v>0.48</v>
      </c>
      <c r="BG243" s="226">
        <v>0.48</v>
      </c>
      <c r="BH243" s="226">
        <v>0.42</v>
      </c>
      <c r="BI243" s="226">
        <v>0.42</v>
      </c>
      <c r="BJ243" s="226">
        <v>0.42</v>
      </c>
      <c r="BK243" s="226">
        <v>0.42</v>
      </c>
      <c r="BL243" s="226">
        <v>0.42</v>
      </c>
      <c r="BM243" s="226">
        <v>0</v>
      </c>
      <c r="BN243" s="226">
        <v>0</v>
      </c>
      <c r="BO243" s="226">
        <v>0</v>
      </c>
      <c r="BP243" s="226">
        <v>0</v>
      </c>
      <c r="BQ243" s="226">
        <v>0</v>
      </c>
      <c r="BR243" s="226">
        <v>0</v>
      </c>
      <c r="BS243" s="226">
        <v>0</v>
      </c>
      <c r="BT243" s="226">
        <v>0</v>
      </c>
      <c r="BU243" s="226">
        <v>0</v>
      </c>
      <c r="BV243" s="226">
        <v>0</v>
      </c>
      <c r="BW243" s="226">
        <v>0</v>
      </c>
      <c r="BX243" s="226">
        <v>0</v>
      </c>
      <c r="BY243" s="226">
        <v>0</v>
      </c>
      <c r="BZ243" s="226">
        <v>0</v>
      </c>
      <c r="CA243" s="226">
        <v>0</v>
      </c>
    </row>
    <row r="244" spans="1:79">
      <c r="A244" s="227">
        <v>79</v>
      </c>
      <c r="B244" s="226">
        <v>1</v>
      </c>
      <c r="C244" s="226">
        <v>1</v>
      </c>
      <c r="D244" s="226">
        <v>1</v>
      </c>
      <c r="E244" s="226">
        <v>1</v>
      </c>
      <c r="F244" s="226">
        <v>1</v>
      </c>
      <c r="G244" s="226">
        <v>1</v>
      </c>
      <c r="H244" s="226">
        <v>1</v>
      </c>
      <c r="I244" s="226">
        <v>1</v>
      </c>
      <c r="J244" s="226">
        <v>1</v>
      </c>
      <c r="K244" s="226">
        <v>1</v>
      </c>
      <c r="L244" s="226">
        <v>1</v>
      </c>
      <c r="M244" s="226">
        <v>1</v>
      </c>
      <c r="N244" s="226">
        <v>1</v>
      </c>
      <c r="O244" s="226">
        <v>1</v>
      </c>
      <c r="P244" s="226"/>
      <c r="Q244" s="226">
        <v>1</v>
      </c>
      <c r="R244" s="226">
        <v>1</v>
      </c>
      <c r="S244" s="226">
        <v>0.95</v>
      </c>
      <c r="T244" s="226">
        <v>0.95</v>
      </c>
      <c r="U244" s="226"/>
      <c r="V244" s="226">
        <v>0.95</v>
      </c>
      <c r="W244" s="226">
        <v>0.95</v>
      </c>
      <c r="X244" s="226">
        <v>0.95</v>
      </c>
      <c r="Y244" s="226">
        <v>0.89</v>
      </c>
      <c r="Z244" s="226">
        <v>0.89</v>
      </c>
      <c r="AA244" s="226">
        <v>0.89</v>
      </c>
      <c r="AB244" s="226">
        <v>0.89</v>
      </c>
      <c r="AC244" s="226">
        <v>0.89</v>
      </c>
      <c r="AD244" s="226">
        <v>0.83</v>
      </c>
      <c r="AE244" s="226">
        <v>0.83</v>
      </c>
      <c r="AF244" s="226">
        <v>0.83</v>
      </c>
      <c r="AG244" s="226">
        <v>0.83</v>
      </c>
      <c r="AH244" s="226">
        <v>0.83</v>
      </c>
      <c r="AI244" s="226">
        <v>0.76</v>
      </c>
      <c r="AJ244" s="226">
        <v>0.76</v>
      </c>
      <c r="AK244" s="226">
        <v>0.76</v>
      </c>
      <c r="AL244" s="226">
        <v>0.76</v>
      </c>
      <c r="AM244" s="226">
        <v>0.76</v>
      </c>
      <c r="AN244" s="226">
        <v>0.69</v>
      </c>
      <c r="AO244" s="226">
        <v>0.69</v>
      </c>
      <c r="AP244" s="226">
        <v>0.69</v>
      </c>
      <c r="AQ244" s="226">
        <v>0.69</v>
      </c>
      <c r="AR244" s="226">
        <v>0.69</v>
      </c>
      <c r="AS244" s="226">
        <v>0.62</v>
      </c>
      <c r="AT244" s="226">
        <v>0.62</v>
      </c>
      <c r="AU244" s="226">
        <v>0.62</v>
      </c>
      <c r="AV244" s="226">
        <v>0.62</v>
      </c>
      <c r="AW244" s="226">
        <v>0.62</v>
      </c>
      <c r="AX244" s="226">
        <v>0.55000000000000004</v>
      </c>
      <c r="AY244" s="226">
        <v>0.55000000000000004</v>
      </c>
      <c r="AZ244" s="226">
        <v>0.55000000000000004</v>
      </c>
      <c r="BA244" s="226">
        <v>0.55000000000000004</v>
      </c>
      <c r="BB244" s="226">
        <v>0.55000000000000004</v>
      </c>
      <c r="BC244" s="226">
        <v>0.48</v>
      </c>
      <c r="BD244" s="226">
        <v>0.48</v>
      </c>
      <c r="BE244" s="226">
        <v>0.48</v>
      </c>
      <c r="BF244" s="226">
        <v>0.48</v>
      </c>
      <c r="BG244" s="226">
        <v>0.48</v>
      </c>
      <c r="BH244" s="226">
        <v>0.42</v>
      </c>
      <c r="BI244" s="226">
        <v>0.42</v>
      </c>
      <c r="BJ244" s="226">
        <v>0.42</v>
      </c>
      <c r="BK244" s="226">
        <v>0.42</v>
      </c>
      <c r="BL244" s="226">
        <v>0.42</v>
      </c>
      <c r="BM244" s="226">
        <v>0</v>
      </c>
      <c r="BN244" s="226">
        <v>0</v>
      </c>
      <c r="BO244" s="226">
        <v>0</v>
      </c>
      <c r="BP244" s="226">
        <v>0</v>
      </c>
      <c r="BQ244" s="226">
        <v>0</v>
      </c>
      <c r="BR244" s="226">
        <v>0</v>
      </c>
      <c r="BS244" s="226">
        <v>0</v>
      </c>
      <c r="BT244" s="226">
        <v>0</v>
      </c>
      <c r="BU244" s="226">
        <v>0</v>
      </c>
      <c r="BV244" s="226">
        <v>0</v>
      </c>
      <c r="BW244" s="226">
        <v>0</v>
      </c>
      <c r="BX244" s="226">
        <v>0</v>
      </c>
      <c r="BY244" s="226">
        <v>0</v>
      </c>
      <c r="BZ244" s="226">
        <v>0</v>
      </c>
      <c r="CA244" s="226">
        <v>0</v>
      </c>
    </row>
    <row r="245" spans="1:79">
      <c r="A245" s="225">
        <v>80</v>
      </c>
      <c r="B245" s="224">
        <v>1</v>
      </c>
      <c r="C245" s="224">
        <v>1</v>
      </c>
      <c r="D245" s="224">
        <v>1</v>
      </c>
      <c r="E245" s="224">
        <v>1</v>
      </c>
      <c r="F245" s="224">
        <v>1</v>
      </c>
      <c r="G245" s="224">
        <v>1</v>
      </c>
      <c r="H245" s="224">
        <v>1</v>
      </c>
      <c r="I245" s="224">
        <v>1</v>
      </c>
      <c r="J245" s="224">
        <v>1</v>
      </c>
      <c r="K245" s="224">
        <v>1</v>
      </c>
      <c r="L245" s="224">
        <v>1</v>
      </c>
      <c r="M245" s="224">
        <v>1</v>
      </c>
      <c r="N245" s="224">
        <v>1</v>
      </c>
      <c r="O245" s="224">
        <v>1</v>
      </c>
      <c r="P245" s="224"/>
      <c r="Q245" s="224">
        <v>1</v>
      </c>
      <c r="R245" s="224">
        <v>1</v>
      </c>
      <c r="S245" s="224">
        <v>0.95</v>
      </c>
      <c r="T245" s="224">
        <v>0.95</v>
      </c>
      <c r="U245" s="224"/>
      <c r="V245" s="224">
        <v>0.95</v>
      </c>
      <c r="W245" s="224">
        <v>0.95</v>
      </c>
      <c r="X245" s="224">
        <v>0.95</v>
      </c>
      <c r="Y245" s="224">
        <v>0.89</v>
      </c>
      <c r="Z245" s="224">
        <v>0.89</v>
      </c>
      <c r="AA245" s="224">
        <v>0.89</v>
      </c>
      <c r="AB245" s="224">
        <v>0.89</v>
      </c>
      <c r="AC245" s="224">
        <v>0.89</v>
      </c>
      <c r="AD245" s="224">
        <v>0.83</v>
      </c>
      <c r="AE245" s="224">
        <v>0.83</v>
      </c>
      <c r="AF245" s="224">
        <v>0.83</v>
      </c>
      <c r="AG245" s="224">
        <v>0.83</v>
      </c>
      <c r="AH245" s="224">
        <v>0.83</v>
      </c>
      <c r="AI245" s="224">
        <v>0.76</v>
      </c>
      <c r="AJ245" s="224">
        <v>0.76</v>
      </c>
      <c r="AK245" s="224">
        <v>0.76</v>
      </c>
      <c r="AL245" s="224">
        <v>0.76</v>
      </c>
      <c r="AM245" s="224">
        <v>0.76</v>
      </c>
      <c r="AN245" s="224">
        <v>0.69</v>
      </c>
      <c r="AO245" s="224">
        <v>0.69</v>
      </c>
      <c r="AP245" s="224">
        <v>0.69</v>
      </c>
      <c r="AQ245" s="224">
        <v>0.69</v>
      </c>
      <c r="AR245" s="224">
        <v>0.69</v>
      </c>
      <c r="AS245" s="224">
        <v>0.62</v>
      </c>
      <c r="AT245" s="224">
        <v>0.62</v>
      </c>
      <c r="AU245" s="224">
        <v>0.62</v>
      </c>
      <c r="AV245" s="224">
        <v>0.62</v>
      </c>
      <c r="AW245" s="224">
        <v>0.62</v>
      </c>
      <c r="AX245" s="224">
        <v>0.55000000000000004</v>
      </c>
      <c r="AY245" s="224">
        <v>0.55000000000000004</v>
      </c>
      <c r="AZ245" s="224">
        <v>0.55000000000000004</v>
      </c>
      <c r="BA245" s="224">
        <v>0.55000000000000004</v>
      </c>
      <c r="BB245" s="224">
        <v>0.55000000000000004</v>
      </c>
      <c r="BC245" s="224">
        <v>0.48</v>
      </c>
      <c r="BD245" s="224">
        <v>0.48</v>
      </c>
      <c r="BE245" s="224">
        <v>0.48</v>
      </c>
      <c r="BF245" s="224">
        <v>0.48</v>
      </c>
      <c r="BG245" s="224">
        <v>0.48</v>
      </c>
      <c r="BH245" s="224">
        <v>0.42</v>
      </c>
      <c r="BI245" s="224">
        <v>0.42</v>
      </c>
      <c r="BJ245" s="224">
        <v>0.42</v>
      </c>
      <c r="BK245" s="224">
        <v>0.42</v>
      </c>
      <c r="BL245" s="224">
        <v>0.42</v>
      </c>
      <c r="BM245" s="224">
        <v>0</v>
      </c>
      <c r="BN245" s="224">
        <v>0</v>
      </c>
      <c r="BO245" s="224">
        <v>0</v>
      </c>
      <c r="BP245" s="224">
        <v>0</v>
      </c>
      <c r="BQ245" s="224">
        <v>0</v>
      </c>
      <c r="BR245" s="224">
        <v>0</v>
      </c>
      <c r="BS245" s="224">
        <v>0</v>
      </c>
      <c r="BT245" s="224">
        <v>0</v>
      </c>
      <c r="BU245" s="224">
        <v>0</v>
      </c>
      <c r="BV245" s="224">
        <v>0</v>
      </c>
      <c r="BW245" s="224">
        <v>0</v>
      </c>
      <c r="BX245" s="224">
        <v>0</v>
      </c>
      <c r="BY245" s="224">
        <v>0</v>
      </c>
      <c r="BZ245" s="224">
        <v>0</v>
      </c>
      <c r="CA245" s="224">
        <v>0</v>
      </c>
    </row>
    <row r="248" spans="1:79" ht="13.8" thickBot="1">
      <c r="A248" s="221" t="s">
        <v>142</v>
      </c>
      <c r="B248" s="220" t="s">
        <v>250</v>
      </c>
      <c r="C248" s="219" t="s">
        <v>143</v>
      </c>
      <c r="D248" s="219" t="s">
        <v>144</v>
      </c>
      <c r="E248" s="219"/>
      <c r="F248" s="219"/>
    </row>
    <row r="249" spans="1:79">
      <c r="A249" s="201" t="s">
        <v>549</v>
      </c>
      <c r="B249" s="223">
        <v>8</v>
      </c>
      <c r="C249" s="201" t="s">
        <v>208</v>
      </c>
      <c r="D249" s="201" t="s">
        <v>170</v>
      </c>
      <c r="E249" s="201" t="s">
        <v>550</v>
      </c>
      <c r="F249" s="201"/>
    </row>
    <row r="250" spans="1:79">
      <c r="A250" s="201" t="s">
        <v>551</v>
      </c>
      <c r="B250" s="223">
        <v>15</v>
      </c>
      <c r="C250" s="201" t="s">
        <v>208</v>
      </c>
      <c r="D250" s="201" t="s">
        <v>170</v>
      </c>
      <c r="E250" s="201" t="s">
        <v>550</v>
      </c>
      <c r="F250" s="201"/>
    </row>
    <row r="251" spans="1:79">
      <c r="A251" s="201" t="s">
        <v>552</v>
      </c>
      <c r="B251" s="223">
        <v>18</v>
      </c>
      <c r="C251" s="201" t="s">
        <v>208</v>
      </c>
      <c r="D251" s="201" t="s">
        <v>170</v>
      </c>
      <c r="E251" s="201" t="s">
        <v>550</v>
      </c>
      <c r="F251" s="201"/>
    </row>
    <row r="252" spans="1:79">
      <c r="A252" s="201" t="s">
        <v>553</v>
      </c>
      <c r="B252" s="223">
        <v>19</v>
      </c>
      <c r="C252" s="201" t="s">
        <v>208</v>
      </c>
      <c r="D252" s="201" t="s">
        <v>170</v>
      </c>
      <c r="E252" s="201" t="s">
        <v>550</v>
      </c>
      <c r="F252" s="201"/>
    </row>
    <row r="253" spans="1:79">
      <c r="A253" s="201" t="s">
        <v>554</v>
      </c>
      <c r="B253" s="223">
        <v>13</v>
      </c>
      <c r="C253" s="201" t="s">
        <v>208</v>
      </c>
      <c r="D253" s="201" t="s">
        <v>170</v>
      </c>
      <c r="E253" s="201" t="s">
        <v>550</v>
      </c>
      <c r="F253" s="201"/>
    </row>
    <row r="254" spans="1:79">
      <c r="A254" s="201" t="s">
        <v>555</v>
      </c>
      <c r="B254" s="223">
        <v>16</v>
      </c>
      <c r="C254" s="201" t="s">
        <v>208</v>
      </c>
      <c r="D254" s="201" t="s">
        <v>170</v>
      </c>
      <c r="E254" s="201" t="s">
        <v>550</v>
      </c>
      <c r="F254" s="201"/>
    </row>
    <row r="255" spans="1:79">
      <c r="A255" s="201" t="s">
        <v>556</v>
      </c>
      <c r="B255" s="223">
        <v>9</v>
      </c>
      <c r="C255" s="201" t="s">
        <v>208</v>
      </c>
      <c r="D255" s="201" t="s">
        <v>170</v>
      </c>
      <c r="E255" s="201" t="s">
        <v>550</v>
      </c>
      <c r="F255" s="201"/>
    </row>
    <row r="256" spans="1:79">
      <c r="A256" s="201" t="s">
        <v>557</v>
      </c>
      <c r="B256" s="223">
        <v>13</v>
      </c>
      <c r="C256" s="201" t="s">
        <v>208</v>
      </c>
      <c r="D256" s="201" t="s">
        <v>170</v>
      </c>
      <c r="E256" s="201" t="s">
        <v>550</v>
      </c>
      <c r="F256" s="201"/>
    </row>
    <row r="257" spans="1:6">
      <c r="A257" s="201" t="s">
        <v>558</v>
      </c>
      <c r="B257" s="223">
        <v>6.8</v>
      </c>
      <c r="C257" s="201" t="s">
        <v>208</v>
      </c>
      <c r="D257" s="201" t="s">
        <v>170</v>
      </c>
      <c r="E257" s="201" t="s">
        <v>550</v>
      </c>
      <c r="F257" s="201"/>
    </row>
    <row r="258" spans="1:6">
      <c r="A258" s="201" t="s">
        <v>560</v>
      </c>
      <c r="B258" s="223">
        <v>14</v>
      </c>
      <c r="C258" s="201" t="s">
        <v>208</v>
      </c>
      <c r="D258" s="201" t="s">
        <v>170</v>
      </c>
      <c r="E258" s="201" t="s">
        <v>550</v>
      </c>
      <c r="F258" s="201"/>
    </row>
    <row r="259" spans="1:6">
      <c r="A259" s="201" t="s">
        <v>559</v>
      </c>
      <c r="B259" s="223">
        <v>12</v>
      </c>
      <c r="C259" s="201" t="s">
        <v>208</v>
      </c>
      <c r="D259" s="201" t="s">
        <v>170</v>
      </c>
      <c r="E259" s="201" t="s">
        <v>550</v>
      </c>
      <c r="F259" s="201"/>
    </row>
    <row r="260" spans="1:6">
      <c r="A260" s="201" t="s">
        <v>561</v>
      </c>
      <c r="B260" s="223">
        <v>10</v>
      </c>
      <c r="C260" s="201" t="s">
        <v>208</v>
      </c>
      <c r="D260" s="201" t="s">
        <v>170</v>
      </c>
      <c r="E260" s="201" t="s">
        <v>550</v>
      </c>
      <c r="F260" s="201"/>
    </row>
    <row r="261" spans="1:6">
      <c r="A261" s="201" t="s">
        <v>562</v>
      </c>
      <c r="B261" s="223">
        <v>6</v>
      </c>
      <c r="C261" s="201" t="s">
        <v>208</v>
      </c>
      <c r="D261" s="201" t="s">
        <v>170</v>
      </c>
      <c r="E261" s="201" t="s">
        <v>550</v>
      </c>
      <c r="F261" s="201"/>
    </row>
    <row r="262" spans="1:6">
      <c r="A262" s="201" t="s">
        <v>563</v>
      </c>
      <c r="B262" s="223">
        <v>9</v>
      </c>
      <c r="C262" s="201" t="s">
        <v>208</v>
      </c>
      <c r="D262" s="201" t="s">
        <v>170</v>
      </c>
      <c r="E262" s="201" t="s">
        <v>550</v>
      </c>
      <c r="F262" s="201"/>
    </row>
    <row r="263" spans="1:6">
      <c r="A263" s="201" t="s">
        <v>564</v>
      </c>
      <c r="B263" s="223">
        <v>10</v>
      </c>
      <c r="C263" s="201" t="s">
        <v>208</v>
      </c>
      <c r="D263" s="201" t="s">
        <v>170</v>
      </c>
      <c r="E263" s="201" t="s">
        <v>550</v>
      </c>
      <c r="F263" s="201"/>
    </row>
    <row r="264" spans="1:6">
      <c r="A264" s="201" t="s">
        <v>565</v>
      </c>
      <c r="B264" s="223">
        <v>11</v>
      </c>
      <c r="C264" s="201" t="s">
        <v>208</v>
      </c>
      <c r="D264" s="201" t="s">
        <v>170</v>
      </c>
      <c r="E264" s="201" t="s">
        <v>550</v>
      </c>
      <c r="F264" s="201"/>
    </row>
    <row r="265" spans="1:6">
      <c r="B265" s="223"/>
      <c r="E265" s="201"/>
      <c r="F265" s="201"/>
    </row>
    <row r="266" spans="1:6">
      <c r="A266" s="201" t="s">
        <v>177</v>
      </c>
      <c r="B266" s="222">
        <v>13.2</v>
      </c>
      <c r="C266" s="201" t="s">
        <v>146</v>
      </c>
      <c r="D266" s="201" t="s">
        <v>170</v>
      </c>
      <c r="E266" s="201" t="s">
        <v>550</v>
      </c>
      <c r="F266" s="201"/>
    </row>
    <row r="267" spans="1:6">
      <c r="A267" s="201" t="s">
        <v>178</v>
      </c>
      <c r="B267" s="222">
        <v>9.9</v>
      </c>
      <c r="C267" s="201" t="s">
        <v>146</v>
      </c>
      <c r="D267" s="201" t="s">
        <v>170</v>
      </c>
      <c r="E267" s="201" t="s">
        <v>550</v>
      </c>
      <c r="F267" s="201"/>
    </row>
    <row r="268" spans="1:6">
      <c r="A268" s="201" t="s">
        <v>179</v>
      </c>
      <c r="B268" s="222">
        <v>13.3</v>
      </c>
      <c r="C268" s="201" t="s">
        <v>146</v>
      </c>
      <c r="D268" s="201" t="s">
        <v>170</v>
      </c>
      <c r="E268" s="201" t="s">
        <v>550</v>
      </c>
      <c r="F268" s="201"/>
    </row>
    <row r="269" spans="1:6">
      <c r="E269" s="201"/>
      <c r="F269" s="201"/>
    </row>
    <row r="270" spans="1:6" ht="13.8" thickBot="1">
      <c r="A270" s="221" t="s">
        <v>142</v>
      </c>
      <c r="B270" s="220" t="s">
        <v>249</v>
      </c>
      <c r="C270" s="219" t="s">
        <v>143</v>
      </c>
      <c r="D270" s="219" t="s">
        <v>144</v>
      </c>
      <c r="E270" s="219"/>
      <c r="F270" s="219"/>
    </row>
    <row r="271" spans="1:6">
      <c r="A271" s="208"/>
      <c r="B271" s="207"/>
      <c r="E271" s="201"/>
      <c r="F271" s="201"/>
    </row>
    <row r="272" spans="1:6">
      <c r="A272" s="208" t="s">
        <v>301</v>
      </c>
      <c r="B272" s="207">
        <v>16.399999999999999</v>
      </c>
      <c r="C272" s="201" t="s">
        <v>208</v>
      </c>
      <c r="D272" s="201" t="s">
        <v>147</v>
      </c>
      <c r="E272" s="201" t="s">
        <v>212</v>
      </c>
      <c r="F272" s="201"/>
    </row>
    <row r="273" spans="1:6">
      <c r="A273" s="208" t="s">
        <v>302</v>
      </c>
      <c r="B273" s="207">
        <v>21.3</v>
      </c>
      <c r="C273" s="201" t="s">
        <v>208</v>
      </c>
      <c r="D273" s="201" t="s">
        <v>147</v>
      </c>
      <c r="E273" s="201" t="s">
        <v>212</v>
      </c>
      <c r="F273" s="201"/>
    </row>
    <row r="274" spans="1:6">
      <c r="A274" s="208" t="s">
        <v>303</v>
      </c>
      <c r="B274" s="207">
        <v>30.2</v>
      </c>
      <c r="C274" s="201" t="s">
        <v>208</v>
      </c>
      <c r="D274" s="201" t="s">
        <v>147</v>
      </c>
      <c r="E274" s="201" t="s">
        <v>212</v>
      </c>
      <c r="F274" s="201"/>
    </row>
    <row r="275" spans="1:6">
      <c r="A275" s="208" t="s">
        <v>304</v>
      </c>
      <c r="B275" s="207">
        <v>15.8</v>
      </c>
      <c r="C275" s="201" t="s">
        <v>208</v>
      </c>
      <c r="D275" s="201" t="s">
        <v>147</v>
      </c>
      <c r="E275" s="201" t="s">
        <v>212</v>
      </c>
      <c r="F275" s="201"/>
    </row>
    <row r="276" spans="1:6">
      <c r="A276" s="208" t="s">
        <v>305</v>
      </c>
      <c r="B276" s="207">
        <v>26</v>
      </c>
      <c r="C276" s="201" t="s">
        <v>208</v>
      </c>
      <c r="D276" s="201" t="s">
        <v>147</v>
      </c>
      <c r="E276" s="201" t="s">
        <v>212</v>
      </c>
      <c r="F276" s="201"/>
    </row>
    <row r="277" spans="1:6">
      <c r="A277" s="208" t="s">
        <v>306</v>
      </c>
      <c r="B277" s="207">
        <v>19.7</v>
      </c>
      <c r="C277" s="201" t="s">
        <v>208</v>
      </c>
      <c r="D277" s="201" t="s">
        <v>147</v>
      </c>
      <c r="E277" s="201"/>
      <c r="F277" s="201"/>
    </row>
    <row r="278" spans="1:6">
      <c r="A278" s="208" t="s">
        <v>307</v>
      </c>
      <c r="B278" s="207">
        <v>31.4</v>
      </c>
      <c r="C278" s="201" t="s">
        <v>208</v>
      </c>
      <c r="D278" s="201" t="s">
        <v>147</v>
      </c>
      <c r="E278" s="201"/>
      <c r="F278" s="201"/>
    </row>
    <row r="279" spans="1:6">
      <c r="A279" s="208" t="s">
        <v>308</v>
      </c>
      <c r="B279" s="207">
        <v>13</v>
      </c>
      <c r="C279" s="201" t="s">
        <v>208</v>
      </c>
      <c r="D279" s="201" t="s">
        <v>147</v>
      </c>
      <c r="E279" s="201" t="s">
        <v>316</v>
      </c>
      <c r="F279" s="201"/>
    </row>
    <row r="280" spans="1:6">
      <c r="A280" s="208" t="s">
        <v>309</v>
      </c>
      <c r="B280" s="207">
        <v>13.4</v>
      </c>
      <c r="C280" s="201" t="s">
        <v>208</v>
      </c>
      <c r="D280" s="201" t="s">
        <v>147</v>
      </c>
      <c r="E280" s="201" t="s">
        <v>320</v>
      </c>
      <c r="F280" s="201"/>
    </row>
    <row r="281" spans="1:6">
      <c r="A281" s="208" t="s">
        <v>310</v>
      </c>
      <c r="B281" s="207">
        <v>16.100000000000001</v>
      </c>
      <c r="C281" s="201" t="s">
        <v>208</v>
      </c>
      <c r="D281" s="201" t="s">
        <v>147</v>
      </c>
      <c r="E281" s="201" t="s">
        <v>320</v>
      </c>
      <c r="F281" s="201"/>
    </row>
    <row r="282" spans="1:6">
      <c r="A282" s="208" t="s">
        <v>311</v>
      </c>
      <c r="B282" s="207">
        <v>19</v>
      </c>
      <c r="C282" s="201" t="s">
        <v>208</v>
      </c>
      <c r="D282" s="201" t="s">
        <v>147</v>
      </c>
      <c r="E282" s="201" t="s">
        <v>320</v>
      </c>
      <c r="F282" s="201"/>
    </row>
    <row r="283" spans="1:6">
      <c r="A283" s="208" t="s">
        <v>312</v>
      </c>
      <c r="B283" s="207">
        <v>23.2</v>
      </c>
      <c r="C283" s="201" t="s">
        <v>208</v>
      </c>
      <c r="D283" s="201" t="s">
        <v>147</v>
      </c>
      <c r="E283" s="201" t="s">
        <v>320</v>
      </c>
      <c r="F283" s="201"/>
    </row>
    <row r="284" spans="1:6">
      <c r="A284" s="208" t="s">
        <v>313</v>
      </c>
      <c r="B284" s="207">
        <v>24.2</v>
      </c>
      <c r="C284" s="201" t="s">
        <v>208</v>
      </c>
      <c r="D284" s="201" t="s">
        <v>147</v>
      </c>
      <c r="E284" s="201" t="s">
        <v>320</v>
      </c>
      <c r="F284" s="201"/>
    </row>
    <row r="285" spans="1:6">
      <c r="A285" s="208" t="s">
        <v>314</v>
      </c>
      <c r="B285" s="207">
        <v>19</v>
      </c>
      <c r="C285" s="201" t="s">
        <v>208</v>
      </c>
      <c r="D285" s="201" t="s">
        <v>147</v>
      </c>
      <c r="E285" s="201"/>
      <c r="F285" s="201"/>
    </row>
    <row r="286" spans="1:6">
      <c r="A286" s="208" t="s">
        <v>315</v>
      </c>
      <c r="B286" s="207">
        <v>20</v>
      </c>
      <c r="C286" s="201" t="s">
        <v>208</v>
      </c>
      <c r="D286" s="201" t="s">
        <v>147</v>
      </c>
      <c r="E286" s="201" t="s">
        <v>320</v>
      </c>
      <c r="F286" s="201"/>
    </row>
    <row r="287" spans="1:6">
      <c r="A287" s="208" t="s">
        <v>317</v>
      </c>
      <c r="B287" s="207">
        <v>14.9</v>
      </c>
      <c r="C287" s="201" t="s">
        <v>208</v>
      </c>
      <c r="D287" s="201" t="s">
        <v>147</v>
      </c>
      <c r="E287" s="201" t="s">
        <v>320</v>
      </c>
      <c r="F287" s="201"/>
    </row>
    <row r="288" spans="1:6">
      <c r="A288" s="208" t="s">
        <v>318</v>
      </c>
      <c r="B288" s="207">
        <v>20</v>
      </c>
      <c r="C288" s="201" t="s">
        <v>208</v>
      </c>
      <c r="D288" s="201" t="s">
        <v>147</v>
      </c>
      <c r="E288" s="201" t="s">
        <v>320</v>
      </c>
      <c r="F288" s="201"/>
    </row>
    <row r="289" spans="1:6">
      <c r="A289" s="208" t="s">
        <v>319</v>
      </c>
      <c r="B289" s="207">
        <v>28.7</v>
      </c>
      <c r="C289" s="201" t="s">
        <v>208</v>
      </c>
      <c r="D289" s="201" t="s">
        <v>147</v>
      </c>
      <c r="E289" s="201"/>
      <c r="F289" s="201"/>
    </row>
    <row r="290" spans="1:6">
      <c r="A290" s="208" t="s">
        <v>321</v>
      </c>
      <c r="B290" s="207">
        <v>15</v>
      </c>
      <c r="C290" s="201" t="s">
        <v>208</v>
      </c>
      <c r="D290" s="201" t="s">
        <v>214</v>
      </c>
      <c r="E290" s="201"/>
      <c r="F290" s="201"/>
    </row>
    <row r="291" spans="1:6">
      <c r="A291" s="208" t="s">
        <v>322</v>
      </c>
      <c r="B291" s="207">
        <v>21</v>
      </c>
      <c r="C291" s="201" t="s">
        <v>208</v>
      </c>
      <c r="D291" s="201" t="s">
        <v>214</v>
      </c>
      <c r="E291" s="201"/>
      <c r="F291" s="201"/>
    </row>
    <row r="292" spans="1:6">
      <c r="A292" s="208" t="s">
        <v>323</v>
      </c>
      <c r="B292" s="207">
        <v>26</v>
      </c>
      <c r="C292" s="201" t="s">
        <v>208</v>
      </c>
      <c r="D292" s="201" t="s">
        <v>214</v>
      </c>
      <c r="E292" s="201"/>
      <c r="F292" s="201"/>
    </row>
    <row r="293" spans="1:6">
      <c r="A293" s="208" t="s">
        <v>324</v>
      </c>
      <c r="B293" s="207">
        <v>14.2</v>
      </c>
      <c r="C293" s="201" t="s">
        <v>208</v>
      </c>
      <c r="D293" s="201" t="s">
        <v>156</v>
      </c>
      <c r="E293" s="201"/>
      <c r="F293" s="201"/>
    </row>
    <row r="294" spans="1:6">
      <c r="A294" s="208" t="s">
        <v>325</v>
      </c>
      <c r="B294" s="207">
        <v>19.7</v>
      </c>
      <c r="C294" s="201" t="s">
        <v>208</v>
      </c>
      <c r="D294" s="201" t="s">
        <v>156</v>
      </c>
      <c r="E294" s="201"/>
      <c r="F294" s="201"/>
    </row>
    <row r="295" spans="1:6">
      <c r="A295" s="208" t="s">
        <v>326</v>
      </c>
      <c r="B295" s="207">
        <v>26.3</v>
      </c>
      <c r="C295" s="201" t="s">
        <v>208</v>
      </c>
      <c r="D295" s="201" t="s">
        <v>156</v>
      </c>
      <c r="E295" s="201"/>
      <c r="F295" s="201"/>
    </row>
    <row r="296" spans="1:6">
      <c r="A296" s="208" t="s">
        <v>327</v>
      </c>
      <c r="B296" s="207">
        <v>29.1</v>
      </c>
      <c r="C296" s="201" t="s">
        <v>208</v>
      </c>
      <c r="D296" s="201" t="s">
        <v>156</v>
      </c>
      <c r="E296" s="201"/>
      <c r="F296" s="201"/>
    </row>
    <row r="297" spans="1:6">
      <c r="A297" s="208" t="s">
        <v>328</v>
      </c>
      <c r="B297" s="207">
        <v>13.8</v>
      </c>
      <c r="C297" s="201" t="s">
        <v>208</v>
      </c>
      <c r="D297" s="201" t="s">
        <v>156</v>
      </c>
      <c r="E297" s="201"/>
      <c r="F297" s="201"/>
    </row>
    <row r="298" spans="1:6">
      <c r="A298" s="208" t="s">
        <v>329</v>
      </c>
      <c r="B298" s="207">
        <v>19.899999999999999</v>
      </c>
      <c r="C298" s="201" t="s">
        <v>208</v>
      </c>
      <c r="D298" s="201" t="s">
        <v>156</v>
      </c>
      <c r="E298" s="201"/>
      <c r="F298" s="201"/>
    </row>
    <row r="299" spans="1:6">
      <c r="A299" s="208" t="s">
        <v>330</v>
      </c>
      <c r="B299" s="207">
        <v>25.9</v>
      </c>
      <c r="C299" s="201" t="s">
        <v>208</v>
      </c>
      <c r="D299" s="201" t="s">
        <v>156</v>
      </c>
      <c r="E299" s="201"/>
      <c r="F299" s="201"/>
    </row>
    <row r="300" spans="1:6">
      <c r="A300" s="208" t="s">
        <v>331</v>
      </c>
      <c r="B300" s="207">
        <v>29.5</v>
      </c>
      <c r="C300" s="201" t="s">
        <v>208</v>
      </c>
      <c r="D300" s="201" t="s">
        <v>156</v>
      </c>
      <c r="E300" s="201"/>
      <c r="F300" s="201"/>
    </row>
    <row r="301" spans="1:6">
      <c r="A301" s="208" t="s">
        <v>332</v>
      </c>
      <c r="B301" s="207">
        <v>14.1</v>
      </c>
      <c r="C301" s="201" t="s">
        <v>208</v>
      </c>
      <c r="D301" s="201" t="s">
        <v>156</v>
      </c>
      <c r="E301" s="201"/>
      <c r="F301" s="201"/>
    </row>
    <row r="302" spans="1:6">
      <c r="A302" s="208" t="s">
        <v>333</v>
      </c>
      <c r="B302" s="207">
        <v>19.8</v>
      </c>
      <c r="C302" s="201" t="s">
        <v>208</v>
      </c>
      <c r="D302" s="201" t="s">
        <v>156</v>
      </c>
      <c r="E302" s="201"/>
      <c r="F302" s="201"/>
    </row>
    <row r="303" spans="1:6">
      <c r="A303" s="208" t="s">
        <v>334</v>
      </c>
      <c r="B303" s="207">
        <v>25.5</v>
      </c>
      <c r="C303" s="201" t="s">
        <v>208</v>
      </c>
      <c r="D303" s="201" t="s">
        <v>156</v>
      </c>
      <c r="E303" s="201"/>
      <c r="F303" s="201"/>
    </row>
    <row r="304" spans="1:6">
      <c r="A304" s="208" t="s">
        <v>335</v>
      </c>
      <c r="B304" s="207">
        <v>29.4</v>
      </c>
      <c r="C304" s="201" t="s">
        <v>208</v>
      </c>
      <c r="D304" s="201" t="s">
        <v>156</v>
      </c>
      <c r="E304" s="201"/>
      <c r="F304" s="201"/>
    </row>
    <row r="305" spans="1:6">
      <c r="A305" s="208" t="s">
        <v>336</v>
      </c>
      <c r="B305" s="207">
        <v>12.9</v>
      </c>
      <c r="C305" s="201" t="s">
        <v>208</v>
      </c>
      <c r="D305" s="201" t="s">
        <v>156</v>
      </c>
      <c r="E305" s="201"/>
      <c r="F305" s="201"/>
    </row>
    <row r="306" spans="1:6">
      <c r="A306" s="208" t="s">
        <v>337</v>
      </c>
      <c r="B306" s="207">
        <v>20</v>
      </c>
      <c r="C306" s="201" t="s">
        <v>208</v>
      </c>
      <c r="D306" s="201" t="s">
        <v>156</v>
      </c>
      <c r="E306" s="201"/>
      <c r="F306" s="201"/>
    </row>
    <row r="307" spans="1:6">
      <c r="A307" s="208" t="s">
        <v>338</v>
      </c>
      <c r="B307" s="207">
        <v>25.5</v>
      </c>
      <c r="C307" s="201" t="s">
        <v>208</v>
      </c>
      <c r="D307" s="201" t="s">
        <v>156</v>
      </c>
      <c r="E307" s="201"/>
      <c r="F307" s="201"/>
    </row>
    <row r="308" spans="1:6">
      <c r="A308" s="208" t="s">
        <v>339</v>
      </c>
      <c r="B308" s="207">
        <v>28.9</v>
      </c>
      <c r="C308" s="201" t="s">
        <v>208</v>
      </c>
      <c r="D308" s="201" t="s">
        <v>156</v>
      </c>
      <c r="E308" s="201"/>
      <c r="F308" s="201"/>
    </row>
    <row r="309" spans="1:6">
      <c r="A309" s="208" t="s">
        <v>340</v>
      </c>
      <c r="B309" s="207">
        <v>11.1</v>
      </c>
      <c r="C309" s="201" t="s">
        <v>208</v>
      </c>
      <c r="D309" s="201" t="s">
        <v>156</v>
      </c>
      <c r="E309" s="201" t="s">
        <v>344</v>
      </c>
      <c r="F309" s="201"/>
    </row>
    <row r="310" spans="1:6">
      <c r="A310" s="208" t="s">
        <v>341</v>
      </c>
      <c r="B310" s="207">
        <v>17.899999999999999</v>
      </c>
      <c r="C310" s="201" t="s">
        <v>208</v>
      </c>
      <c r="D310" s="201" t="s">
        <v>156</v>
      </c>
      <c r="E310" s="201" t="s">
        <v>344</v>
      </c>
      <c r="F310" s="201"/>
    </row>
    <row r="311" spans="1:6">
      <c r="A311" s="208" t="s">
        <v>342</v>
      </c>
      <c r="B311" s="207">
        <v>23.5</v>
      </c>
      <c r="C311" s="201" t="s">
        <v>208</v>
      </c>
      <c r="D311" s="201" t="s">
        <v>156</v>
      </c>
      <c r="E311" s="201" t="s">
        <v>344</v>
      </c>
      <c r="F311" s="201"/>
    </row>
    <row r="312" spans="1:6">
      <c r="A312" s="208" t="s">
        <v>343</v>
      </c>
      <c r="B312" s="207">
        <v>27.9</v>
      </c>
      <c r="C312" s="201" t="s">
        <v>208</v>
      </c>
      <c r="D312" s="201" t="s">
        <v>156</v>
      </c>
      <c r="E312" s="201" t="s">
        <v>344</v>
      </c>
      <c r="F312" s="201"/>
    </row>
    <row r="313" spans="1:6">
      <c r="A313" s="208" t="s">
        <v>345</v>
      </c>
      <c r="B313" s="207">
        <v>14.1</v>
      </c>
      <c r="C313" s="201" t="s">
        <v>208</v>
      </c>
      <c r="D313" s="201" t="s">
        <v>156</v>
      </c>
      <c r="E313" s="201"/>
      <c r="F313" s="201"/>
    </row>
    <row r="314" spans="1:6">
      <c r="A314" s="208" t="s">
        <v>346</v>
      </c>
      <c r="B314" s="207">
        <v>18.2</v>
      </c>
      <c r="C314" s="201" t="s">
        <v>208</v>
      </c>
      <c r="D314" s="201" t="s">
        <v>156</v>
      </c>
      <c r="E314" s="201"/>
      <c r="F314" s="201"/>
    </row>
    <row r="315" spans="1:6">
      <c r="A315" s="208" t="s">
        <v>347</v>
      </c>
      <c r="B315" s="207">
        <v>24</v>
      </c>
      <c r="C315" s="201" t="s">
        <v>208</v>
      </c>
      <c r="D315" s="201" t="s">
        <v>156</v>
      </c>
      <c r="E315" s="201"/>
      <c r="F315" s="201"/>
    </row>
    <row r="316" spans="1:6">
      <c r="A316" s="208" t="s">
        <v>348</v>
      </c>
      <c r="B316" s="207">
        <v>27</v>
      </c>
      <c r="C316" s="201" t="s">
        <v>208</v>
      </c>
      <c r="D316" s="201" t="s">
        <v>156</v>
      </c>
      <c r="E316" s="201"/>
      <c r="F316" s="201"/>
    </row>
    <row r="317" spans="1:6">
      <c r="A317" s="208" t="s">
        <v>349</v>
      </c>
      <c r="B317" s="207">
        <v>14.5</v>
      </c>
      <c r="C317" s="201" t="s">
        <v>208</v>
      </c>
      <c r="D317" s="201" t="s">
        <v>156</v>
      </c>
      <c r="E317" s="201"/>
      <c r="F317" s="201"/>
    </row>
    <row r="318" spans="1:6">
      <c r="A318" s="208" t="s">
        <v>350</v>
      </c>
      <c r="B318" s="207">
        <v>19.600000000000001</v>
      </c>
      <c r="C318" s="201" t="s">
        <v>208</v>
      </c>
      <c r="D318" s="201" t="s">
        <v>156</v>
      </c>
      <c r="E318" s="201"/>
      <c r="F318" s="201"/>
    </row>
    <row r="319" spans="1:6">
      <c r="A319" s="208" t="s">
        <v>351</v>
      </c>
      <c r="B319" s="207">
        <v>24.8</v>
      </c>
      <c r="C319" s="201" t="s">
        <v>208</v>
      </c>
      <c r="D319" s="201" t="s">
        <v>156</v>
      </c>
      <c r="E319" s="201"/>
      <c r="F319" s="201"/>
    </row>
    <row r="320" spans="1:6">
      <c r="A320" s="208" t="s">
        <v>352</v>
      </c>
      <c r="B320" s="207">
        <v>27.3</v>
      </c>
      <c r="C320" s="201" t="s">
        <v>208</v>
      </c>
      <c r="D320" s="201" t="s">
        <v>156</v>
      </c>
      <c r="E320" s="201"/>
      <c r="F320" s="201"/>
    </row>
    <row r="321" spans="1:6">
      <c r="A321" s="208" t="s">
        <v>353</v>
      </c>
      <c r="B321" s="207">
        <v>13.8</v>
      </c>
      <c r="C321" s="201" t="s">
        <v>208</v>
      </c>
      <c r="D321" s="201" t="s">
        <v>156</v>
      </c>
      <c r="E321" s="201"/>
      <c r="F321" s="201"/>
    </row>
    <row r="322" spans="1:6">
      <c r="A322" s="208" t="s">
        <v>354</v>
      </c>
      <c r="B322" s="207">
        <v>18.7</v>
      </c>
      <c r="C322" s="201" t="s">
        <v>208</v>
      </c>
      <c r="D322" s="201" t="s">
        <v>156</v>
      </c>
      <c r="E322" s="201"/>
      <c r="F322" s="201"/>
    </row>
    <row r="323" spans="1:6">
      <c r="A323" s="208" t="s">
        <v>355</v>
      </c>
      <c r="B323" s="207">
        <v>26.2</v>
      </c>
      <c r="C323" s="201" t="s">
        <v>208</v>
      </c>
      <c r="D323" s="201" t="s">
        <v>156</v>
      </c>
      <c r="E323" s="201"/>
      <c r="F323" s="201"/>
    </row>
    <row r="324" spans="1:6">
      <c r="A324" s="208" t="s">
        <v>356</v>
      </c>
      <c r="B324" s="207">
        <v>30.1</v>
      </c>
      <c r="C324" s="201" t="s">
        <v>208</v>
      </c>
      <c r="D324" s="201" t="s">
        <v>156</v>
      </c>
      <c r="E324" s="201"/>
      <c r="F324" s="201"/>
    </row>
    <row r="325" spans="1:6">
      <c r="A325" s="208" t="s">
        <v>357</v>
      </c>
      <c r="B325" s="207">
        <v>15</v>
      </c>
      <c r="C325" s="201" t="s">
        <v>208</v>
      </c>
      <c r="D325" s="201" t="s">
        <v>156</v>
      </c>
      <c r="E325" s="201"/>
      <c r="F325" s="201"/>
    </row>
    <row r="326" spans="1:6">
      <c r="A326" s="208" t="s">
        <v>358</v>
      </c>
      <c r="B326" s="207">
        <v>18.399999999999999</v>
      </c>
      <c r="C326" s="201" t="s">
        <v>208</v>
      </c>
      <c r="D326" s="201" t="s">
        <v>156</v>
      </c>
      <c r="E326" s="201"/>
      <c r="F326" s="201"/>
    </row>
    <row r="327" spans="1:6">
      <c r="A327" s="208" t="s">
        <v>359</v>
      </c>
      <c r="B327" s="207">
        <v>23.2</v>
      </c>
      <c r="C327" s="201" t="s">
        <v>208</v>
      </c>
      <c r="D327" s="201" t="s">
        <v>156</v>
      </c>
      <c r="E327" s="201"/>
      <c r="F327" s="201"/>
    </row>
    <row r="328" spans="1:6">
      <c r="A328" s="208" t="s">
        <v>360</v>
      </c>
      <c r="B328" s="207">
        <v>29.6</v>
      </c>
      <c r="C328" s="201" t="s">
        <v>208</v>
      </c>
      <c r="D328" s="201" t="s">
        <v>156</v>
      </c>
      <c r="E328" s="201"/>
      <c r="F328" s="201"/>
    </row>
    <row r="329" spans="1:6">
      <c r="A329" s="208" t="s">
        <v>364</v>
      </c>
      <c r="B329" s="207">
        <v>12.6</v>
      </c>
      <c r="C329" s="201" t="s">
        <v>208</v>
      </c>
      <c r="D329" s="201" t="s">
        <v>156</v>
      </c>
      <c r="E329" s="201"/>
      <c r="F329" s="201"/>
    </row>
    <row r="330" spans="1:6">
      <c r="A330" s="208" t="s">
        <v>361</v>
      </c>
      <c r="B330" s="207">
        <v>18.7</v>
      </c>
      <c r="C330" s="201" t="s">
        <v>208</v>
      </c>
      <c r="D330" s="201" t="s">
        <v>156</v>
      </c>
      <c r="E330" s="201"/>
      <c r="F330" s="201"/>
    </row>
    <row r="331" spans="1:6">
      <c r="A331" s="208" t="s">
        <v>362</v>
      </c>
      <c r="B331" s="207">
        <v>23</v>
      </c>
      <c r="C331" s="201" t="s">
        <v>208</v>
      </c>
      <c r="D331" s="201" t="s">
        <v>156</v>
      </c>
      <c r="E331" s="201"/>
      <c r="F331" s="201"/>
    </row>
    <row r="332" spans="1:6">
      <c r="A332" s="208" t="s">
        <v>363</v>
      </c>
      <c r="B332" s="207">
        <v>26.7</v>
      </c>
      <c r="C332" s="201" t="s">
        <v>208</v>
      </c>
      <c r="D332" s="201" t="s">
        <v>156</v>
      </c>
      <c r="E332" s="201"/>
      <c r="F332" s="201"/>
    </row>
    <row r="333" spans="1:6">
      <c r="A333" s="208" t="s">
        <v>365</v>
      </c>
      <c r="B333" s="207">
        <v>9.9</v>
      </c>
      <c r="C333" s="201" t="s">
        <v>208</v>
      </c>
      <c r="D333" s="201" t="s">
        <v>156</v>
      </c>
      <c r="E333" s="201"/>
      <c r="F333" s="201"/>
    </row>
    <row r="334" spans="1:6">
      <c r="A334" s="208" t="s">
        <v>366</v>
      </c>
      <c r="B334" s="207">
        <v>12.7</v>
      </c>
      <c r="C334" s="201" t="s">
        <v>208</v>
      </c>
      <c r="D334" s="201" t="s">
        <v>156</v>
      </c>
      <c r="E334" s="201"/>
      <c r="F334" s="201"/>
    </row>
    <row r="335" spans="1:6">
      <c r="A335" s="208" t="s">
        <v>367</v>
      </c>
      <c r="B335" s="207">
        <v>14.9</v>
      </c>
      <c r="C335" s="201" t="s">
        <v>208</v>
      </c>
      <c r="D335" s="201" t="s">
        <v>156</v>
      </c>
      <c r="E335" s="201"/>
      <c r="F335" s="201"/>
    </row>
    <row r="336" spans="1:6">
      <c r="A336" s="208" t="s">
        <v>368</v>
      </c>
      <c r="B336" s="207">
        <v>9.8000000000000007</v>
      </c>
      <c r="C336" s="201" t="s">
        <v>208</v>
      </c>
      <c r="D336" s="201" t="s">
        <v>156</v>
      </c>
      <c r="E336" s="201"/>
      <c r="F336" s="201"/>
    </row>
    <row r="337" spans="1:6">
      <c r="A337" s="208" t="s">
        <v>369</v>
      </c>
      <c r="B337" s="207">
        <v>12.7</v>
      </c>
      <c r="C337" s="201" t="s">
        <v>208</v>
      </c>
      <c r="D337" s="201" t="s">
        <v>156</v>
      </c>
      <c r="E337" s="201"/>
      <c r="F337" s="201"/>
    </row>
    <row r="338" spans="1:6">
      <c r="A338" s="208" t="s">
        <v>370</v>
      </c>
      <c r="B338" s="207">
        <v>14.8</v>
      </c>
      <c r="C338" s="201" t="s">
        <v>208</v>
      </c>
      <c r="D338" s="201" t="s">
        <v>156</v>
      </c>
      <c r="E338" s="201"/>
      <c r="F338" s="201"/>
    </row>
    <row r="339" spans="1:6">
      <c r="A339" s="208" t="s">
        <v>371</v>
      </c>
      <c r="B339" s="207">
        <v>16.2</v>
      </c>
      <c r="C339" s="201" t="s">
        <v>208</v>
      </c>
      <c r="D339" s="201" t="s">
        <v>156</v>
      </c>
      <c r="E339" s="201"/>
      <c r="F339" s="201"/>
    </row>
    <row r="340" spans="1:6">
      <c r="A340" s="208" t="s">
        <v>372</v>
      </c>
      <c r="B340" s="207">
        <v>9.6</v>
      </c>
      <c r="C340" s="201" t="s">
        <v>208</v>
      </c>
      <c r="D340" s="201" t="s">
        <v>156</v>
      </c>
      <c r="E340" s="201"/>
      <c r="F340" s="201"/>
    </row>
    <row r="341" spans="1:6">
      <c r="A341" s="208" t="s">
        <v>373</v>
      </c>
      <c r="B341" s="207">
        <v>12.1</v>
      </c>
      <c r="C341" s="201" t="s">
        <v>208</v>
      </c>
      <c r="D341" s="201" t="s">
        <v>156</v>
      </c>
      <c r="E341" s="201"/>
      <c r="F341" s="201"/>
    </row>
    <row r="342" spans="1:6">
      <c r="A342" s="208" t="s">
        <v>374</v>
      </c>
      <c r="B342" s="207">
        <v>14.7</v>
      </c>
      <c r="C342" s="201" t="s">
        <v>208</v>
      </c>
      <c r="D342" s="201" t="s">
        <v>156</v>
      </c>
      <c r="E342" s="201"/>
      <c r="F342" s="201"/>
    </row>
    <row r="343" spans="1:6">
      <c r="A343" s="208" t="s">
        <v>375</v>
      </c>
      <c r="B343" s="207">
        <v>16.2</v>
      </c>
      <c r="C343" s="201" t="s">
        <v>208</v>
      </c>
      <c r="D343" s="201" t="s">
        <v>156</v>
      </c>
      <c r="E343" s="201"/>
      <c r="F343" s="201"/>
    </row>
    <row r="344" spans="1:6">
      <c r="A344" s="208" t="s">
        <v>376</v>
      </c>
      <c r="B344" s="207">
        <v>8.9</v>
      </c>
      <c r="C344" s="201" t="s">
        <v>208</v>
      </c>
      <c r="D344" s="201" t="s">
        <v>156</v>
      </c>
      <c r="E344" s="201"/>
      <c r="F344" s="201"/>
    </row>
    <row r="345" spans="1:6">
      <c r="A345" s="208" t="s">
        <v>377</v>
      </c>
      <c r="B345" s="207">
        <v>12.3</v>
      </c>
      <c r="C345" s="201" t="s">
        <v>208</v>
      </c>
      <c r="D345" s="201" t="s">
        <v>156</v>
      </c>
      <c r="E345" s="201"/>
      <c r="F345" s="201"/>
    </row>
    <row r="346" spans="1:6">
      <c r="A346" s="208" t="s">
        <v>378</v>
      </c>
      <c r="B346" s="207">
        <v>14.8</v>
      </c>
      <c r="C346" s="201" t="s">
        <v>208</v>
      </c>
      <c r="D346" s="201" t="s">
        <v>156</v>
      </c>
      <c r="E346" s="201"/>
      <c r="F346" s="201"/>
    </row>
    <row r="347" spans="1:6">
      <c r="A347" s="208" t="s">
        <v>379</v>
      </c>
      <c r="B347" s="207">
        <v>15.5</v>
      </c>
      <c r="C347" s="201" t="s">
        <v>208</v>
      </c>
      <c r="D347" s="201" t="s">
        <v>156</v>
      </c>
      <c r="E347" s="201"/>
      <c r="F347" s="201"/>
    </row>
    <row r="348" spans="1:6">
      <c r="A348" s="208" t="s">
        <v>380</v>
      </c>
      <c r="B348" s="207">
        <v>10.6</v>
      </c>
      <c r="C348" s="201" t="s">
        <v>208</v>
      </c>
      <c r="D348" s="201" t="s">
        <v>156</v>
      </c>
      <c r="E348" s="201" t="s">
        <v>406</v>
      </c>
      <c r="F348" s="201"/>
    </row>
    <row r="349" spans="1:6">
      <c r="A349" s="208" t="s">
        <v>381</v>
      </c>
      <c r="B349" s="207">
        <v>13.4</v>
      </c>
      <c r="C349" s="201" t="s">
        <v>208</v>
      </c>
      <c r="D349" s="201" t="s">
        <v>156</v>
      </c>
      <c r="E349" s="201" t="s">
        <v>406</v>
      </c>
      <c r="F349" s="201"/>
    </row>
    <row r="350" spans="1:6">
      <c r="A350" s="208" t="s">
        <v>382</v>
      </c>
      <c r="B350" s="207">
        <v>14.5</v>
      </c>
      <c r="C350" s="201" t="s">
        <v>208</v>
      </c>
      <c r="D350" s="201" t="s">
        <v>156</v>
      </c>
      <c r="E350" s="201" t="s">
        <v>406</v>
      </c>
      <c r="F350" s="201"/>
    </row>
    <row r="351" spans="1:6">
      <c r="A351" s="208" t="s">
        <v>391</v>
      </c>
      <c r="B351" s="207">
        <v>10.5</v>
      </c>
      <c r="C351" s="201" t="s">
        <v>208</v>
      </c>
      <c r="D351" s="201" t="s">
        <v>156</v>
      </c>
      <c r="E351" s="201" t="s">
        <v>406</v>
      </c>
      <c r="F351" s="201"/>
    </row>
    <row r="352" spans="1:6">
      <c r="A352" s="208" t="s">
        <v>392</v>
      </c>
      <c r="B352" s="207">
        <v>13</v>
      </c>
      <c r="C352" s="201" t="s">
        <v>208</v>
      </c>
      <c r="D352" s="201" t="s">
        <v>156</v>
      </c>
      <c r="E352" s="201" t="s">
        <v>406</v>
      </c>
      <c r="F352" s="201"/>
    </row>
    <row r="353" spans="1:6">
      <c r="A353" s="208" t="s">
        <v>393</v>
      </c>
      <c r="B353" s="207">
        <v>14.6</v>
      </c>
      <c r="C353" s="201" t="s">
        <v>208</v>
      </c>
      <c r="D353" s="201" t="s">
        <v>156</v>
      </c>
      <c r="E353" s="201" t="s">
        <v>406</v>
      </c>
      <c r="F353" s="201"/>
    </row>
    <row r="354" spans="1:6">
      <c r="A354" s="208" t="s">
        <v>383</v>
      </c>
      <c r="B354" s="207">
        <v>9.6999999999999993</v>
      </c>
      <c r="C354" s="201" t="s">
        <v>208</v>
      </c>
      <c r="D354" s="201" t="s">
        <v>156</v>
      </c>
      <c r="E354" s="201" t="s">
        <v>406</v>
      </c>
      <c r="F354" s="201"/>
    </row>
    <row r="355" spans="1:6">
      <c r="A355" s="208" t="s">
        <v>384</v>
      </c>
      <c r="B355" s="207">
        <v>12.3</v>
      </c>
      <c r="C355" s="201" t="s">
        <v>208</v>
      </c>
      <c r="D355" s="201" t="s">
        <v>156</v>
      </c>
      <c r="E355" s="201" t="s">
        <v>406</v>
      </c>
      <c r="F355" s="201"/>
    </row>
    <row r="356" spans="1:6">
      <c r="A356" s="208" t="s">
        <v>385</v>
      </c>
      <c r="B356" s="207">
        <v>14.4</v>
      </c>
      <c r="C356" s="201" t="s">
        <v>208</v>
      </c>
      <c r="D356" s="201" t="s">
        <v>156</v>
      </c>
      <c r="E356" s="201" t="s">
        <v>406</v>
      </c>
      <c r="F356" s="201"/>
    </row>
    <row r="357" spans="1:6">
      <c r="A357" s="208" t="s">
        <v>386</v>
      </c>
      <c r="B357" s="207">
        <v>14.8</v>
      </c>
      <c r="C357" s="201" t="s">
        <v>208</v>
      </c>
      <c r="D357" s="201" t="s">
        <v>156</v>
      </c>
      <c r="E357" s="201" t="s">
        <v>406</v>
      </c>
      <c r="F357" s="201"/>
    </row>
    <row r="358" spans="1:6">
      <c r="A358" s="208" t="s">
        <v>387</v>
      </c>
      <c r="B358" s="207">
        <v>9.6</v>
      </c>
      <c r="C358" s="201" t="s">
        <v>208</v>
      </c>
      <c r="D358" s="201" t="s">
        <v>156</v>
      </c>
      <c r="E358" s="201" t="s">
        <v>406</v>
      </c>
      <c r="F358" s="201"/>
    </row>
    <row r="359" spans="1:6">
      <c r="A359" s="208" t="s">
        <v>388</v>
      </c>
      <c r="B359" s="207">
        <v>13</v>
      </c>
      <c r="C359" s="201" t="s">
        <v>208</v>
      </c>
      <c r="D359" s="201" t="s">
        <v>156</v>
      </c>
      <c r="E359" s="201" t="s">
        <v>406</v>
      </c>
      <c r="F359" s="201"/>
    </row>
    <row r="360" spans="1:6">
      <c r="A360" s="208" t="s">
        <v>389</v>
      </c>
      <c r="B360" s="207">
        <v>14.1</v>
      </c>
      <c r="C360" s="201" t="s">
        <v>208</v>
      </c>
      <c r="D360" s="201" t="s">
        <v>156</v>
      </c>
      <c r="E360" s="201" t="s">
        <v>406</v>
      </c>
      <c r="F360" s="201"/>
    </row>
    <row r="361" spans="1:6">
      <c r="A361" s="208" t="s">
        <v>390</v>
      </c>
      <c r="B361" s="207">
        <v>15</v>
      </c>
      <c r="C361" s="201" t="s">
        <v>208</v>
      </c>
      <c r="D361" s="201" t="s">
        <v>156</v>
      </c>
      <c r="E361" s="201" t="s">
        <v>406</v>
      </c>
      <c r="F361" s="201"/>
    </row>
    <row r="362" spans="1:6">
      <c r="A362" s="208" t="s">
        <v>394</v>
      </c>
      <c r="B362" s="207">
        <v>11</v>
      </c>
      <c r="C362" s="201" t="s">
        <v>208</v>
      </c>
      <c r="D362" s="201" t="s">
        <v>156</v>
      </c>
      <c r="E362" s="201"/>
      <c r="F362" s="201"/>
    </row>
    <row r="363" spans="1:6">
      <c r="A363" s="208" t="s">
        <v>395</v>
      </c>
      <c r="B363" s="207">
        <v>13</v>
      </c>
      <c r="C363" s="201" t="s">
        <v>208</v>
      </c>
      <c r="D363" s="201" t="s">
        <v>156</v>
      </c>
      <c r="E363" s="201"/>
      <c r="F363" s="201"/>
    </row>
    <row r="364" spans="1:6">
      <c r="A364" s="208" t="s">
        <v>396</v>
      </c>
      <c r="B364" s="207">
        <v>15</v>
      </c>
      <c r="C364" s="201" t="s">
        <v>208</v>
      </c>
      <c r="D364" s="201" t="s">
        <v>156</v>
      </c>
      <c r="E364" s="201"/>
      <c r="F364" s="201"/>
    </row>
    <row r="365" spans="1:6">
      <c r="A365" s="208" t="s">
        <v>397</v>
      </c>
      <c r="B365" s="207">
        <v>10</v>
      </c>
      <c r="C365" s="201" t="s">
        <v>208</v>
      </c>
      <c r="D365" s="201" t="s">
        <v>156</v>
      </c>
      <c r="E365" s="201"/>
      <c r="F365" s="201"/>
    </row>
    <row r="366" spans="1:6">
      <c r="A366" s="208" t="s">
        <v>398</v>
      </c>
      <c r="B366" s="207">
        <v>13</v>
      </c>
      <c r="C366" s="201" t="s">
        <v>208</v>
      </c>
      <c r="D366" s="201" t="s">
        <v>156</v>
      </c>
      <c r="E366" s="201"/>
      <c r="F366" s="201"/>
    </row>
    <row r="367" spans="1:6">
      <c r="A367" s="208" t="s">
        <v>399</v>
      </c>
      <c r="B367" s="207">
        <v>15</v>
      </c>
      <c r="C367" s="201" t="s">
        <v>208</v>
      </c>
      <c r="D367" s="201" t="s">
        <v>156</v>
      </c>
      <c r="E367" s="201"/>
      <c r="F367" s="201"/>
    </row>
    <row r="368" spans="1:6">
      <c r="A368" s="208" t="s">
        <v>400</v>
      </c>
      <c r="B368" s="207">
        <v>10</v>
      </c>
      <c r="C368" s="201" t="s">
        <v>208</v>
      </c>
      <c r="D368" s="201" t="s">
        <v>156</v>
      </c>
      <c r="E368" s="201"/>
      <c r="F368" s="201"/>
    </row>
    <row r="369" spans="1:6">
      <c r="A369" s="208" t="s">
        <v>401</v>
      </c>
      <c r="B369" s="207">
        <v>12</v>
      </c>
      <c r="C369" s="201" t="s">
        <v>208</v>
      </c>
      <c r="D369" s="201" t="s">
        <v>156</v>
      </c>
      <c r="E369" s="201"/>
      <c r="F369" s="201"/>
    </row>
    <row r="370" spans="1:6">
      <c r="A370" s="208" t="s">
        <v>402</v>
      </c>
      <c r="B370" s="207">
        <v>15</v>
      </c>
      <c r="C370" s="201" t="s">
        <v>208</v>
      </c>
      <c r="D370" s="201" t="s">
        <v>156</v>
      </c>
      <c r="E370" s="201"/>
      <c r="F370" s="201"/>
    </row>
    <row r="371" spans="1:6">
      <c r="A371" s="208" t="s">
        <v>403</v>
      </c>
      <c r="B371" s="207">
        <v>10</v>
      </c>
      <c r="C371" s="201" t="s">
        <v>208</v>
      </c>
      <c r="D371" s="201" t="s">
        <v>156</v>
      </c>
      <c r="E371" s="201"/>
      <c r="F371" s="201"/>
    </row>
    <row r="372" spans="1:6">
      <c r="A372" s="208" t="s">
        <v>404</v>
      </c>
      <c r="B372" s="207">
        <v>12</v>
      </c>
      <c r="C372" s="201" t="s">
        <v>208</v>
      </c>
      <c r="D372" s="201" t="s">
        <v>156</v>
      </c>
      <c r="E372" s="201"/>
      <c r="F372" s="201"/>
    </row>
    <row r="373" spans="1:6">
      <c r="A373" s="208" t="s">
        <v>405</v>
      </c>
      <c r="B373" s="207">
        <v>15</v>
      </c>
      <c r="C373" s="201" t="s">
        <v>208</v>
      </c>
      <c r="D373" s="201" t="s">
        <v>156</v>
      </c>
      <c r="E373" s="201"/>
      <c r="F373" s="201"/>
    </row>
    <row r="374" spans="1:6">
      <c r="A374" s="208" t="s">
        <v>407</v>
      </c>
      <c r="B374" s="207">
        <v>9.6</v>
      </c>
      <c r="C374" s="201" t="s">
        <v>208</v>
      </c>
      <c r="D374" s="201" t="s">
        <v>156</v>
      </c>
      <c r="E374" s="201"/>
      <c r="F374" s="201"/>
    </row>
    <row r="375" spans="1:6">
      <c r="A375" s="208" t="s">
        <v>408</v>
      </c>
      <c r="B375" s="207">
        <v>13.5</v>
      </c>
      <c r="C375" s="201" t="s">
        <v>208</v>
      </c>
      <c r="D375" s="201" t="s">
        <v>156</v>
      </c>
      <c r="E375" s="201"/>
      <c r="F375" s="201"/>
    </row>
    <row r="376" spans="1:6">
      <c r="A376" s="208" t="s">
        <v>409</v>
      </c>
      <c r="B376" s="207">
        <v>15.5</v>
      </c>
      <c r="C376" s="201" t="s">
        <v>208</v>
      </c>
      <c r="D376" s="201" t="s">
        <v>156</v>
      </c>
      <c r="E376" s="201"/>
      <c r="F376" s="201"/>
    </row>
    <row r="377" spans="1:6">
      <c r="A377" s="208" t="s">
        <v>410</v>
      </c>
      <c r="B377" s="207">
        <v>9.6</v>
      </c>
      <c r="C377" s="201" t="s">
        <v>208</v>
      </c>
      <c r="D377" s="201" t="s">
        <v>156</v>
      </c>
      <c r="E377" s="201"/>
      <c r="F377" s="201"/>
    </row>
    <row r="378" spans="1:6">
      <c r="A378" s="208" t="s">
        <v>411</v>
      </c>
      <c r="B378" s="207">
        <v>12.7</v>
      </c>
      <c r="C378" s="201" t="s">
        <v>208</v>
      </c>
      <c r="D378" s="201" t="s">
        <v>156</v>
      </c>
      <c r="E378" s="201"/>
      <c r="F378" s="201"/>
    </row>
    <row r="379" spans="1:6">
      <c r="A379" s="208" t="s">
        <v>412</v>
      </c>
      <c r="B379" s="207">
        <v>14.8</v>
      </c>
      <c r="C379" s="201" t="s">
        <v>208</v>
      </c>
      <c r="D379" s="201" t="s">
        <v>156</v>
      </c>
      <c r="E379" s="201"/>
      <c r="F379" s="201"/>
    </row>
    <row r="380" spans="1:6">
      <c r="A380" s="208" t="s">
        <v>413</v>
      </c>
      <c r="B380" s="207">
        <v>16.3</v>
      </c>
      <c r="C380" s="201" t="s">
        <v>208</v>
      </c>
      <c r="D380" s="201" t="s">
        <v>156</v>
      </c>
      <c r="E380" s="201"/>
      <c r="F380" s="201"/>
    </row>
    <row r="381" spans="1:6">
      <c r="A381" s="208" t="s">
        <v>414</v>
      </c>
      <c r="B381" s="207">
        <v>17.5</v>
      </c>
      <c r="C381" s="201" t="s">
        <v>208</v>
      </c>
      <c r="D381" s="201" t="s">
        <v>156</v>
      </c>
      <c r="E381" s="201"/>
      <c r="F381" s="201"/>
    </row>
    <row r="382" spans="1:6">
      <c r="A382" s="208" t="s">
        <v>415</v>
      </c>
      <c r="B382" s="207">
        <v>9.1</v>
      </c>
      <c r="C382" s="201" t="s">
        <v>208</v>
      </c>
      <c r="D382" s="201" t="s">
        <v>156</v>
      </c>
      <c r="E382" s="201"/>
      <c r="F382" s="201"/>
    </row>
    <row r="383" spans="1:6">
      <c r="A383" s="208" t="s">
        <v>416</v>
      </c>
      <c r="B383" s="207">
        <v>12.2</v>
      </c>
      <c r="C383" s="201" t="s">
        <v>208</v>
      </c>
      <c r="D383" s="201" t="s">
        <v>156</v>
      </c>
      <c r="E383" s="201"/>
      <c r="F383" s="201"/>
    </row>
    <row r="384" spans="1:6">
      <c r="A384" s="208" t="s">
        <v>417</v>
      </c>
      <c r="B384" s="207">
        <v>14.6</v>
      </c>
      <c r="C384" s="201" t="s">
        <v>208</v>
      </c>
      <c r="D384" s="201" t="s">
        <v>156</v>
      </c>
      <c r="E384" s="201"/>
      <c r="F384" s="201"/>
    </row>
    <row r="385" spans="1:6">
      <c r="A385" s="208" t="s">
        <v>418</v>
      </c>
      <c r="B385" s="207">
        <v>16.3</v>
      </c>
      <c r="C385" s="201" t="s">
        <v>208</v>
      </c>
      <c r="D385" s="201" t="s">
        <v>156</v>
      </c>
      <c r="E385" s="201"/>
      <c r="F385" s="201"/>
    </row>
    <row r="386" spans="1:6">
      <c r="A386" s="208" t="s">
        <v>419</v>
      </c>
      <c r="B386" s="207">
        <v>17.8</v>
      </c>
      <c r="C386" s="201" t="s">
        <v>208</v>
      </c>
      <c r="D386" s="201" t="s">
        <v>156</v>
      </c>
      <c r="E386" s="201"/>
      <c r="F386" s="201"/>
    </row>
    <row r="387" spans="1:6">
      <c r="A387" s="208" t="s">
        <v>420</v>
      </c>
      <c r="B387" s="207">
        <v>9.1</v>
      </c>
      <c r="C387" s="201" t="s">
        <v>208</v>
      </c>
      <c r="D387" s="201" t="s">
        <v>156</v>
      </c>
      <c r="E387" s="201"/>
      <c r="F387" s="201"/>
    </row>
    <row r="388" spans="1:6">
      <c r="A388" s="208" t="s">
        <v>421</v>
      </c>
      <c r="B388" s="207">
        <v>12.2</v>
      </c>
      <c r="C388" s="201" t="s">
        <v>208</v>
      </c>
      <c r="D388" s="201" t="s">
        <v>156</v>
      </c>
      <c r="E388" s="201"/>
      <c r="F388" s="201"/>
    </row>
    <row r="389" spans="1:6">
      <c r="A389" s="208" t="s">
        <v>422</v>
      </c>
      <c r="B389" s="207">
        <v>14.7</v>
      </c>
      <c r="C389" s="201" t="s">
        <v>208</v>
      </c>
      <c r="D389" s="201" t="s">
        <v>156</v>
      </c>
      <c r="E389" s="201"/>
      <c r="F389" s="201"/>
    </row>
    <row r="390" spans="1:6">
      <c r="A390" s="208" t="s">
        <v>423</v>
      </c>
      <c r="B390" s="207">
        <v>16.600000000000001</v>
      </c>
      <c r="C390" s="201" t="s">
        <v>208</v>
      </c>
      <c r="D390" s="201" t="s">
        <v>156</v>
      </c>
      <c r="E390" s="201"/>
      <c r="F390" s="201"/>
    </row>
    <row r="391" spans="1:6">
      <c r="A391" s="208" t="s">
        <v>424</v>
      </c>
      <c r="B391" s="207">
        <v>18.3</v>
      </c>
      <c r="C391" s="201" t="s">
        <v>208</v>
      </c>
      <c r="D391" s="201" t="s">
        <v>156</v>
      </c>
      <c r="E391" s="201"/>
      <c r="F391" s="201"/>
    </row>
    <row r="392" spans="1:6">
      <c r="A392" s="208" t="s">
        <v>425</v>
      </c>
      <c r="B392" s="207">
        <v>10.4</v>
      </c>
      <c r="C392" s="201" t="s">
        <v>208</v>
      </c>
      <c r="D392" s="201" t="s">
        <v>156</v>
      </c>
      <c r="E392" s="201" t="s">
        <v>406</v>
      </c>
      <c r="F392" s="201"/>
    </row>
    <row r="393" spans="1:6">
      <c r="A393" s="208" t="s">
        <v>426</v>
      </c>
      <c r="B393" s="207">
        <v>13.8</v>
      </c>
      <c r="C393" s="201" t="s">
        <v>208</v>
      </c>
      <c r="D393" s="201" t="s">
        <v>156</v>
      </c>
      <c r="E393" s="201" t="s">
        <v>406</v>
      </c>
      <c r="F393" s="201"/>
    </row>
    <row r="394" spans="1:6">
      <c r="A394" s="208" t="s">
        <v>427</v>
      </c>
      <c r="B394" s="207">
        <v>17.100000000000001</v>
      </c>
      <c r="C394" s="201" t="s">
        <v>208</v>
      </c>
      <c r="D394" s="201" t="s">
        <v>156</v>
      </c>
      <c r="E394" s="201" t="s">
        <v>406</v>
      </c>
      <c r="F394" s="201"/>
    </row>
    <row r="395" spans="1:6">
      <c r="A395" s="208" t="s">
        <v>442</v>
      </c>
      <c r="B395" s="207">
        <v>18.8</v>
      </c>
      <c r="C395" s="201" t="s">
        <v>208</v>
      </c>
      <c r="D395" s="201" t="s">
        <v>156</v>
      </c>
      <c r="E395" s="201" t="s">
        <v>406</v>
      </c>
      <c r="F395" s="201"/>
    </row>
    <row r="396" spans="1:6">
      <c r="A396" s="208" t="s">
        <v>428</v>
      </c>
      <c r="B396" s="207">
        <v>9.8000000000000007</v>
      </c>
      <c r="C396" s="201" t="s">
        <v>208</v>
      </c>
      <c r="D396" s="201" t="s">
        <v>156</v>
      </c>
      <c r="E396" s="201" t="s">
        <v>406</v>
      </c>
      <c r="F396" s="201"/>
    </row>
    <row r="397" spans="1:6">
      <c r="A397" s="208" t="s">
        <v>429</v>
      </c>
      <c r="B397" s="207">
        <v>13</v>
      </c>
      <c r="C397" s="201" t="s">
        <v>208</v>
      </c>
      <c r="D397" s="201" t="s">
        <v>156</v>
      </c>
      <c r="E397" s="201" t="s">
        <v>406</v>
      </c>
      <c r="F397" s="201"/>
    </row>
    <row r="398" spans="1:6">
      <c r="A398" s="208" t="s">
        <v>430</v>
      </c>
      <c r="B398" s="207">
        <v>16.899999999999999</v>
      </c>
      <c r="C398" s="201" t="s">
        <v>208</v>
      </c>
      <c r="D398" s="201" t="s">
        <v>156</v>
      </c>
      <c r="E398" s="201" t="s">
        <v>406</v>
      </c>
      <c r="F398" s="201"/>
    </row>
    <row r="399" spans="1:6">
      <c r="A399" s="208" t="s">
        <v>431</v>
      </c>
      <c r="B399" s="207">
        <v>19.100000000000001</v>
      </c>
      <c r="C399" s="201" t="s">
        <v>208</v>
      </c>
      <c r="D399" s="201" t="s">
        <v>156</v>
      </c>
      <c r="E399" s="201" t="s">
        <v>406</v>
      </c>
      <c r="F399" s="201"/>
    </row>
    <row r="400" spans="1:6">
      <c r="A400" s="208" t="s">
        <v>432</v>
      </c>
      <c r="B400" s="207">
        <v>10</v>
      </c>
      <c r="C400" s="201" t="s">
        <v>208</v>
      </c>
      <c r="D400" s="201" t="s">
        <v>156</v>
      </c>
      <c r="E400" s="201" t="s">
        <v>406</v>
      </c>
      <c r="F400" s="201"/>
    </row>
    <row r="401" spans="1:6">
      <c r="A401" s="208" t="s">
        <v>433</v>
      </c>
      <c r="B401" s="207">
        <v>13.4</v>
      </c>
      <c r="C401" s="201" t="s">
        <v>208</v>
      </c>
      <c r="D401" s="201" t="s">
        <v>156</v>
      </c>
      <c r="E401" s="201" t="s">
        <v>406</v>
      </c>
      <c r="F401" s="201"/>
    </row>
    <row r="402" spans="1:6">
      <c r="A402" s="208" t="s">
        <v>434</v>
      </c>
      <c r="B402" s="207">
        <v>16.7</v>
      </c>
      <c r="C402" s="201" t="s">
        <v>208</v>
      </c>
      <c r="D402" s="201" t="s">
        <v>156</v>
      </c>
      <c r="E402" s="201" t="s">
        <v>406</v>
      </c>
      <c r="F402" s="201"/>
    </row>
    <row r="403" spans="1:6">
      <c r="A403" s="208" t="s">
        <v>435</v>
      </c>
      <c r="B403" s="207">
        <v>18.899999999999999</v>
      </c>
      <c r="C403" s="201" t="s">
        <v>208</v>
      </c>
      <c r="D403" s="201" t="s">
        <v>156</v>
      </c>
      <c r="E403" s="201" t="s">
        <v>406</v>
      </c>
      <c r="F403" s="201"/>
    </row>
    <row r="404" spans="1:6">
      <c r="A404" s="208" t="s">
        <v>436</v>
      </c>
      <c r="B404" s="207">
        <v>19.8</v>
      </c>
      <c r="C404" s="201" t="s">
        <v>208</v>
      </c>
      <c r="D404" s="201" t="s">
        <v>156</v>
      </c>
      <c r="E404" s="201" t="s">
        <v>406</v>
      </c>
      <c r="F404" s="201"/>
    </row>
    <row r="405" spans="1:6">
      <c r="A405" s="208" t="s">
        <v>437</v>
      </c>
      <c r="B405" s="207">
        <v>9.8000000000000007</v>
      </c>
      <c r="C405" s="201" t="s">
        <v>208</v>
      </c>
      <c r="D405" s="201" t="s">
        <v>156</v>
      </c>
      <c r="E405" s="201" t="s">
        <v>406</v>
      </c>
      <c r="F405" s="201"/>
    </row>
    <row r="406" spans="1:6">
      <c r="A406" s="208" t="s">
        <v>438</v>
      </c>
      <c r="B406" s="207">
        <v>13.6</v>
      </c>
      <c r="C406" s="201" t="s">
        <v>208</v>
      </c>
      <c r="D406" s="201" t="s">
        <v>156</v>
      </c>
      <c r="E406" s="201" t="s">
        <v>406</v>
      </c>
      <c r="F406" s="201"/>
    </row>
    <row r="407" spans="1:6">
      <c r="A407" s="208" t="s">
        <v>439</v>
      </c>
      <c r="B407" s="207">
        <v>16.100000000000001</v>
      </c>
      <c r="C407" s="201" t="s">
        <v>208</v>
      </c>
      <c r="D407" s="201" t="s">
        <v>156</v>
      </c>
      <c r="E407" s="201" t="s">
        <v>406</v>
      </c>
      <c r="F407" s="201"/>
    </row>
    <row r="408" spans="1:6">
      <c r="A408" s="208" t="s">
        <v>440</v>
      </c>
      <c r="B408" s="207">
        <v>16.600000000000001</v>
      </c>
      <c r="C408" s="201" t="s">
        <v>208</v>
      </c>
      <c r="D408" s="201" t="s">
        <v>156</v>
      </c>
      <c r="E408" s="201" t="s">
        <v>406</v>
      </c>
      <c r="F408" s="201"/>
    </row>
    <row r="409" spans="1:6">
      <c r="A409" s="208" t="s">
        <v>441</v>
      </c>
      <c r="B409" s="207">
        <v>19.600000000000001</v>
      </c>
      <c r="C409" s="201" t="s">
        <v>208</v>
      </c>
      <c r="D409" s="201" t="s">
        <v>156</v>
      </c>
      <c r="E409" s="201" t="s">
        <v>406</v>
      </c>
      <c r="F409" s="201"/>
    </row>
    <row r="410" spans="1:6">
      <c r="A410" s="208" t="s">
        <v>443</v>
      </c>
      <c r="B410" s="207">
        <v>11</v>
      </c>
      <c r="C410" s="201" t="s">
        <v>208</v>
      </c>
      <c r="D410" s="201" t="s">
        <v>156</v>
      </c>
      <c r="E410" s="201"/>
      <c r="F410" s="201"/>
    </row>
    <row r="411" spans="1:6">
      <c r="A411" s="208" t="s">
        <v>444</v>
      </c>
      <c r="B411" s="207">
        <v>13</v>
      </c>
      <c r="C411" s="201" t="s">
        <v>208</v>
      </c>
      <c r="D411" s="201" t="s">
        <v>156</v>
      </c>
      <c r="E411" s="201"/>
      <c r="F411" s="201"/>
    </row>
    <row r="412" spans="1:6">
      <c r="A412" s="208" t="s">
        <v>445</v>
      </c>
      <c r="B412" s="207">
        <v>18</v>
      </c>
      <c r="C412" s="201" t="s">
        <v>208</v>
      </c>
      <c r="D412" s="201" t="s">
        <v>156</v>
      </c>
      <c r="E412" s="201"/>
      <c r="F412" s="201"/>
    </row>
    <row r="413" spans="1:6">
      <c r="A413" s="208" t="s">
        <v>461</v>
      </c>
      <c r="B413" s="207">
        <v>20</v>
      </c>
      <c r="C413" s="201" t="s">
        <v>208</v>
      </c>
      <c r="D413" s="201" t="s">
        <v>156</v>
      </c>
      <c r="E413" s="201"/>
      <c r="F413" s="201"/>
    </row>
    <row r="414" spans="1:6">
      <c r="A414" s="208" t="s">
        <v>446</v>
      </c>
      <c r="B414" s="207">
        <v>10</v>
      </c>
      <c r="C414" s="201" t="s">
        <v>208</v>
      </c>
      <c r="D414" s="201" t="s">
        <v>156</v>
      </c>
      <c r="E414" s="201"/>
      <c r="F414" s="201"/>
    </row>
    <row r="415" spans="1:6">
      <c r="A415" s="208" t="s">
        <v>447</v>
      </c>
      <c r="B415" s="207">
        <v>14</v>
      </c>
      <c r="C415" s="201" t="s">
        <v>208</v>
      </c>
      <c r="D415" s="201" t="s">
        <v>156</v>
      </c>
      <c r="E415" s="201"/>
      <c r="F415" s="201"/>
    </row>
    <row r="416" spans="1:6">
      <c r="A416" s="208" t="s">
        <v>448</v>
      </c>
      <c r="B416" s="207">
        <v>18</v>
      </c>
      <c r="C416" s="201" t="s">
        <v>208</v>
      </c>
      <c r="D416" s="201" t="s">
        <v>156</v>
      </c>
      <c r="E416" s="201"/>
      <c r="F416" s="201"/>
    </row>
    <row r="417" spans="1:6">
      <c r="A417" s="208" t="s">
        <v>449</v>
      </c>
      <c r="B417" s="207">
        <v>20</v>
      </c>
      <c r="C417" s="201" t="s">
        <v>208</v>
      </c>
      <c r="D417" s="201" t="s">
        <v>156</v>
      </c>
      <c r="E417" s="201"/>
      <c r="F417" s="201"/>
    </row>
    <row r="418" spans="1:6">
      <c r="A418" s="208" t="s">
        <v>450</v>
      </c>
      <c r="B418" s="207">
        <v>21</v>
      </c>
      <c r="C418" s="201" t="s">
        <v>208</v>
      </c>
      <c r="D418" s="201" t="s">
        <v>156</v>
      </c>
      <c r="E418" s="201"/>
      <c r="F418" s="201"/>
    </row>
    <row r="419" spans="1:6">
      <c r="A419" s="208" t="s">
        <v>451</v>
      </c>
      <c r="B419" s="207">
        <v>10</v>
      </c>
      <c r="C419" s="201" t="s">
        <v>208</v>
      </c>
      <c r="D419" s="201" t="s">
        <v>156</v>
      </c>
      <c r="E419" s="201"/>
      <c r="F419" s="201"/>
    </row>
    <row r="420" spans="1:6">
      <c r="A420" s="208" t="s">
        <v>452</v>
      </c>
      <c r="B420" s="207">
        <v>13</v>
      </c>
      <c r="C420" s="201" t="s">
        <v>208</v>
      </c>
      <c r="D420" s="201" t="s">
        <v>156</v>
      </c>
      <c r="E420" s="201"/>
      <c r="F420" s="201"/>
    </row>
    <row r="421" spans="1:6">
      <c r="A421" s="208" t="s">
        <v>453</v>
      </c>
      <c r="B421" s="207">
        <v>17</v>
      </c>
      <c r="C421" s="201" t="s">
        <v>208</v>
      </c>
      <c r="D421" s="201" t="s">
        <v>156</v>
      </c>
      <c r="E421" s="201"/>
      <c r="F421" s="201"/>
    </row>
    <row r="422" spans="1:6">
      <c r="A422" s="208" t="s">
        <v>454</v>
      </c>
      <c r="B422" s="207">
        <v>19</v>
      </c>
      <c r="C422" s="201" t="s">
        <v>208</v>
      </c>
      <c r="D422" s="201" t="s">
        <v>156</v>
      </c>
      <c r="E422" s="201"/>
      <c r="F422" s="201"/>
    </row>
    <row r="423" spans="1:6">
      <c r="A423" s="208" t="s">
        <v>455</v>
      </c>
      <c r="B423" s="207">
        <v>20</v>
      </c>
      <c r="C423" s="201" t="s">
        <v>208</v>
      </c>
      <c r="D423" s="201" t="s">
        <v>156</v>
      </c>
      <c r="E423" s="201"/>
      <c r="F423" s="201"/>
    </row>
    <row r="424" spans="1:6">
      <c r="A424" s="208" t="s">
        <v>456</v>
      </c>
      <c r="B424" s="207">
        <v>10</v>
      </c>
      <c r="C424" s="201" t="s">
        <v>208</v>
      </c>
      <c r="D424" s="201" t="s">
        <v>156</v>
      </c>
      <c r="E424" s="201"/>
      <c r="F424" s="201"/>
    </row>
    <row r="425" spans="1:6">
      <c r="A425" s="208" t="s">
        <v>457</v>
      </c>
      <c r="B425" s="207">
        <v>12.2</v>
      </c>
      <c r="C425" s="201" t="s">
        <v>208</v>
      </c>
      <c r="D425" s="201" t="s">
        <v>156</v>
      </c>
      <c r="E425" s="201"/>
      <c r="F425" s="201"/>
    </row>
    <row r="426" spans="1:6">
      <c r="A426" s="208" t="s">
        <v>458</v>
      </c>
      <c r="B426" s="207">
        <v>17</v>
      </c>
      <c r="C426" s="201" t="s">
        <v>208</v>
      </c>
      <c r="D426" s="201" t="s">
        <v>156</v>
      </c>
      <c r="E426" s="201"/>
      <c r="F426" s="201"/>
    </row>
    <row r="427" spans="1:6">
      <c r="A427" s="208" t="s">
        <v>459</v>
      </c>
      <c r="B427" s="207">
        <v>19</v>
      </c>
      <c r="C427" s="201" t="s">
        <v>208</v>
      </c>
      <c r="D427" s="201" t="s">
        <v>156</v>
      </c>
      <c r="E427" s="201"/>
      <c r="F427" s="201"/>
    </row>
    <row r="428" spans="1:6">
      <c r="A428" s="208" t="s">
        <v>460</v>
      </c>
      <c r="B428" s="207">
        <v>20</v>
      </c>
      <c r="C428" s="201" t="s">
        <v>208</v>
      </c>
      <c r="D428" s="201" t="s">
        <v>156</v>
      </c>
      <c r="E428" s="201"/>
      <c r="F428" s="201"/>
    </row>
    <row r="429" spans="1:6">
      <c r="A429" s="208"/>
      <c r="B429" s="207"/>
      <c r="E429" s="201"/>
      <c r="F429" s="201"/>
    </row>
    <row r="430" spans="1:6">
      <c r="A430" s="208"/>
      <c r="B430" s="207"/>
      <c r="E430" s="201"/>
      <c r="F430" s="201"/>
    </row>
    <row r="431" spans="1:6">
      <c r="A431" s="208"/>
      <c r="B431" s="207"/>
      <c r="E431" s="201"/>
      <c r="F431" s="201"/>
    </row>
    <row r="432" spans="1:6">
      <c r="A432" s="208"/>
      <c r="B432" s="207"/>
      <c r="E432" s="201"/>
      <c r="F432" s="201"/>
    </row>
    <row r="433" spans="1:6">
      <c r="A433" s="208" t="s">
        <v>209</v>
      </c>
      <c r="B433" s="207">
        <v>18.3</v>
      </c>
      <c r="C433" s="201" t="s">
        <v>146</v>
      </c>
      <c r="D433" s="201" t="s">
        <v>147</v>
      </c>
      <c r="E433" s="201" t="s">
        <v>210</v>
      </c>
      <c r="F433" s="201"/>
    </row>
    <row r="434" spans="1:6">
      <c r="A434" s="201" t="s">
        <v>145</v>
      </c>
      <c r="B434" s="207">
        <v>12.2</v>
      </c>
      <c r="C434" s="201" t="s">
        <v>146</v>
      </c>
      <c r="D434" s="201" t="s">
        <v>147</v>
      </c>
      <c r="E434" s="201" t="s">
        <v>148</v>
      </c>
      <c r="F434" s="201"/>
    </row>
    <row r="435" spans="1:6">
      <c r="A435" s="201" t="s">
        <v>149</v>
      </c>
      <c r="B435" s="207" t="s">
        <v>150</v>
      </c>
      <c r="C435" s="201" t="s">
        <v>146</v>
      </c>
      <c r="D435" s="201" t="s">
        <v>147</v>
      </c>
      <c r="E435" s="201" t="s">
        <v>151</v>
      </c>
      <c r="F435" s="201"/>
    </row>
    <row r="436" spans="1:6">
      <c r="A436" s="201" t="s">
        <v>213</v>
      </c>
      <c r="B436" s="207">
        <v>15.2</v>
      </c>
      <c r="C436" s="201" t="s">
        <v>146</v>
      </c>
      <c r="D436" s="201" t="s">
        <v>147</v>
      </c>
      <c r="E436" s="201" t="s">
        <v>212</v>
      </c>
      <c r="F436" s="201"/>
    </row>
    <row r="437" spans="1:6">
      <c r="A437" s="201" t="s">
        <v>215</v>
      </c>
      <c r="B437" s="207">
        <v>16.7</v>
      </c>
      <c r="C437" s="201" t="s">
        <v>146</v>
      </c>
      <c r="D437" s="201" t="s">
        <v>147</v>
      </c>
      <c r="E437" s="201" t="s">
        <v>212</v>
      </c>
      <c r="F437" s="201"/>
    </row>
    <row r="438" spans="1:6">
      <c r="A438" s="201" t="s">
        <v>152</v>
      </c>
      <c r="B438" s="207">
        <v>25.1</v>
      </c>
      <c r="C438" s="201" t="s">
        <v>146</v>
      </c>
      <c r="D438" s="201" t="s">
        <v>147</v>
      </c>
      <c r="E438" s="201" t="s">
        <v>212</v>
      </c>
      <c r="F438" s="201"/>
    </row>
    <row r="439" spans="1:6">
      <c r="A439" s="201" t="s">
        <v>153</v>
      </c>
      <c r="B439" s="207">
        <v>10</v>
      </c>
      <c r="C439" s="201" t="s">
        <v>146</v>
      </c>
      <c r="D439" s="201" t="s">
        <v>147</v>
      </c>
      <c r="E439" s="201" t="s">
        <v>212</v>
      </c>
      <c r="F439" s="201"/>
    </row>
    <row r="440" spans="1:6">
      <c r="A440" s="201" t="s">
        <v>154</v>
      </c>
      <c r="B440" s="207">
        <v>16.600000000000001</v>
      </c>
      <c r="C440" s="201" t="s">
        <v>146</v>
      </c>
      <c r="D440" s="201" t="s">
        <v>147</v>
      </c>
      <c r="E440" s="201" t="s">
        <v>212</v>
      </c>
      <c r="F440" s="201"/>
    </row>
    <row r="441" spans="1:6">
      <c r="A441" s="201" t="s">
        <v>155</v>
      </c>
      <c r="B441" s="207">
        <v>21.7</v>
      </c>
      <c r="C441" s="201" t="s">
        <v>146</v>
      </c>
      <c r="D441" s="201" t="s">
        <v>147</v>
      </c>
      <c r="E441" s="201" t="s">
        <v>212</v>
      </c>
      <c r="F441" s="201"/>
    </row>
    <row r="442" spans="1:6">
      <c r="A442" s="201" t="s">
        <v>218</v>
      </c>
      <c r="B442" s="207">
        <v>10.9</v>
      </c>
      <c r="C442" s="201" t="s">
        <v>146</v>
      </c>
      <c r="D442" s="201" t="s">
        <v>156</v>
      </c>
      <c r="E442" s="201" t="s">
        <v>226</v>
      </c>
      <c r="F442" s="201"/>
    </row>
    <row r="443" spans="1:6">
      <c r="A443" s="201" t="s">
        <v>219</v>
      </c>
      <c r="B443" s="207">
        <v>10.6</v>
      </c>
      <c r="C443" s="201" t="s">
        <v>146</v>
      </c>
      <c r="D443" s="201" t="s">
        <v>156</v>
      </c>
      <c r="E443" s="201" t="s">
        <v>227</v>
      </c>
      <c r="F443" s="201"/>
    </row>
    <row r="444" spans="1:6">
      <c r="A444" s="201" t="s">
        <v>220</v>
      </c>
      <c r="B444" s="207">
        <v>10.9</v>
      </c>
      <c r="C444" s="201" t="s">
        <v>146</v>
      </c>
      <c r="D444" s="201" t="s">
        <v>156</v>
      </c>
      <c r="E444" s="201" t="s">
        <v>228</v>
      </c>
      <c r="F444" s="201"/>
    </row>
    <row r="445" spans="1:6">
      <c r="A445" s="201" t="s">
        <v>221</v>
      </c>
      <c r="B445" s="207">
        <v>9.9</v>
      </c>
      <c r="C445" s="201" t="s">
        <v>146</v>
      </c>
      <c r="D445" s="201" t="s">
        <v>156</v>
      </c>
      <c r="E445" s="201" t="s">
        <v>229</v>
      </c>
      <c r="F445" s="201"/>
    </row>
    <row r="446" spans="1:6">
      <c r="A446" s="201" t="s">
        <v>222</v>
      </c>
      <c r="B446" s="207">
        <v>16.5</v>
      </c>
      <c r="C446" s="201" t="s">
        <v>146</v>
      </c>
      <c r="D446" s="201" t="s">
        <v>156</v>
      </c>
      <c r="E446" s="201" t="s">
        <v>226</v>
      </c>
      <c r="F446" s="201"/>
    </row>
    <row r="447" spans="1:6">
      <c r="A447" s="201" t="s">
        <v>223</v>
      </c>
      <c r="B447" s="207">
        <v>15</v>
      </c>
      <c r="C447" s="201" t="s">
        <v>146</v>
      </c>
      <c r="D447" s="201" t="s">
        <v>156</v>
      </c>
      <c r="E447" s="201" t="s">
        <v>227</v>
      </c>
      <c r="F447" s="201"/>
    </row>
    <row r="448" spans="1:6">
      <c r="A448" s="201" t="s">
        <v>224</v>
      </c>
      <c r="B448" s="207">
        <v>16.899999999999999</v>
      </c>
      <c r="C448" s="201" t="s">
        <v>146</v>
      </c>
      <c r="D448" s="201" t="s">
        <v>156</v>
      </c>
      <c r="E448" s="201" t="s">
        <v>228</v>
      </c>
      <c r="F448" s="201"/>
    </row>
    <row r="449" spans="1:6">
      <c r="A449" s="201" t="s">
        <v>225</v>
      </c>
      <c r="B449" s="207">
        <v>15.9</v>
      </c>
      <c r="C449" s="201" t="s">
        <v>146</v>
      </c>
      <c r="D449" s="201" t="s">
        <v>156</v>
      </c>
      <c r="E449" s="201" t="s">
        <v>229</v>
      </c>
      <c r="F449" s="201"/>
    </row>
    <row r="450" spans="1:6">
      <c r="A450" s="201" t="s">
        <v>230</v>
      </c>
      <c r="B450" s="207">
        <v>25.1</v>
      </c>
      <c r="C450" s="201" t="s">
        <v>146</v>
      </c>
      <c r="D450" s="201" t="s">
        <v>156</v>
      </c>
      <c r="E450" s="201" t="s">
        <v>226</v>
      </c>
      <c r="F450" s="201"/>
    </row>
    <row r="451" spans="1:6">
      <c r="A451" s="201" t="s">
        <v>504</v>
      </c>
      <c r="B451" s="207">
        <v>21.5</v>
      </c>
      <c r="C451" s="201" t="s">
        <v>146</v>
      </c>
      <c r="D451" s="201" t="s">
        <v>156</v>
      </c>
      <c r="E451" s="201" t="s">
        <v>227</v>
      </c>
      <c r="F451" s="201"/>
    </row>
    <row r="452" spans="1:6">
      <c r="A452" s="201" t="s">
        <v>505</v>
      </c>
      <c r="B452" s="207">
        <v>26.3</v>
      </c>
      <c r="C452" s="201" t="s">
        <v>146</v>
      </c>
      <c r="D452" s="201" t="s">
        <v>156</v>
      </c>
      <c r="E452" s="201" t="s">
        <v>228</v>
      </c>
      <c r="F452" s="201"/>
    </row>
    <row r="453" spans="1:6">
      <c r="A453" s="201" t="s">
        <v>506</v>
      </c>
      <c r="B453" s="207">
        <v>23.9</v>
      </c>
      <c r="C453" s="201" t="s">
        <v>146</v>
      </c>
      <c r="D453" s="201" t="s">
        <v>156</v>
      </c>
      <c r="E453" s="201" t="s">
        <v>229</v>
      </c>
      <c r="F453" s="201"/>
    </row>
    <row r="454" spans="1:6">
      <c r="A454" s="201" t="s">
        <v>231</v>
      </c>
      <c r="B454" s="207">
        <v>28.7</v>
      </c>
      <c r="C454" s="201" t="s">
        <v>146</v>
      </c>
      <c r="D454" s="201" t="s">
        <v>156</v>
      </c>
      <c r="E454" s="201" t="s">
        <v>226</v>
      </c>
      <c r="F454" s="201"/>
    </row>
    <row r="455" spans="1:6">
      <c r="A455" s="201" t="s">
        <v>507</v>
      </c>
      <c r="B455" s="207">
        <v>23.7</v>
      </c>
      <c r="C455" s="201" t="s">
        <v>146</v>
      </c>
      <c r="D455" s="201" t="s">
        <v>156</v>
      </c>
      <c r="E455" s="201" t="s">
        <v>227</v>
      </c>
      <c r="F455" s="201"/>
    </row>
    <row r="456" spans="1:6">
      <c r="A456" s="201" t="s">
        <v>508</v>
      </c>
      <c r="B456" s="207">
        <v>29.2</v>
      </c>
      <c r="C456" s="201" t="s">
        <v>146</v>
      </c>
      <c r="D456" s="201" t="s">
        <v>156</v>
      </c>
      <c r="E456" s="201" t="s">
        <v>228</v>
      </c>
      <c r="F456" s="201"/>
    </row>
    <row r="457" spans="1:6">
      <c r="A457" s="201" t="s">
        <v>509</v>
      </c>
      <c r="B457" s="207">
        <v>26.5</v>
      </c>
      <c r="C457" s="201" t="s">
        <v>146</v>
      </c>
      <c r="D457" s="201" t="s">
        <v>156</v>
      </c>
      <c r="E457" s="201" t="s">
        <v>229</v>
      </c>
      <c r="F457" s="201"/>
    </row>
    <row r="458" spans="1:6">
      <c r="A458" s="201" t="s">
        <v>232</v>
      </c>
      <c r="B458" s="207">
        <v>12</v>
      </c>
      <c r="C458" s="201" t="s">
        <v>146</v>
      </c>
      <c r="D458" s="201" t="s">
        <v>156</v>
      </c>
      <c r="E458" s="201" t="s">
        <v>226</v>
      </c>
      <c r="F458" s="201"/>
    </row>
    <row r="459" spans="1:6">
      <c r="A459" s="201" t="s">
        <v>510</v>
      </c>
      <c r="B459" s="207">
        <v>11.7</v>
      </c>
      <c r="C459" s="201" t="s">
        <v>146</v>
      </c>
      <c r="D459" s="201" t="s">
        <v>156</v>
      </c>
      <c r="E459" s="201" t="s">
        <v>227</v>
      </c>
      <c r="F459" s="201"/>
    </row>
    <row r="460" spans="1:6">
      <c r="A460" s="201" t="s">
        <v>511</v>
      </c>
      <c r="B460" s="207">
        <v>12</v>
      </c>
      <c r="C460" s="201" t="s">
        <v>146</v>
      </c>
      <c r="D460" s="201" t="s">
        <v>156</v>
      </c>
      <c r="E460" s="201" t="s">
        <v>228</v>
      </c>
      <c r="F460" s="201"/>
    </row>
    <row r="461" spans="1:6">
      <c r="A461" s="201" t="s">
        <v>512</v>
      </c>
      <c r="B461" s="207">
        <v>11.2</v>
      </c>
      <c r="C461" s="201" t="s">
        <v>146</v>
      </c>
      <c r="D461" s="201" t="s">
        <v>156</v>
      </c>
      <c r="E461" s="201" t="s">
        <v>229</v>
      </c>
      <c r="F461" s="201"/>
    </row>
    <row r="462" spans="1:6">
      <c r="A462" s="201" t="s">
        <v>233</v>
      </c>
      <c r="B462" s="207">
        <v>19.7</v>
      </c>
      <c r="C462" s="201" t="s">
        <v>146</v>
      </c>
      <c r="D462" s="201" t="s">
        <v>156</v>
      </c>
      <c r="E462" s="201" t="s">
        <v>226</v>
      </c>
      <c r="F462" s="201"/>
    </row>
    <row r="463" spans="1:6">
      <c r="A463" s="201" t="s">
        <v>513</v>
      </c>
      <c r="B463" s="207">
        <v>17.2</v>
      </c>
      <c r="C463" s="201" t="s">
        <v>146</v>
      </c>
      <c r="D463" s="201" t="s">
        <v>156</v>
      </c>
      <c r="E463" s="201" t="s">
        <v>227</v>
      </c>
      <c r="F463" s="201"/>
    </row>
    <row r="464" spans="1:6">
      <c r="A464" s="201" t="s">
        <v>514</v>
      </c>
      <c r="B464" s="207">
        <v>20.5</v>
      </c>
      <c r="C464" s="201" t="s">
        <v>146</v>
      </c>
      <c r="D464" s="201" t="s">
        <v>156</v>
      </c>
      <c r="E464" s="201" t="s">
        <v>228</v>
      </c>
      <c r="F464" s="201"/>
    </row>
    <row r="465" spans="1:6">
      <c r="A465" s="201" t="s">
        <v>515</v>
      </c>
      <c r="B465" s="207">
        <v>19</v>
      </c>
      <c r="C465" s="201" t="s">
        <v>146</v>
      </c>
      <c r="D465" s="201" t="s">
        <v>156</v>
      </c>
      <c r="E465" s="201" t="s">
        <v>229</v>
      </c>
      <c r="F465" s="201"/>
    </row>
    <row r="466" spans="1:6">
      <c r="A466" s="201" t="s">
        <v>234</v>
      </c>
      <c r="B466" s="207">
        <v>23.9</v>
      </c>
      <c r="C466" s="201" t="s">
        <v>146</v>
      </c>
      <c r="D466" s="201" t="s">
        <v>156</v>
      </c>
      <c r="E466" s="201" t="s">
        <v>226</v>
      </c>
      <c r="F466" s="201"/>
    </row>
    <row r="467" spans="1:6">
      <c r="A467" s="201" t="s">
        <v>516</v>
      </c>
      <c r="B467" s="207">
        <v>20.9</v>
      </c>
      <c r="C467" s="201" t="s">
        <v>146</v>
      </c>
      <c r="D467" s="201" t="s">
        <v>156</v>
      </c>
      <c r="E467" s="201" t="s">
        <v>227</v>
      </c>
      <c r="F467" s="201"/>
    </row>
    <row r="468" spans="1:6">
      <c r="A468" s="201" t="s">
        <v>517</v>
      </c>
      <c r="B468" s="207">
        <v>26.9</v>
      </c>
      <c r="C468" s="201" t="s">
        <v>146</v>
      </c>
      <c r="D468" s="201" t="s">
        <v>156</v>
      </c>
      <c r="E468" s="201" t="s">
        <v>228</v>
      </c>
      <c r="F468" s="201"/>
    </row>
    <row r="469" spans="1:6">
      <c r="A469" s="201" t="s">
        <v>518</v>
      </c>
      <c r="B469" s="207">
        <v>23.1</v>
      </c>
      <c r="C469" s="201" t="s">
        <v>146</v>
      </c>
      <c r="D469" s="201" t="s">
        <v>156</v>
      </c>
      <c r="E469" s="201" t="s">
        <v>229</v>
      </c>
      <c r="F469" s="201"/>
    </row>
    <row r="470" spans="1:6">
      <c r="A470" s="201" t="s">
        <v>235</v>
      </c>
      <c r="B470" s="207">
        <v>31</v>
      </c>
      <c r="C470" s="201" t="s">
        <v>146</v>
      </c>
      <c r="D470" s="201" t="s">
        <v>156</v>
      </c>
      <c r="E470" s="201" t="s">
        <v>226</v>
      </c>
      <c r="F470" s="201"/>
    </row>
    <row r="471" spans="1:6">
      <c r="A471" s="201" t="s">
        <v>519</v>
      </c>
      <c r="B471" s="207">
        <v>26</v>
      </c>
      <c r="C471" s="201" t="s">
        <v>146</v>
      </c>
      <c r="D471" s="201" t="s">
        <v>156</v>
      </c>
      <c r="E471" s="201" t="s">
        <v>227</v>
      </c>
      <c r="F471" s="201"/>
    </row>
    <row r="472" spans="1:6">
      <c r="A472" s="201" t="s">
        <v>520</v>
      </c>
      <c r="B472" s="207">
        <v>31.5</v>
      </c>
      <c r="C472" s="201" t="s">
        <v>146</v>
      </c>
      <c r="D472" s="201" t="s">
        <v>156</v>
      </c>
      <c r="E472" s="201" t="s">
        <v>228</v>
      </c>
      <c r="F472" s="201"/>
    </row>
    <row r="473" spans="1:6">
      <c r="A473" s="201" t="s">
        <v>521</v>
      </c>
      <c r="B473" s="207">
        <v>28.8</v>
      </c>
      <c r="C473" s="201" t="s">
        <v>146</v>
      </c>
      <c r="D473" s="201" t="s">
        <v>156</v>
      </c>
      <c r="E473" s="201" t="s">
        <v>229</v>
      </c>
      <c r="F473" s="201"/>
    </row>
    <row r="474" spans="1:6">
      <c r="A474" s="201" t="s">
        <v>236</v>
      </c>
      <c r="B474" s="207">
        <v>10.9</v>
      </c>
      <c r="C474" s="201" t="s">
        <v>146</v>
      </c>
      <c r="D474" s="201" t="s">
        <v>156</v>
      </c>
      <c r="E474" s="201" t="s">
        <v>226</v>
      </c>
      <c r="F474" s="201"/>
    </row>
    <row r="475" spans="1:6">
      <c r="A475" s="201" t="s">
        <v>522</v>
      </c>
      <c r="B475" s="207">
        <v>10.6</v>
      </c>
      <c r="C475" s="201" t="s">
        <v>146</v>
      </c>
      <c r="D475" s="201" t="s">
        <v>156</v>
      </c>
      <c r="E475" s="201" t="s">
        <v>227</v>
      </c>
      <c r="F475" s="201"/>
    </row>
    <row r="476" spans="1:6">
      <c r="A476" s="201" t="s">
        <v>523</v>
      </c>
      <c r="B476" s="207">
        <v>10.9</v>
      </c>
      <c r="C476" s="201" t="s">
        <v>146</v>
      </c>
      <c r="D476" s="201" t="s">
        <v>156</v>
      </c>
      <c r="E476" s="201" t="s">
        <v>228</v>
      </c>
      <c r="F476" s="201"/>
    </row>
    <row r="477" spans="1:6">
      <c r="A477" s="201" t="s">
        <v>524</v>
      </c>
      <c r="B477" s="207">
        <v>10</v>
      </c>
      <c r="C477" s="201" t="s">
        <v>146</v>
      </c>
      <c r="D477" s="201" t="s">
        <v>156</v>
      </c>
      <c r="E477" s="201" t="s">
        <v>229</v>
      </c>
      <c r="F477" s="201"/>
    </row>
    <row r="478" spans="1:6">
      <c r="A478" s="201" t="s">
        <v>237</v>
      </c>
      <c r="B478" s="207">
        <v>16.899999999999999</v>
      </c>
      <c r="C478" s="201" t="s">
        <v>146</v>
      </c>
      <c r="D478" s="201" t="s">
        <v>156</v>
      </c>
      <c r="E478" s="201" t="s">
        <v>226</v>
      </c>
      <c r="F478" s="201"/>
    </row>
    <row r="479" spans="1:6">
      <c r="A479" s="201" t="s">
        <v>525</v>
      </c>
      <c r="B479" s="207">
        <v>15.4</v>
      </c>
      <c r="C479" s="201" t="s">
        <v>146</v>
      </c>
      <c r="D479" s="201" t="s">
        <v>156</v>
      </c>
      <c r="E479" s="201" t="s">
        <v>227</v>
      </c>
      <c r="F479" s="201"/>
    </row>
    <row r="480" spans="1:6">
      <c r="A480" s="201" t="s">
        <v>526</v>
      </c>
      <c r="B480" s="207">
        <v>17.3</v>
      </c>
      <c r="C480" s="201" t="s">
        <v>146</v>
      </c>
      <c r="D480" s="201" t="s">
        <v>156</v>
      </c>
      <c r="E480" s="201" t="s">
        <v>228</v>
      </c>
      <c r="F480" s="201"/>
    </row>
    <row r="481" spans="1:6">
      <c r="A481" s="201" t="s">
        <v>527</v>
      </c>
      <c r="B481" s="207">
        <v>16.3</v>
      </c>
      <c r="C481" s="201" t="s">
        <v>146</v>
      </c>
      <c r="D481" s="201" t="s">
        <v>156</v>
      </c>
      <c r="E481" s="201" t="s">
        <v>229</v>
      </c>
      <c r="F481" s="201"/>
    </row>
    <row r="482" spans="1:6">
      <c r="A482" s="201" t="s">
        <v>238</v>
      </c>
      <c r="B482" s="207">
        <v>23.9</v>
      </c>
      <c r="C482" s="201" t="s">
        <v>146</v>
      </c>
      <c r="D482" s="201" t="s">
        <v>156</v>
      </c>
      <c r="E482" s="201" t="s">
        <v>226</v>
      </c>
      <c r="F482" s="201"/>
    </row>
    <row r="483" spans="1:6">
      <c r="A483" s="201" t="s">
        <v>528</v>
      </c>
      <c r="B483" s="207">
        <v>20.9</v>
      </c>
      <c r="C483" s="201" t="s">
        <v>146</v>
      </c>
      <c r="D483" s="201" t="s">
        <v>156</v>
      </c>
      <c r="E483" s="201" t="s">
        <v>227</v>
      </c>
      <c r="F483" s="201"/>
    </row>
    <row r="484" spans="1:6">
      <c r="A484" s="201" t="s">
        <v>529</v>
      </c>
      <c r="B484" s="207">
        <v>26.9</v>
      </c>
      <c r="C484" s="201" t="s">
        <v>146</v>
      </c>
      <c r="D484" s="201" t="s">
        <v>156</v>
      </c>
      <c r="E484" s="201" t="s">
        <v>228</v>
      </c>
      <c r="F484" s="201"/>
    </row>
    <row r="485" spans="1:6">
      <c r="A485" s="201" t="s">
        <v>530</v>
      </c>
      <c r="B485" s="207">
        <v>23.1</v>
      </c>
      <c r="C485" s="201" t="s">
        <v>146</v>
      </c>
      <c r="D485" s="201" t="s">
        <v>156</v>
      </c>
      <c r="E485" s="201" t="s">
        <v>229</v>
      </c>
      <c r="F485" s="201"/>
    </row>
    <row r="486" spans="1:6">
      <c r="A486" s="201" t="s">
        <v>239</v>
      </c>
      <c r="B486" s="207">
        <v>26.9</v>
      </c>
      <c r="C486" s="201" t="s">
        <v>146</v>
      </c>
      <c r="D486" s="201" t="s">
        <v>156</v>
      </c>
      <c r="E486" s="201" t="s">
        <v>226</v>
      </c>
      <c r="F486" s="201"/>
    </row>
    <row r="487" spans="1:6">
      <c r="A487" s="201" t="s">
        <v>531</v>
      </c>
      <c r="B487" s="207">
        <v>22.9</v>
      </c>
      <c r="C487" s="201" t="s">
        <v>146</v>
      </c>
      <c r="D487" s="201" t="s">
        <v>156</v>
      </c>
      <c r="E487" s="201" t="s">
        <v>227</v>
      </c>
      <c r="F487" s="201"/>
    </row>
    <row r="488" spans="1:6">
      <c r="A488" s="201" t="s">
        <v>532</v>
      </c>
      <c r="B488" s="207">
        <v>28.4</v>
      </c>
      <c r="C488" s="201" t="s">
        <v>146</v>
      </c>
      <c r="D488" s="201" t="s">
        <v>156</v>
      </c>
      <c r="E488" s="201" t="s">
        <v>228</v>
      </c>
      <c r="F488" s="201"/>
    </row>
    <row r="489" spans="1:6">
      <c r="A489" s="201" t="s">
        <v>533</v>
      </c>
      <c r="B489" s="207">
        <v>25.7</v>
      </c>
      <c r="C489" s="201" t="s">
        <v>146</v>
      </c>
      <c r="D489" s="201" t="s">
        <v>156</v>
      </c>
      <c r="E489" s="201" t="s">
        <v>229</v>
      </c>
      <c r="F489" s="201"/>
    </row>
    <row r="490" spans="1:6">
      <c r="A490" s="201" t="s">
        <v>240</v>
      </c>
      <c r="B490" s="207">
        <v>11.2</v>
      </c>
      <c r="C490" s="201" t="s">
        <v>146</v>
      </c>
      <c r="D490" s="201" t="s">
        <v>156</v>
      </c>
      <c r="E490" s="201" t="s">
        <v>226</v>
      </c>
      <c r="F490" s="201"/>
    </row>
    <row r="491" spans="1:6">
      <c r="A491" s="201" t="s">
        <v>534</v>
      </c>
      <c r="B491" s="207">
        <v>9.9</v>
      </c>
      <c r="C491" s="201" t="s">
        <v>146</v>
      </c>
      <c r="D491" s="201" t="s">
        <v>156</v>
      </c>
      <c r="E491" s="201" t="s">
        <v>227</v>
      </c>
      <c r="F491" s="201"/>
    </row>
    <row r="492" spans="1:6">
      <c r="A492" s="201" t="s">
        <v>535</v>
      </c>
      <c r="B492" s="207">
        <v>10.199999999999999</v>
      </c>
      <c r="C492" s="201" t="s">
        <v>146</v>
      </c>
      <c r="D492" s="201" t="s">
        <v>156</v>
      </c>
      <c r="E492" s="201" t="s">
        <v>228</v>
      </c>
      <c r="F492" s="201"/>
    </row>
    <row r="493" spans="1:6">
      <c r="A493" s="201" t="s">
        <v>536</v>
      </c>
      <c r="B493" s="207">
        <v>9.1999999999999993</v>
      </c>
      <c r="C493" s="201" t="s">
        <v>146</v>
      </c>
      <c r="D493" s="201" t="s">
        <v>156</v>
      </c>
      <c r="E493" s="201" t="s">
        <v>229</v>
      </c>
      <c r="F493" s="201"/>
    </row>
    <row r="494" spans="1:6">
      <c r="A494" s="201" t="s">
        <v>241</v>
      </c>
      <c r="B494" s="207">
        <v>16.7</v>
      </c>
      <c r="C494" s="201" t="s">
        <v>146</v>
      </c>
      <c r="D494" s="201" t="s">
        <v>156</v>
      </c>
      <c r="E494" s="201" t="s">
        <v>226</v>
      </c>
      <c r="F494" s="201"/>
    </row>
    <row r="495" spans="1:6">
      <c r="A495" s="201" t="s">
        <v>537</v>
      </c>
      <c r="B495" s="207">
        <v>15.2</v>
      </c>
      <c r="C495" s="201" t="s">
        <v>146</v>
      </c>
      <c r="D495" s="201" t="s">
        <v>156</v>
      </c>
      <c r="E495" s="201" t="s">
        <v>227</v>
      </c>
      <c r="F495" s="201"/>
    </row>
    <row r="496" spans="1:6">
      <c r="A496" s="201" t="s">
        <v>538</v>
      </c>
      <c r="B496" s="207">
        <v>17.3</v>
      </c>
      <c r="C496" s="201" t="s">
        <v>146</v>
      </c>
      <c r="D496" s="201" t="s">
        <v>156</v>
      </c>
      <c r="E496" s="201" t="s">
        <v>228</v>
      </c>
      <c r="F496" s="201"/>
    </row>
    <row r="497" spans="1:54">
      <c r="A497" s="201" t="s">
        <v>539</v>
      </c>
      <c r="B497" s="207">
        <v>16.100000000000001</v>
      </c>
      <c r="C497" s="201" t="s">
        <v>146</v>
      </c>
      <c r="D497" s="201" t="s">
        <v>156</v>
      </c>
      <c r="E497" s="201" t="s">
        <v>229</v>
      </c>
      <c r="F497" s="201"/>
    </row>
    <row r="498" spans="1:54">
      <c r="A498" s="201" t="s">
        <v>242</v>
      </c>
      <c r="B498" s="207">
        <v>24.4</v>
      </c>
      <c r="C498" s="201" t="s">
        <v>146</v>
      </c>
      <c r="D498" s="201" t="s">
        <v>156</v>
      </c>
      <c r="E498" s="201" t="s">
        <v>226</v>
      </c>
      <c r="F498" s="201"/>
    </row>
    <row r="499" spans="1:54">
      <c r="A499" s="201" t="s">
        <v>540</v>
      </c>
      <c r="B499" s="207">
        <v>20.8</v>
      </c>
      <c r="C499" s="201" t="s">
        <v>146</v>
      </c>
      <c r="D499" s="201" t="s">
        <v>156</v>
      </c>
      <c r="E499" s="201" t="s">
        <v>227</v>
      </c>
      <c r="F499" s="201"/>
    </row>
    <row r="500" spans="1:54">
      <c r="A500" s="201" t="s">
        <v>541</v>
      </c>
      <c r="B500" s="207">
        <v>25.6</v>
      </c>
      <c r="C500" s="201" t="s">
        <v>146</v>
      </c>
      <c r="D500" s="201" t="s">
        <v>156</v>
      </c>
      <c r="E500" s="201" t="s">
        <v>228</v>
      </c>
      <c r="F500" s="201"/>
    </row>
    <row r="501" spans="1:54">
      <c r="A501" s="201" t="s">
        <v>542</v>
      </c>
      <c r="B501" s="207">
        <v>23.1</v>
      </c>
      <c r="C501" s="201" t="s">
        <v>146</v>
      </c>
      <c r="D501" s="201" t="s">
        <v>156</v>
      </c>
      <c r="E501" s="201" t="s">
        <v>229</v>
      </c>
      <c r="F501" s="201"/>
    </row>
    <row r="502" spans="1:54">
      <c r="A502" s="201" t="s">
        <v>243</v>
      </c>
      <c r="B502" s="207">
        <v>29.8</v>
      </c>
      <c r="C502" s="201" t="s">
        <v>146</v>
      </c>
      <c r="D502" s="201" t="s">
        <v>156</v>
      </c>
      <c r="E502" s="201" t="s">
        <v>226</v>
      </c>
      <c r="F502" s="201"/>
    </row>
    <row r="503" spans="1:54">
      <c r="A503" s="201" t="s">
        <v>543</v>
      </c>
      <c r="B503" s="207">
        <v>24.8</v>
      </c>
      <c r="C503" s="201" t="s">
        <v>146</v>
      </c>
      <c r="D503" s="201" t="s">
        <v>156</v>
      </c>
      <c r="E503" s="201" t="s">
        <v>227</v>
      </c>
      <c r="F503" s="201"/>
    </row>
    <row r="504" spans="1:54">
      <c r="A504" s="201" t="s">
        <v>544</v>
      </c>
      <c r="B504" s="207">
        <v>30.3</v>
      </c>
      <c r="C504" s="201" t="s">
        <v>146</v>
      </c>
      <c r="D504" s="201" t="s">
        <v>156</v>
      </c>
      <c r="E504" s="201" t="s">
        <v>228</v>
      </c>
      <c r="F504" s="201"/>
    </row>
    <row r="505" spans="1:54">
      <c r="A505" s="201" t="s">
        <v>545</v>
      </c>
      <c r="B505" s="207">
        <v>27.6</v>
      </c>
      <c r="C505" s="201" t="s">
        <v>146</v>
      </c>
      <c r="D505" s="201" t="s">
        <v>156</v>
      </c>
      <c r="E505" s="201" t="s">
        <v>229</v>
      </c>
      <c r="F505" s="201"/>
    </row>
    <row r="506" spans="1:54">
      <c r="A506" s="201" t="s">
        <v>157</v>
      </c>
      <c r="B506" s="207">
        <v>12.7</v>
      </c>
      <c r="C506" s="201" t="s">
        <v>146</v>
      </c>
      <c r="D506" s="201" t="s">
        <v>147</v>
      </c>
      <c r="E506" s="201"/>
      <c r="F506" s="201"/>
    </row>
    <row r="507" spans="1:54">
      <c r="A507" s="201" t="s">
        <v>158</v>
      </c>
      <c r="B507" s="207">
        <v>10.3</v>
      </c>
      <c r="C507" s="201" t="s">
        <v>146</v>
      </c>
      <c r="D507" s="201" t="s">
        <v>147</v>
      </c>
      <c r="E507" s="201" t="s">
        <v>212</v>
      </c>
      <c r="F507" s="201"/>
    </row>
    <row r="508" spans="1:54" s="212" customFormat="1">
      <c r="A508" s="201" t="s">
        <v>159</v>
      </c>
      <c r="B508" s="218">
        <v>18.5</v>
      </c>
      <c r="C508" s="212" t="s">
        <v>146</v>
      </c>
      <c r="D508" s="212" t="s">
        <v>147</v>
      </c>
      <c r="E508" s="212" t="s">
        <v>212</v>
      </c>
      <c r="G508" s="217"/>
      <c r="H508" s="217"/>
      <c r="I508" s="217"/>
      <c r="J508" s="217"/>
      <c r="K508" s="217"/>
      <c r="L508" s="217"/>
      <c r="M508" s="217"/>
      <c r="N508" s="217"/>
      <c r="O508" s="217"/>
      <c r="P508" s="217"/>
      <c r="Q508" s="217"/>
      <c r="R508" s="217"/>
      <c r="S508" s="217"/>
      <c r="T508" s="217"/>
      <c r="U508" s="217"/>
      <c r="V508" s="217"/>
      <c r="W508" s="217"/>
      <c r="X508" s="217"/>
      <c r="Y508" s="217"/>
      <c r="Z508" s="217"/>
      <c r="AA508" s="217"/>
      <c r="AB508" s="217"/>
      <c r="AC508" s="217"/>
      <c r="AD508" s="217"/>
      <c r="AE508" s="217"/>
      <c r="AF508" s="217"/>
      <c r="AG508" s="216"/>
      <c r="AH508" s="215"/>
      <c r="AI508" s="214"/>
      <c r="AJ508" s="217"/>
      <c r="AK508" s="216"/>
      <c r="AL508" s="215"/>
      <c r="AM508" s="214"/>
      <c r="AN508" s="213"/>
      <c r="AO508" s="213"/>
      <c r="AP508" s="213"/>
      <c r="AQ508" s="213"/>
      <c r="AR508" s="213"/>
      <c r="AS508" s="213"/>
      <c r="AT508" s="213"/>
      <c r="AU508" s="213"/>
      <c r="AV508" s="213"/>
      <c r="AW508" s="213"/>
      <c r="AX508" s="213"/>
      <c r="AY508" s="213"/>
      <c r="AZ508" s="213"/>
      <c r="BA508" s="213"/>
      <c r="BB508" s="213"/>
    </row>
    <row r="509" spans="1:54">
      <c r="A509" s="201" t="s">
        <v>160</v>
      </c>
      <c r="B509" s="207">
        <v>14.8</v>
      </c>
      <c r="C509" s="201" t="s">
        <v>146</v>
      </c>
      <c r="D509" s="201" t="s">
        <v>147</v>
      </c>
      <c r="E509" s="201" t="s">
        <v>211</v>
      </c>
      <c r="F509" s="201"/>
    </row>
    <row r="510" spans="1:54">
      <c r="A510" s="201" t="s">
        <v>161</v>
      </c>
      <c r="B510" s="211">
        <v>14.5</v>
      </c>
      <c r="C510" s="201" t="s">
        <v>146</v>
      </c>
      <c r="D510" s="201" t="s">
        <v>214</v>
      </c>
      <c r="E510" s="201" t="s">
        <v>216</v>
      </c>
      <c r="F510" s="201"/>
    </row>
    <row r="511" spans="1:54">
      <c r="A511" s="201" t="s">
        <v>162</v>
      </c>
      <c r="B511" s="211">
        <v>20.5</v>
      </c>
      <c r="C511" s="201" t="s">
        <v>146</v>
      </c>
      <c r="D511" s="201" t="s">
        <v>214</v>
      </c>
      <c r="E511" s="201" t="s">
        <v>216</v>
      </c>
      <c r="F511" s="201"/>
    </row>
    <row r="512" spans="1:54">
      <c r="A512" s="201" t="s">
        <v>163</v>
      </c>
      <c r="B512" s="211">
        <v>23.6</v>
      </c>
      <c r="C512" s="201" t="s">
        <v>146</v>
      </c>
      <c r="D512" s="201" t="s">
        <v>214</v>
      </c>
      <c r="E512" s="201" t="s">
        <v>216</v>
      </c>
      <c r="F512" s="201"/>
    </row>
    <row r="516" spans="1:6">
      <c r="A516" s="201" t="s">
        <v>168</v>
      </c>
      <c r="B516" s="207">
        <v>20</v>
      </c>
      <c r="C516" s="201" t="s">
        <v>146</v>
      </c>
      <c r="D516" s="201" t="s">
        <v>147</v>
      </c>
      <c r="E516" s="201" t="s">
        <v>169</v>
      </c>
      <c r="F516" s="201"/>
    </row>
    <row r="517" spans="1:6">
      <c r="A517" s="208"/>
      <c r="B517" s="207"/>
      <c r="E517" s="201"/>
      <c r="F517" s="201"/>
    </row>
    <row r="518" spans="1:6">
      <c r="A518" s="201" t="s">
        <v>171</v>
      </c>
      <c r="B518" s="207">
        <v>14.7</v>
      </c>
      <c r="C518" s="201" t="s">
        <v>146</v>
      </c>
      <c r="D518" s="201" t="s">
        <v>156</v>
      </c>
      <c r="E518" s="201" t="s">
        <v>217</v>
      </c>
      <c r="F518" s="201"/>
    </row>
    <row r="519" spans="1:6">
      <c r="A519" s="201" t="s">
        <v>172</v>
      </c>
      <c r="B519" s="207">
        <v>19.600000000000001</v>
      </c>
      <c r="C519" s="201" t="s">
        <v>146</v>
      </c>
      <c r="D519" s="201" t="s">
        <v>156</v>
      </c>
      <c r="E519" s="201" t="s">
        <v>217</v>
      </c>
      <c r="F519" s="201"/>
    </row>
    <row r="520" spans="1:6">
      <c r="A520" s="201" t="s">
        <v>173</v>
      </c>
      <c r="B520" s="207">
        <v>23.7</v>
      </c>
      <c r="C520" s="201" t="s">
        <v>146</v>
      </c>
      <c r="D520" s="201" t="s">
        <v>156</v>
      </c>
      <c r="E520" s="201" t="s">
        <v>217</v>
      </c>
      <c r="F520" s="201"/>
    </row>
    <row r="521" spans="1:6">
      <c r="A521" s="201" t="s">
        <v>174</v>
      </c>
      <c r="B521" s="207" t="s">
        <v>175</v>
      </c>
      <c r="C521" s="201" t="s">
        <v>146</v>
      </c>
      <c r="D521" s="201" t="s">
        <v>176</v>
      </c>
      <c r="E521" s="201" t="s">
        <v>169</v>
      </c>
      <c r="F521" s="201"/>
    </row>
    <row r="522" spans="1:6">
      <c r="A522" s="210" t="s">
        <v>180</v>
      </c>
      <c r="B522" s="207">
        <v>13</v>
      </c>
      <c r="C522" s="201" t="s">
        <v>146</v>
      </c>
      <c r="D522" s="201" t="s">
        <v>156</v>
      </c>
      <c r="E522" s="201" t="s">
        <v>169</v>
      </c>
      <c r="F522" s="201"/>
    </row>
    <row r="523" spans="1:6">
      <c r="A523" s="210" t="s">
        <v>181</v>
      </c>
      <c r="B523" s="207">
        <v>18.600000000000001</v>
      </c>
      <c r="C523" s="201" t="s">
        <v>146</v>
      </c>
      <c r="D523" s="201" t="s">
        <v>156</v>
      </c>
      <c r="E523" s="201" t="s">
        <v>169</v>
      </c>
      <c r="F523" s="201"/>
    </row>
    <row r="524" spans="1:6">
      <c r="A524" s="210" t="s">
        <v>182</v>
      </c>
      <c r="B524" s="207">
        <v>13.1</v>
      </c>
      <c r="C524" s="201" t="s">
        <v>146</v>
      </c>
      <c r="D524" s="201" t="s">
        <v>156</v>
      </c>
      <c r="E524" s="201" t="s">
        <v>169</v>
      </c>
      <c r="F524" s="201"/>
    </row>
    <row r="525" spans="1:6">
      <c r="A525" s="210" t="s">
        <v>183</v>
      </c>
      <c r="B525" s="207">
        <v>21.3</v>
      </c>
      <c r="C525" s="201" t="s">
        <v>146</v>
      </c>
      <c r="D525" s="201" t="s">
        <v>156</v>
      </c>
      <c r="E525" s="201" t="s">
        <v>169</v>
      </c>
      <c r="F525" s="201"/>
    </row>
    <row r="526" spans="1:6">
      <c r="A526" s="210" t="s">
        <v>184</v>
      </c>
      <c r="B526" s="207">
        <v>10.8</v>
      </c>
      <c r="C526" s="201" t="s">
        <v>146</v>
      </c>
      <c r="D526" s="201" t="s">
        <v>156</v>
      </c>
      <c r="E526" s="201" t="s">
        <v>169</v>
      </c>
      <c r="F526" s="201"/>
    </row>
    <row r="527" spans="1:6">
      <c r="A527" s="210" t="s">
        <v>185</v>
      </c>
      <c r="B527" s="207">
        <v>19.600000000000001</v>
      </c>
      <c r="C527" s="201" t="s">
        <v>146</v>
      </c>
      <c r="D527" s="201" t="s">
        <v>156</v>
      </c>
      <c r="E527" s="201" t="s">
        <v>169</v>
      </c>
      <c r="F527" s="201"/>
    </row>
    <row r="528" spans="1:6">
      <c r="A528" s="210" t="s">
        <v>186</v>
      </c>
      <c r="B528" s="207">
        <v>10.3</v>
      </c>
      <c r="C528" s="201" t="s">
        <v>146</v>
      </c>
      <c r="D528" s="201" t="s">
        <v>156</v>
      </c>
      <c r="E528" s="201" t="s">
        <v>169</v>
      </c>
      <c r="F528" s="201"/>
    </row>
    <row r="529" spans="1:6">
      <c r="A529" s="210" t="s">
        <v>187</v>
      </c>
      <c r="B529" s="207">
        <v>18.600000000000001</v>
      </c>
      <c r="C529" s="201" t="s">
        <v>146</v>
      </c>
      <c r="D529" s="201" t="s">
        <v>156</v>
      </c>
      <c r="E529" s="201" t="s">
        <v>169</v>
      </c>
      <c r="F529" s="201"/>
    </row>
    <row r="530" spans="1:6">
      <c r="A530" s="201" t="s">
        <v>463</v>
      </c>
      <c r="B530" s="207">
        <v>14.7</v>
      </c>
      <c r="C530" s="201" t="s">
        <v>146</v>
      </c>
      <c r="D530" s="201" t="s">
        <v>466</v>
      </c>
      <c r="E530" s="201" t="s">
        <v>462</v>
      </c>
      <c r="F530" s="201"/>
    </row>
    <row r="531" spans="1:6">
      <c r="A531" s="201" t="s">
        <v>464</v>
      </c>
      <c r="B531" s="207">
        <v>19.600000000000001</v>
      </c>
      <c r="C531" s="201" t="s">
        <v>146</v>
      </c>
      <c r="D531" s="201" t="s">
        <v>466</v>
      </c>
      <c r="E531" s="201" t="s">
        <v>462</v>
      </c>
      <c r="F531" s="201"/>
    </row>
    <row r="532" spans="1:6">
      <c r="A532" s="201" t="s">
        <v>465</v>
      </c>
      <c r="B532" s="207">
        <v>23.7</v>
      </c>
      <c r="C532" s="201" t="s">
        <v>146</v>
      </c>
      <c r="D532" s="201" t="s">
        <v>466</v>
      </c>
      <c r="E532" s="201" t="s">
        <v>462</v>
      </c>
      <c r="F532" s="201"/>
    </row>
    <row r="533" spans="1:6">
      <c r="A533" s="201" t="s">
        <v>188</v>
      </c>
      <c r="B533" s="207">
        <v>14.8</v>
      </c>
      <c r="C533" s="201" t="s">
        <v>146</v>
      </c>
      <c r="D533" s="201" t="s">
        <v>147</v>
      </c>
      <c r="E533" s="201" t="s">
        <v>169</v>
      </c>
      <c r="F533" s="201"/>
    </row>
    <row r="534" spans="1:6">
      <c r="A534" s="201" t="s">
        <v>473</v>
      </c>
      <c r="B534" s="207">
        <v>14.5</v>
      </c>
      <c r="C534" s="201" t="s">
        <v>146</v>
      </c>
      <c r="D534" s="201" t="s">
        <v>214</v>
      </c>
      <c r="E534" s="201" t="s">
        <v>479</v>
      </c>
      <c r="F534" s="201"/>
    </row>
    <row r="535" spans="1:6">
      <c r="A535" s="201" t="s">
        <v>474</v>
      </c>
      <c r="B535" s="207">
        <v>20.5</v>
      </c>
      <c r="C535" s="201" t="s">
        <v>146</v>
      </c>
      <c r="D535" s="201" t="s">
        <v>214</v>
      </c>
      <c r="E535" s="201" t="s">
        <v>479</v>
      </c>
      <c r="F535" s="201"/>
    </row>
    <row r="536" spans="1:6">
      <c r="A536" s="201" t="s">
        <v>475</v>
      </c>
      <c r="B536" s="207">
        <v>23.6</v>
      </c>
      <c r="C536" s="201" t="s">
        <v>146</v>
      </c>
      <c r="D536" s="201" t="s">
        <v>214</v>
      </c>
      <c r="E536" s="201" t="s">
        <v>479</v>
      </c>
      <c r="F536" s="201"/>
    </row>
    <row r="537" spans="1:6">
      <c r="A537" s="201" t="s">
        <v>476</v>
      </c>
      <c r="B537" s="207">
        <v>14.7</v>
      </c>
      <c r="C537" s="201" t="s">
        <v>146</v>
      </c>
      <c r="D537" s="201" t="s">
        <v>156</v>
      </c>
      <c r="E537" s="201" t="s">
        <v>217</v>
      </c>
      <c r="F537" s="201"/>
    </row>
    <row r="538" spans="1:6">
      <c r="A538" s="201" t="s">
        <v>477</v>
      </c>
      <c r="B538" s="207">
        <v>19.600000000000001</v>
      </c>
      <c r="C538" s="201" t="s">
        <v>146</v>
      </c>
      <c r="D538" s="201" t="s">
        <v>156</v>
      </c>
      <c r="E538" s="201" t="s">
        <v>217</v>
      </c>
      <c r="F538" s="201"/>
    </row>
    <row r="539" spans="1:6">
      <c r="A539" s="201" t="s">
        <v>478</v>
      </c>
      <c r="B539" s="207">
        <v>23.7</v>
      </c>
      <c r="C539" s="201" t="s">
        <v>146</v>
      </c>
      <c r="D539" s="201" t="s">
        <v>156</v>
      </c>
      <c r="E539" s="201" t="s">
        <v>217</v>
      </c>
      <c r="F539" s="201"/>
    </row>
    <row r="540" spans="1:6">
      <c r="A540" s="201" t="s">
        <v>480</v>
      </c>
      <c r="B540" s="207">
        <v>10.9</v>
      </c>
      <c r="C540" s="201" t="s">
        <v>146</v>
      </c>
      <c r="D540" s="201" t="s">
        <v>156</v>
      </c>
      <c r="E540" s="201" t="s">
        <v>467</v>
      </c>
      <c r="F540" s="201"/>
    </row>
    <row r="541" spans="1:6">
      <c r="A541" s="201" t="s">
        <v>481</v>
      </c>
      <c r="B541" s="207">
        <v>10.6</v>
      </c>
      <c r="C541" s="201" t="s">
        <v>146</v>
      </c>
      <c r="D541" s="201" t="s">
        <v>156</v>
      </c>
      <c r="E541" s="201" t="s">
        <v>467</v>
      </c>
      <c r="F541" s="201"/>
    </row>
    <row r="542" spans="1:6">
      <c r="A542" s="201" t="s">
        <v>482</v>
      </c>
      <c r="B542" s="207">
        <v>10.9</v>
      </c>
      <c r="C542" s="201" t="s">
        <v>146</v>
      </c>
      <c r="D542" s="201" t="s">
        <v>156</v>
      </c>
      <c r="E542" s="201" t="s">
        <v>467</v>
      </c>
      <c r="F542" s="201"/>
    </row>
    <row r="543" spans="1:6">
      <c r="A543" s="201" t="s">
        <v>483</v>
      </c>
      <c r="B543" s="207">
        <v>9.9</v>
      </c>
      <c r="C543" s="201" t="s">
        <v>146</v>
      </c>
      <c r="D543" s="201" t="s">
        <v>156</v>
      </c>
      <c r="E543" s="201" t="s">
        <v>467</v>
      </c>
      <c r="F543" s="201"/>
    </row>
    <row r="544" spans="1:6">
      <c r="A544" s="201" t="s">
        <v>484</v>
      </c>
      <c r="B544" s="207">
        <v>16.5</v>
      </c>
      <c r="C544" s="201" t="s">
        <v>146</v>
      </c>
      <c r="D544" s="201" t="s">
        <v>156</v>
      </c>
      <c r="E544" s="201" t="s">
        <v>467</v>
      </c>
      <c r="F544" s="201"/>
    </row>
    <row r="545" spans="1:6">
      <c r="A545" s="201" t="s">
        <v>485</v>
      </c>
      <c r="B545" s="207">
        <v>15</v>
      </c>
      <c r="C545" s="201" t="s">
        <v>146</v>
      </c>
      <c r="D545" s="201" t="s">
        <v>156</v>
      </c>
      <c r="E545" s="201" t="s">
        <v>467</v>
      </c>
      <c r="F545" s="201"/>
    </row>
    <row r="546" spans="1:6">
      <c r="A546" s="201" t="s">
        <v>486</v>
      </c>
      <c r="B546" s="207">
        <v>16.899999999999999</v>
      </c>
      <c r="C546" s="201" t="s">
        <v>146</v>
      </c>
      <c r="D546" s="201" t="s">
        <v>156</v>
      </c>
      <c r="E546" s="201" t="s">
        <v>467</v>
      </c>
      <c r="F546" s="201"/>
    </row>
    <row r="547" spans="1:6">
      <c r="A547" s="201" t="s">
        <v>487</v>
      </c>
      <c r="B547" s="207">
        <v>15.9</v>
      </c>
      <c r="C547" s="201" t="s">
        <v>146</v>
      </c>
      <c r="D547" s="201" t="s">
        <v>156</v>
      </c>
      <c r="E547" s="201" t="s">
        <v>467</v>
      </c>
      <c r="F547" s="201"/>
    </row>
    <row r="548" spans="1:6">
      <c r="A548" s="201" t="s">
        <v>488</v>
      </c>
      <c r="B548" s="207">
        <v>25.1</v>
      </c>
      <c r="C548" s="201" t="s">
        <v>146</v>
      </c>
      <c r="D548" s="201" t="s">
        <v>156</v>
      </c>
      <c r="E548" s="201" t="s">
        <v>467</v>
      </c>
      <c r="F548" s="201"/>
    </row>
    <row r="549" spans="1:6">
      <c r="A549" s="201" t="s">
        <v>546</v>
      </c>
      <c r="B549" s="207">
        <v>21.5</v>
      </c>
      <c r="C549" s="201" t="s">
        <v>146</v>
      </c>
      <c r="D549" s="201" t="s">
        <v>156</v>
      </c>
      <c r="E549" s="201"/>
      <c r="F549" s="201"/>
    </row>
    <row r="550" spans="1:6">
      <c r="A550" s="201" t="s">
        <v>547</v>
      </c>
      <c r="B550" s="207">
        <v>26.3</v>
      </c>
      <c r="C550" s="201" t="s">
        <v>146</v>
      </c>
      <c r="D550" s="201" t="s">
        <v>156</v>
      </c>
      <c r="E550" s="201"/>
      <c r="F550" s="201"/>
    </row>
    <row r="551" spans="1:6">
      <c r="A551" s="201" t="s">
        <v>548</v>
      </c>
      <c r="B551" s="207">
        <v>23.9</v>
      </c>
      <c r="C551" s="201" t="s">
        <v>146</v>
      </c>
      <c r="D551" s="201" t="s">
        <v>156</v>
      </c>
      <c r="E551" s="201" t="s">
        <v>467</v>
      </c>
      <c r="F551" s="201"/>
    </row>
    <row r="552" spans="1:6">
      <c r="A552" s="201" t="s">
        <v>489</v>
      </c>
      <c r="B552" s="207">
        <v>28.7</v>
      </c>
      <c r="C552" s="201" t="s">
        <v>146</v>
      </c>
      <c r="D552" s="201" t="s">
        <v>156</v>
      </c>
      <c r="E552" s="201"/>
      <c r="F552" s="201"/>
    </row>
    <row r="553" spans="1:6">
      <c r="A553" s="201" t="s">
        <v>606</v>
      </c>
      <c r="B553" s="207">
        <v>23.7</v>
      </c>
      <c r="C553" s="201" t="s">
        <v>146</v>
      </c>
      <c r="D553" s="201" t="s">
        <v>156</v>
      </c>
      <c r="E553" s="201"/>
      <c r="F553" s="201"/>
    </row>
    <row r="554" spans="1:6">
      <c r="A554" s="201" t="s">
        <v>607</v>
      </c>
      <c r="B554" s="207">
        <v>29.2</v>
      </c>
      <c r="C554" s="201" t="s">
        <v>146</v>
      </c>
      <c r="D554" s="201" t="s">
        <v>156</v>
      </c>
      <c r="E554" s="201"/>
      <c r="F554" s="201"/>
    </row>
    <row r="555" spans="1:6">
      <c r="A555" s="201" t="s">
        <v>608</v>
      </c>
      <c r="B555" s="207">
        <v>26.5</v>
      </c>
      <c r="C555" s="201" t="s">
        <v>146</v>
      </c>
      <c r="D555" s="201" t="s">
        <v>156</v>
      </c>
      <c r="E555" s="201"/>
      <c r="F555" s="201"/>
    </row>
    <row r="556" spans="1:6">
      <c r="A556" s="201" t="s">
        <v>490</v>
      </c>
      <c r="B556" s="207">
        <v>12</v>
      </c>
      <c r="C556" s="201" t="s">
        <v>146</v>
      </c>
      <c r="D556" s="201" t="s">
        <v>156</v>
      </c>
      <c r="E556" s="201" t="s">
        <v>467</v>
      </c>
      <c r="F556" s="201"/>
    </row>
    <row r="557" spans="1:6">
      <c r="A557" s="201" t="s">
        <v>609</v>
      </c>
      <c r="B557" s="207">
        <v>11.7</v>
      </c>
      <c r="C557" s="201" t="s">
        <v>146</v>
      </c>
      <c r="D557" s="201" t="s">
        <v>156</v>
      </c>
      <c r="E557" s="201"/>
      <c r="F557" s="201"/>
    </row>
    <row r="558" spans="1:6">
      <c r="A558" s="201" t="s">
        <v>610</v>
      </c>
      <c r="B558" s="207">
        <v>12</v>
      </c>
      <c r="C558" s="201" t="s">
        <v>146</v>
      </c>
      <c r="D558" s="201" t="s">
        <v>156</v>
      </c>
      <c r="E558" s="201"/>
      <c r="F558" s="201"/>
    </row>
    <row r="559" spans="1:6">
      <c r="A559" s="201" t="s">
        <v>611</v>
      </c>
      <c r="B559" s="207">
        <v>11.2</v>
      </c>
      <c r="C559" s="201" t="s">
        <v>146</v>
      </c>
      <c r="D559" s="201" t="s">
        <v>156</v>
      </c>
      <c r="E559" s="201"/>
      <c r="F559" s="201"/>
    </row>
    <row r="560" spans="1:6">
      <c r="A560" s="201" t="s">
        <v>491</v>
      </c>
      <c r="B560" s="207">
        <v>19.7</v>
      </c>
      <c r="C560" s="201" t="s">
        <v>146</v>
      </c>
      <c r="D560" s="201" t="s">
        <v>156</v>
      </c>
      <c r="E560" s="201" t="s">
        <v>467</v>
      </c>
      <c r="F560" s="201"/>
    </row>
    <row r="561" spans="1:6">
      <c r="A561" s="201" t="s">
        <v>612</v>
      </c>
      <c r="B561" s="207">
        <v>17.2</v>
      </c>
      <c r="C561" s="201" t="s">
        <v>146</v>
      </c>
      <c r="D561" s="201" t="s">
        <v>156</v>
      </c>
      <c r="E561" s="201"/>
      <c r="F561" s="201"/>
    </row>
    <row r="562" spans="1:6">
      <c r="A562" s="201" t="s">
        <v>613</v>
      </c>
      <c r="B562" s="207">
        <v>20.5</v>
      </c>
      <c r="C562" s="201" t="s">
        <v>146</v>
      </c>
      <c r="D562" s="201" t="s">
        <v>156</v>
      </c>
      <c r="E562" s="201"/>
      <c r="F562" s="201"/>
    </row>
    <row r="563" spans="1:6">
      <c r="A563" s="201" t="s">
        <v>614</v>
      </c>
      <c r="B563" s="207">
        <v>19</v>
      </c>
      <c r="C563" s="201" t="s">
        <v>146</v>
      </c>
      <c r="D563" s="201" t="s">
        <v>156</v>
      </c>
      <c r="E563" s="201"/>
      <c r="F563" s="201"/>
    </row>
    <row r="564" spans="1:6">
      <c r="A564" s="201" t="s">
        <v>492</v>
      </c>
      <c r="B564" s="207">
        <v>23.9</v>
      </c>
      <c r="C564" s="201" t="s">
        <v>146</v>
      </c>
      <c r="D564" s="201" t="s">
        <v>156</v>
      </c>
      <c r="E564" s="201"/>
      <c r="F564" s="201"/>
    </row>
    <row r="565" spans="1:6">
      <c r="A565" s="201" t="s">
        <v>615</v>
      </c>
      <c r="B565" s="207">
        <v>20.9</v>
      </c>
      <c r="C565" s="201" t="s">
        <v>146</v>
      </c>
      <c r="D565" s="201" t="s">
        <v>156</v>
      </c>
      <c r="E565" s="201"/>
      <c r="F565" s="201"/>
    </row>
    <row r="566" spans="1:6">
      <c r="A566" s="201" t="s">
        <v>616</v>
      </c>
      <c r="B566" s="207">
        <v>26.9</v>
      </c>
      <c r="C566" s="201" t="s">
        <v>146</v>
      </c>
      <c r="D566" s="201" t="s">
        <v>156</v>
      </c>
      <c r="E566" s="201"/>
      <c r="F566" s="201"/>
    </row>
    <row r="567" spans="1:6">
      <c r="A567" s="201" t="s">
        <v>617</v>
      </c>
      <c r="B567" s="207">
        <v>23.1</v>
      </c>
      <c r="C567" s="201" t="s">
        <v>146</v>
      </c>
      <c r="D567" s="201" t="s">
        <v>156</v>
      </c>
      <c r="E567" s="201"/>
      <c r="F567" s="201"/>
    </row>
    <row r="568" spans="1:6">
      <c r="A568" s="201" t="s">
        <v>493</v>
      </c>
      <c r="B568" s="207">
        <v>31</v>
      </c>
      <c r="C568" s="201" t="s">
        <v>146</v>
      </c>
      <c r="D568" s="201" t="s">
        <v>156</v>
      </c>
      <c r="E568" s="201" t="s">
        <v>467</v>
      </c>
      <c r="F568" s="201"/>
    </row>
    <row r="569" spans="1:6">
      <c r="A569" s="201" t="s">
        <v>618</v>
      </c>
      <c r="B569" s="207">
        <v>26</v>
      </c>
      <c r="C569" s="201" t="s">
        <v>146</v>
      </c>
      <c r="D569" s="201" t="s">
        <v>156</v>
      </c>
      <c r="E569" s="201"/>
      <c r="F569" s="201"/>
    </row>
    <row r="570" spans="1:6">
      <c r="A570" s="201" t="s">
        <v>619</v>
      </c>
      <c r="B570" s="207">
        <v>31.5</v>
      </c>
      <c r="C570" s="201" t="s">
        <v>146</v>
      </c>
      <c r="D570" s="201" t="s">
        <v>156</v>
      </c>
      <c r="E570" s="201"/>
      <c r="F570" s="201"/>
    </row>
    <row r="571" spans="1:6">
      <c r="A571" s="201" t="s">
        <v>620</v>
      </c>
      <c r="B571" s="207">
        <v>28.8</v>
      </c>
      <c r="C571" s="201" t="s">
        <v>146</v>
      </c>
      <c r="D571" s="201" t="s">
        <v>156</v>
      </c>
      <c r="E571" s="201"/>
      <c r="F571" s="201"/>
    </row>
    <row r="572" spans="1:6">
      <c r="A572" s="201" t="s">
        <v>494</v>
      </c>
      <c r="B572" s="207">
        <v>10.9</v>
      </c>
      <c r="C572" s="201" t="s">
        <v>146</v>
      </c>
      <c r="D572" s="201" t="s">
        <v>156</v>
      </c>
      <c r="E572" s="201" t="s">
        <v>467</v>
      </c>
      <c r="F572" s="201"/>
    </row>
    <row r="573" spans="1:6">
      <c r="A573" s="201" t="s">
        <v>621</v>
      </c>
      <c r="B573" s="207">
        <v>10.6</v>
      </c>
      <c r="C573" s="201" t="s">
        <v>146</v>
      </c>
      <c r="D573" s="201" t="s">
        <v>156</v>
      </c>
      <c r="E573" s="201"/>
      <c r="F573" s="201"/>
    </row>
    <row r="574" spans="1:6">
      <c r="A574" s="201" t="s">
        <v>622</v>
      </c>
      <c r="B574" s="207">
        <v>10.9</v>
      </c>
      <c r="C574" s="201" t="s">
        <v>146</v>
      </c>
      <c r="D574" s="201" t="s">
        <v>156</v>
      </c>
      <c r="E574" s="201"/>
      <c r="F574" s="201"/>
    </row>
    <row r="575" spans="1:6">
      <c r="A575" s="201" t="s">
        <v>623</v>
      </c>
      <c r="B575" s="207">
        <v>10</v>
      </c>
      <c r="C575" s="201" t="s">
        <v>146</v>
      </c>
      <c r="D575" s="201" t="s">
        <v>156</v>
      </c>
      <c r="E575" s="201"/>
      <c r="F575" s="201"/>
    </row>
    <row r="576" spans="1:6">
      <c r="A576" s="201" t="s">
        <v>495</v>
      </c>
      <c r="B576" s="207">
        <v>16.899999999999999</v>
      </c>
      <c r="C576" s="201" t="s">
        <v>146</v>
      </c>
      <c r="D576" s="201" t="s">
        <v>156</v>
      </c>
      <c r="E576" s="201" t="s">
        <v>467</v>
      </c>
      <c r="F576" s="201"/>
    </row>
    <row r="577" spans="1:6">
      <c r="A577" s="201" t="s">
        <v>624</v>
      </c>
      <c r="B577" s="207">
        <v>15.4</v>
      </c>
      <c r="C577" s="201" t="s">
        <v>146</v>
      </c>
      <c r="D577" s="201" t="s">
        <v>156</v>
      </c>
      <c r="E577" s="201"/>
      <c r="F577" s="201"/>
    </row>
    <row r="578" spans="1:6">
      <c r="A578" s="201" t="s">
        <v>625</v>
      </c>
      <c r="B578" s="207">
        <v>17.3</v>
      </c>
      <c r="C578" s="201" t="s">
        <v>146</v>
      </c>
      <c r="D578" s="201" t="s">
        <v>156</v>
      </c>
      <c r="E578" s="201"/>
      <c r="F578" s="201"/>
    </row>
    <row r="579" spans="1:6">
      <c r="A579" s="201" t="s">
        <v>626</v>
      </c>
      <c r="B579" s="207">
        <v>16.3</v>
      </c>
      <c r="C579" s="201" t="s">
        <v>146</v>
      </c>
      <c r="D579" s="201" t="s">
        <v>156</v>
      </c>
      <c r="E579" s="201"/>
      <c r="F579" s="201"/>
    </row>
    <row r="580" spans="1:6">
      <c r="A580" s="201" t="s">
        <v>496</v>
      </c>
      <c r="B580" s="207">
        <v>23.9</v>
      </c>
      <c r="C580" s="201" t="s">
        <v>146</v>
      </c>
      <c r="D580" s="201" t="s">
        <v>156</v>
      </c>
      <c r="E580" s="201" t="s">
        <v>467</v>
      </c>
      <c r="F580" s="201"/>
    </row>
    <row r="581" spans="1:6">
      <c r="A581" s="201" t="s">
        <v>627</v>
      </c>
      <c r="B581" s="207">
        <v>20.9</v>
      </c>
      <c r="C581" s="201" t="s">
        <v>146</v>
      </c>
      <c r="D581" s="201" t="s">
        <v>156</v>
      </c>
      <c r="E581" s="201"/>
      <c r="F581" s="201"/>
    </row>
    <row r="582" spans="1:6">
      <c r="A582" s="201" t="s">
        <v>628</v>
      </c>
      <c r="B582" s="207">
        <v>26.9</v>
      </c>
      <c r="C582" s="201" t="s">
        <v>146</v>
      </c>
      <c r="D582" s="201" t="s">
        <v>156</v>
      </c>
      <c r="E582" s="201"/>
      <c r="F582" s="201"/>
    </row>
    <row r="583" spans="1:6">
      <c r="A583" s="201" t="s">
        <v>629</v>
      </c>
      <c r="B583" s="207">
        <v>23.1</v>
      </c>
      <c r="C583" s="201" t="s">
        <v>146</v>
      </c>
      <c r="D583" s="201" t="s">
        <v>156</v>
      </c>
    </row>
    <row r="584" spans="1:6">
      <c r="A584" s="201" t="s">
        <v>497</v>
      </c>
      <c r="B584" s="207">
        <v>26.9</v>
      </c>
      <c r="C584" s="201" t="s">
        <v>146</v>
      </c>
      <c r="D584" s="201" t="s">
        <v>156</v>
      </c>
      <c r="E584" s="201" t="s">
        <v>467</v>
      </c>
      <c r="F584" s="201"/>
    </row>
    <row r="585" spans="1:6">
      <c r="A585" s="201" t="s">
        <v>630</v>
      </c>
      <c r="B585" s="207">
        <v>22.9</v>
      </c>
      <c r="C585" s="201" t="s">
        <v>146</v>
      </c>
      <c r="D585" s="201" t="s">
        <v>156</v>
      </c>
    </row>
    <row r="586" spans="1:6">
      <c r="A586" s="201" t="s">
        <v>631</v>
      </c>
      <c r="B586" s="207">
        <v>28.4</v>
      </c>
      <c r="C586" s="201" t="s">
        <v>146</v>
      </c>
      <c r="D586" s="201" t="s">
        <v>156</v>
      </c>
    </row>
    <row r="587" spans="1:6">
      <c r="A587" s="201" t="s">
        <v>632</v>
      </c>
      <c r="B587" s="207">
        <v>25.7</v>
      </c>
      <c r="C587" s="201" t="s">
        <v>146</v>
      </c>
      <c r="D587" s="201" t="s">
        <v>156</v>
      </c>
    </row>
    <row r="588" spans="1:6">
      <c r="A588" s="201" t="s">
        <v>498</v>
      </c>
      <c r="B588" s="207">
        <v>11.2</v>
      </c>
      <c r="C588" s="201" t="s">
        <v>146</v>
      </c>
      <c r="D588" s="201" t="s">
        <v>156</v>
      </c>
      <c r="E588" s="201" t="s">
        <v>467</v>
      </c>
      <c r="F588" s="201"/>
    </row>
    <row r="589" spans="1:6">
      <c r="A589" s="201" t="s">
        <v>633</v>
      </c>
      <c r="B589" s="207">
        <v>9.9</v>
      </c>
      <c r="C589" s="201" t="s">
        <v>146</v>
      </c>
      <c r="D589" s="201" t="s">
        <v>156</v>
      </c>
    </row>
    <row r="590" spans="1:6">
      <c r="A590" s="201" t="s">
        <v>634</v>
      </c>
      <c r="B590" s="207">
        <v>10.199999999999999</v>
      </c>
      <c r="C590" s="201" t="s">
        <v>146</v>
      </c>
      <c r="D590" s="201" t="s">
        <v>156</v>
      </c>
    </row>
    <row r="591" spans="1:6">
      <c r="A591" s="201" t="s">
        <v>635</v>
      </c>
      <c r="B591" s="207">
        <v>9.1999999999999993</v>
      </c>
      <c r="C591" s="201" t="s">
        <v>146</v>
      </c>
      <c r="D591" s="201" t="s">
        <v>156</v>
      </c>
    </row>
    <row r="592" spans="1:6">
      <c r="A592" s="201" t="s">
        <v>499</v>
      </c>
      <c r="B592" s="207">
        <v>16.7</v>
      </c>
      <c r="C592" s="201" t="s">
        <v>146</v>
      </c>
      <c r="D592" s="201" t="s">
        <v>156</v>
      </c>
      <c r="E592" s="201" t="s">
        <v>467</v>
      </c>
      <c r="F592" s="201"/>
    </row>
    <row r="593" spans="1:8">
      <c r="A593" s="201" t="s">
        <v>636</v>
      </c>
      <c r="B593" s="207">
        <v>15.2</v>
      </c>
      <c r="C593" s="201" t="s">
        <v>146</v>
      </c>
      <c r="D593" s="201" t="s">
        <v>156</v>
      </c>
    </row>
    <row r="594" spans="1:8">
      <c r="A594" s="201" t="s">
        <v>637</v>
      </c>
      <c r="B594" s="207">
        <v>17.3</v>
      </c>
      <c r="C594" s="201" t="s">
        <v>146</v>
      </c>
      <c r="D594" s="201" t="s">
        <v>156</v>
      </c>
    </row>
    <row r="595" spans="1:8">
      <c r="A595" s="201" t="s">
        <v>638</v>
      </c>
      <c r="B595" s="207">
        <v>16.100000000000001</v>
      </c>
      <c r="C595" s="201" t="s">
        <v>146</v>
      </c>
      <c r="D595" s="201" t="s">
        <v>156</v>
      </c>
    </row>
    <row r="596" spans="1:8">
      <c r="A596" s="201" t="s">
        <v>500</v>
      </c>
      <c r="B596" s="207">
        <v>24.4</v>
      </c>
      <c r="C596" s="201" t="s">
        <v>146</v>
      </c>
      <c r="D596" s="201" t="s">
        <v>156</v>
      </c>
      <c r="E596" s="201" t="s">
        <v>467</v>
      </c>
      <c r="F596" s="201"/>
    </row>
    <row r="597" spans="1:8">
      <c r="A597" s="201" t="s">
        <v>639</v>
      </c>
      <c r="B597" s="207">
        <v>20.8</v>
      </c>
      <c r="C597" s="201" t="s">
        <v>146</v>
      </c>
      <c r="D597" s="201" t="s">
        <v>156</v>
      </c>
    </row>
    <row r="598" spans="1:8">
      <c r="A598" s="201" t="s">
        <v>640</v>
      </c>
      <c r="B598" s="207">
        <v>25.6</v>
      </c>
      <c r="C598" s="201" t="s">
        <v>146</v>
      </c>
      <c r="D598" s="201" t="s">
        <v>156</v>
      </c>
    </row>
    <row r="599" spans="1:8">
      <c r="A599" s="201" t="s">
        <v>641</v>
      </c>
      <c r="B599" s="207">
        <v>23.1</v>
      </c>
      <c r="C599" s="201" t="s">
        <v>146</v>
      </c>
      <c r="D599" s="201" t="s">
        <v>156</v>
      </c>
    </row>
    <row r="600" spans="1:8">
      <c r="A600" s="201" t="s">
        <v>501</v>
      </c>
      <c r="B600" s="207">
        <v>29.8</v>
      </c>
      <c r="C600" s="201" t="s">
        <v>146</v>
      </c>
      <c r="D600" s="201" t="s">
        <v>156</v>
      </c>
      <c r="E600" s="201" t="s">
        <v>467</v>
      </c>
      <c r="F600" s="201"/>
    </row>
    <row r="601" spans="1:8">
      <c r="A601" s="201" t="s">
        <v>642</v>
      </c>
      <c r="B601" s="207">
        <v>24.8</v>
      </c>
      <c r="C601" s="201" t="s">
        <v>146</v>
      </c>
      <c r="D601" s="201" t="s">
        <v>156</v>
      </c>
    </row>
    <row r="602" spans="1:8">
      <c r="A602" s="201" t="s">
        <v>643</v>
      </c>
      <c r="B602" s="207">
        <v>30.3</v>
      </c>
      <c r="C602" s="201" t="s">
        <v>146</v>
      </c>
      <c r="D602" s="201" t="s">
        <v>156</v>
      </c>
    </row>
    <row r="603" spans="1:8">
      <c r="A603" s="201" t="s">
        <v>644</v>
      </c>
      <c r="B603" s="207">
        <v>27.6</v>
      </c>
      <c r="C603" s="201" t="s">
        <v>146</v>
      </c>
      <c r="D603" s="201" t="s">
        <v>156</v>
      </c>
    </row>
    <row r="604" spans="1:8">
      <c r="A604" s="201" t="s">
        <v>468</v>
      </c>
      <c r="B604" s="207">
        <v>18.600000000000001</v>
      </c>
      <c r="C604" s="201" t="s">
        <v>146</v>
      </c>
      <c r="D604" s="201" t="s">
        <v>156</v>
      </c>
    </row>
    <row r="605" spans="1:8">
      <c r="A605" s="201" t="s">
        <v>469</v>
      </c>
      <c r="B605" s="207">
        <v>18.2</v>
      </c>
      <c r="C605" s="201" t="s">
        <v>146</v>
      </c>
      <c r="D605" s="201" t="s">
        <v>156</v>
      </c>
      <c r="E605" s="906" t="s">
        <v>502</v>
      </c>
      <c r="F605" s="906"/>
      <c r="G605" s="906"/>
      <c r="H605" s="906"/>
    </row>
    <row r="606" spans="1:8">
      <c r="A606" s="201" t="s">
        <v>470</v>
      </c>
      <c r="B606" s="207">
        <v>18.2</v>
      </c>
      <c r="C606" s="201" t="s">
        <v>146</v>
      </c>
      <c r="D606" s="201" t="s">
        <v>156</v>
      </c>
      <c r="E606" s="906" t="s">
        <v>502</v>
      </c>
      <c r="F606" s="906"/>
      <c r="G606" s="906"/>
      <c r="H606" s="906"/>
    </row>
    <row r="607" spans="1:8">
      <c r="A607" s="201" t="s">
        <v>471</v>
      </c>
      <c r="B607" s="207">
        <v>18.7</v>
      </c>
      <c r="C607" s="201" t="s">
        <v>146</v>
      </c>
      <c r="D607" s="201" t="s">
        <v>156</v>
      </c>
      <c r="E607" s="906" t="s">
        <v>502</v>
      </c>
      <c r="F607" s="906"/>
      <c r="G607" s="906"/>
      <c r="H607" s="906"/>
    </row>
    <row r="608" spans="1:8">
      <c r="A608" s="201" t="s">
        <v>472</v>
      </c>
      <c r="B608" s="207">
        <v>18.5</v>
      </c>
      <c r="C608" s="201" t="s">
        <v>146</v>
      </c>
      <c r="D608" s="201" t="s">
        <v>156</v>
      </c>
      <c r="E608" s="906" t="s">
        <v>503</v>
      </c>
      <c r="F608" s="906"/>
      <c r="G608" s="906"/>
      <c r="H608" s="906"/>
    </row>
    <row r="609" spans="2:2">
      <c r="B609" s="207"/>
    </row>
    <row r="610" spans="2:2">
      <c r="B610" s="207"/>
    </row>
    <row r="611" spans="2:2">
      <c r="B611" s="207"/>
    </row>
    <row r="612" spans="2:2">
      <c r="B612" s="207"/>
    </row>
    <row r="613" spans="2:2">
      <c r="B613" s="207"/>
    </row>
    <row r="614" spans="2:2">
      <c r="B614" s="207"/>
    </row>
    <row r="615" spans="2:2">
      <c r="B615" s="207"/>
    </row>
    <row r="616" spans="2:2">
      <c r="B616" s="207"/>
    </row>
    <row r="617" spans="2:2">
      <c r="B617" s="207"/>
    </row>
    <row r="618" spans="2:2">
      <c r="B618" s="207"/>
    </row>
    <row r="619" spans="2:2">
      <c r="B619" s="207"/>
    </row>
    <row r="620" spans="2:2">
      <c r="B620" s="207"/>
    </row>
    <row r="621" spans="2:2">
      <c r="B621" s="207"/>
    </row>
    <row r="625" spans="1:6">
      <c r="A625" s="208" t="s">
        <v>164</v>
      </c>
      <c r="B625" s="207">
        <v>14.6</v>
      </c>
      <c r="C625" s="201" t="s">
        <v>207</v>
      </c>
      <c r="D625" s="201" t="s">
        <v>147</v>
      </c>
      <c r="E625" s="201" t="s">
        <v>165</v>
      </c>
      <c r="F625" s="201"/>
    </row>
    <row r="626" spans="1:6">
      <c r="A626" s="208" t="s">
        <v>166</v>
      </c>
      <c r="B626" s="207">
        <v>16.2</v>
      </c>
      <c r="C626" s="201" t="s">
        <v>207</v>
      </c>
      <c r="D626" s="201" t="s">
        <v>147</v>
      </c>
      <c r="E626" s="201" t="s">
        <v>165</v>
      </c>
      <c r="F626" s="201"/>
    </row>
    <row r="627" spans="1:6">
      <c r="A627" s="208" t="s">
        <v>167</v>
      </c>
      <c r="B627" s="207">
        <v>21.5</v>
      </c>
      <c r="C627" s="201" t="s">
        <v>207</v>
      </c>
      <c r="D627" s="201" t="s">
        <v>147</v>
      </c>
      <c r="E627" s="201" t="s">
        <v>165</v>
      </c>
      <c r="F627" s="201"/>
    </row>
    <row r="628" spans="1:6">
      <c r="B628" s="207"/>
    </row>
    <row r="629" spans="1:6">
      <c r="A629" s="208" t="s">
        <v>189</v>
      </c>
      <c r="B629" s="207">
        <v>14.4</v>
      </c>
      <c r="C629" s="201" t="s">
        <v>207</v>
      </c>
      <c r="D629" s="201" t="s">
        <v>156</v>
      </c>
    </row>
    <row r="630" spans="1:6">
      <c r="A630" s="208" t="s">
        <v>190</v>
      </c>
      <c r="B630" s="207">
        <v>24</v>
      </c>
      <c r="C630" s="201" t="s">
        <v>207</v>
      </c>
      <c r="D630" s="201" t="s">
        <v>156</v>
      </c>
    </row>
    <row r="631" spans="1:6">
      <c r="A631" s="208" t="s">
        <v>191</v>
      </c>
      <c r="B631" s="207">
        <v>25.8</v>
      </c>
      <c r="C631" s="201" t="s">
        <v>207</v>
      </c>
      <c r="D631" s="201" t="s">
        <v>156</v>
      </c>
    </row>
    <row r="632" spans="1:6">
      <c r="A632" s="208" t="s">
        <v>192</v>
      </c>
      <c r="B632" s="207">
        <v>27.4</v>
      </c>
      <c r="C632" s="201" t="s">
        <v>207</v>
      </c>
      <c r="D632" s="201" t="s">
        <v>156</v>
      </c>
    </row>
    <row r="633" spans="1:6">
      <c r="A633" s="208" t="s">
        <v>193</v>
      </c>
      <c r="B633" s="207">
        <v>14.2</v>
      </c>
      <c r="C633" s="201" t="s">
        <v>207</v>
      </c>
      <c r="D633" s="201" t="s">
        <v>156</v>
      </c>
    </row>
    <row r="634" spans="1:6">
      <c r="A634" s="208" t="s">
        <v>194</v>
      </c>
      <c r="B634" s="207">
        <v>21.5</v>
      </c>
      <c r="C634" s="201" t="s">
        <v>207</v>
      </c>
      <c r="D634" s="201" t="s">
        <v>156</v>
      </c>
    </row>
    <row r="635" spans="1:6">
      <c r="A635" s="208" t="s">
        <v>195</v>
      </c>
      <c r="B635" s="207">
        <v>27</v>
      </c>
      <c r="C635" s="201" t="s">
        <v>207</v>
      </c>
      <c r="D635" s="201" t="s">
        <v>156</v>
      </c>
    </row>
    <row r="636" spans="1:6">
      <c r="A636" s="208" t="s">
        <v>196</v>
      </c>
      <c r="B636" s="207">
        <v>27.6</v>
      </c>
      <c r="C636" s="201" t="s">
        <v>207</v>
      </c>
      <c r="D636" s="201" t="s">
        <v>156</v>
      </c>
    </row>
    <row r="637" spans="1:6">
      <c r="A637" s="208" t="s">
        <v>197</v>
      </c>
      <c r="B637" s="207">
        <v>11.7</v>
      </c>
      <c r="C637" s="201" t="s">
        <v>207</v>
      </c>
      <c r="D637" s="201" t="s">
        <v>156</v>
      </c>
    </row>
    <row r="638" spans="1:6">
      <c r="A638" s="208" t="s">
        <v>198</v>
      </c>
      <c r="B638" s="207">
        <v>17.5</v>
      </c>
      <c r="C638" s="201" t="s">
        <v>207</v>
      </c>
      <c r="D638" s="201" t="s">
        <v>156</v>
      </c>
    </row>
    <row r="639" spans="1:6">
      <c r="A639" s="208" t="s">
        <v>199</v>
      </c>
      <c r="B639" s="207">
        <v>25.2</v>
      </c>
      <c r="C639" s="201" t="s">
        <v>207</v>
      </c>
      <c r="D639" s="201" t="s">
        <v>156</v>
      </c>
    </row>
    <row r="640" spans="1:6">
      <c r="A640" s="208" t="s">
        <v>200</v>
      </c>
      <c r="B640" s="207">
        <v>26.5</v>
      </c>
      <c r="C640" s="201" t="s">
        <v>207</v>
      </c>
      <c r="D640" s="201" t="s">
        <v>156</v>
      </c>
    </row>
    <row r="641" spans="1:9">
      <c r="A641" s="208" t="s">
        <v>201</v>
      </c>
      <c r="B641" s="207">
        <v>13.1</v>
      </c>
      <c r="C641" s="201" t="s">
        <v>207</v>
      </c>
      <c r="D641" s="201" t="s">
        <v>156</v>
      </c>
    </row>
    <row r="642" spans="1:9">
      <c r="A642" s="208" t="s">
        <v>202</v>
      </c>
      <c r="B642" s="207">
        <v>20.7</v>
      </c>
      <c r="C642" s="201" t="s">
        <v>207</v>
      </c>
      <c r="D642" s="201" t="s">
        <v>156</v>
      </c>
    </row>
    <row r="643" spans="1:9">
      <c r="A643" s="208" t="s">
        <v>203</v>
      </c>
      <c r="B643" s="207">
        <v>26</v>
      </c>
      <c r="C643" s="201" t="s">
        <v>207</v>
      </c>
      <c r="D643" s="201" t="s">
        <v>156</v>
      </c>
    </row>
    <row r="644" spans="1:9">
      <c r="A644" s="208" t="s">
        <v>204</v>
      </c>
      <c r="B644" s="207">
        <v>27.1</v>
      </c>
      <c r="C644" s="201" t="s">
        <v>207</v>
      </c>
      <c r="D644" s="201" t="s">
        <v>156</v>
      </c>
    </row>
    <row r="645" spans="1:9">
      <c r="A645" s="208" t="s">
        <v>581</v>
      </c>
      <c r="B645" s="207">
        <v>9.4</v>
      </c>
      <c r="C645" s="201" t="s">
        <v>207</v>
      </c>
      <c r="D645" s="201" t="s">
        <v>156</v>
      </c>
      <c r="E645" s="906" t="s">
        <v>582</v>
      </c>
      <c r="F645" s="906"/>
      <c r="G645" s="906"/>
      <c r="H645" s="906"/>
      <c r="I645" s="906"/>
    </row>
    <row r="646" spans="1:9">
      <c r="A646" s="208" t="s">
        <v>583</v>
      </c>
      <c r="B646" s="207">
        <v>15.6</v>
      </c>
      <c r="C646" s="201" t="s">
        <v>207</v>
      </c>
      <c r="D646" s="201" t="s">
        <v>156</v>
      </c>
      <c r="E646" s="906" t="s">
        <v>582</v>
      </c>
      <c r="F646" s="906"/>
      <c r="G646" s="906"/>
      <c r="H646" s="906"/>
      <c r="I646" s="906"/>
    </row>
    <row r="647" spans="1:9">
      <c r="A647" s="208" t="s">
        <v>584</v>
      </c>
      <c r="B647" s="207">
        <v>16.7</v>
      </c>
      <c r="C647" s="201" t="s">
        <v>207</v>
      </c>
      <c r="D647" s="201" t="s">
        <v>156</v>
      </c>
      <c r="E647" s="906" t="s">
        <v>582</v>
      </c>
      <c r="F647" s="906"/>
      <c r="G647" s="906"/>
      <c r="H647" s="906"/>
      <c r="I647" s="906"/>
    </row>
    <row r="648" spans="1:9">
      <c r="A648" s="208" t="s">
        <v>585</v>
      </c>
      <c r="B648" s="207">
        <v>17.8</v>
      </c>
      <c r="C648" s="201" t="s">
        <v>207</v>
      </c>
      <c r="D648" s="201" t="s">
        <v>156</v>
      </c>
      <c r="E648" s="906" t="s">
        <v>582</v>
      </c>
      <c r="F648" s="906"/>
      <c r="G648" s="906"/>
      <c r="H648" s="906"/>
      <c r="I648" s="906"/>
    </row>
    <row r="649" spans="1:9">
      <c r="A649" s="208" t="s">
        <v>586</v>
      </c>
      <c r="B649" s="207">
        <v>9.1999999999999993</v>
      </c>
      <c r="C649" s="201" t="s">
        <v>207</v>
      </c>
      <c r="D649" s="201" t="s">
        <v>156</v>
      </c>
      <c r="E649" s="906" t="s">
        <v>582</v>
      </c>
      <c r="F649" s="906"/>
      <c r="G649" s="906"/>
      <c r="H649" s="906"/>
      <c r="I649" s="906"/>
    </row>
    <row r="650" spans="1:9">
      <c r="A650" s="208" t="s">
        <v>587</v>
      </c>
      <c r="B650" s="207">
        <v>14</v>
      </c>
      <c r="C650" s="201" t="s">
        <v>207</v>
      </c>
      <c r="D650" s="201" t="s">
        <v>156</v>
      </c>
      <c r="E650" s="906" t="s">
        <v>582</v>
      </c>
      <c r="F650" s="906"/>
      <c r="G650" s="906"/>
      <c r="H650" s="906"/>
      <c r="I650" s="906"/>
    </row>
    <row r="651" spans="1:9">
      <c r="A651" s="208" t="s">
        <v>588</v>
      </c>
      <c r="B651" s="207">
        <v>17.5</v>
      </c>
      <c r="C651" s="201" t="s">
        <v>207</v>
      </c>
      <c r="D651" s="201" t="s">
        <v>156</v>
      </c>
      <c r="E651" s="906" t="s">
        <v>582</v>
      </c>
      <c r="F651" s="906"/>
      <c r="G651" s="906"/>
      <c r="H651" s="906"/>
      <c r="I651" s="906"/>
    </row>
    <row r="652" spans="1:9">
      <c r="A652" s="208" t="s">
        <v>589</v>
      </c>
      <c r="B652" s="207">
        <v>17.899999999999999</v>
      </c>
      <c r="C652" s="201" t="s">
        <v>207</v>
      </c>
      <c r="D652" s="201" t="s">
        <v>156</v>
      </c>
      <c r="E652" s="906" t="s">
        <v>582</v>
      </c>
      <c r="F652" s="906"/>
      <c r="G652" s="906"/>
      <c r="H652" s="906"/>
      <c r="I652" s="906"/>
    </row>
    <row r="653" spans="1:9">
      <c r="A653" s="208" t="s">
        <v>590</v>
      </c>
      <c r="B653" s="207">
        <v>7.6</v>
      </c>
      <c r="C653" s="201" t="s">
        <v>207</v>
      </c>
      <c r="D653" s="201" t="s">
        <v>156</v>
      </c>
      <c r="E653" s="906" t="s">
        <v>582</v>
      </c>
      <c r="F653" s="906"/>
      <c r="G653" s="906"/>
      <c r="H653" s="906"/>
      <c r="I653" s="906"/>
    </row>
    <row r="654" spans="1:9">
      <c r="A654" s="208" t="s">
        <v>591</v>
      </c>
      <c r="B654" s="207">
        <v>11.3</v>
      </c>
      <c r="C654" s="201" t="s">
        <v>207</v>
      </c>
      <c r="D654" s="201" t="s">
        <v>156</v>
      </c>
      <c r="E654" s="906" t="s">
        <v>582</v>
      </c>
      <c r="F654" s="906"/>
      <c r="G654" s="906"/>
      <c r="H654" s="906"/>
      <c r="I654" s="906"/>
    </row>
    <row r="655" spans="1:9">
      <c r="A655" s="208" t="s">
        <v>592</v>
      </c>
      <c r="B655" s="207">
        <v>16.3</v>
      </c>
      <c r="C655" s="201" t="s">
        <v>207</v>
      </c>
      <c r="D655" s="201" t="s">
        <v>156</v>
      </c>
      <c r="E655" s="906" t="s">
        <v>582</v>
      </c>
      <c r="F655" s="906"/>
      <c r="G655" s="906"/>
      <c r="H655" s="906"/>
      <c r="I655" s="906"/>
    </row>
    <row r="656" spans="1:9">
      <c r="A656" s="208" t="s">
        <v>593</v>
      </c>
      <c r="B656" s="207">
        <v>17.2</v>
      </c>
      <c r="C656" s="201" t="s">
        <v>207</v>
      </c>
      <c r="D656" s="201" t="s">
        <v>156</v>
      </c>
      <c r="E656" s="906" t="s">
        <v>582</v>
      </c>
      <c r="F656" s="906"/>
      <c r="G656" s="906"/>
      <c r="H656" s="906"/>
      <c r="I656" s="906"/>
    </row>
    <row r="657" spans="1:9">
      <c r="A657" s="208" t="s">
        <v>594</v>
      </c>
      <c r="B657" s="207">
        <v>8.5</v>
      </c>
      <c r="C657" s="201" t="s">
        <v>207</v>
      </c>
      <c r="D657" s="201" t="s">
        <v>156</v>
      </c>
      <c r="E657" s="906" t="s">
        <v>582</v>
      </c>
      <c r="F657" s="906"/>
      <c r="G657" s="906"/>
      <c r="H657" s="906"/>
      <c r="I657" s="906"/>
    </row>
    <row r="658" spans="1:9">
      <c r="A658" s="208" t="s">
        <v>595</v>
      </c>
      <c r="B658" s="207">
        <v>13.4</v>
      </c>
      <c r="C658" s="201" t="s">
        <v>207</v>
      </c>
      <c r="D658" s="201" t="s">
        <v>156</v>
      </c>
      <c r="E658" s="906" t="s">
        <v>582</v>
      </c>
      <c r="F658" s="906"/>
      <c r="G658" s="906"/>
      <c r="H658" s="906"/>
      <c r="I658" s="906"/>
    </row>
    <row r="659" spans="1:9">
      <c r="A659" s="208" t="s">
        <v>596</v>
      </c>
      <c r="B659" s="207">
        <v>16.899999999999999</v>
      </c>
      <c r="C659" s="201" t="s">
        <v>207</v>
      </c>
      <c r="D659" s="201" t="s">
        <v>156</v>
      </c>
      <c r="E659" s="906" t="s">
        <v>582</v>
      </c>
      <c r="F659" s="906"/>
      <c r="G659" s="906"/>
      <c r="H659" s="906"/>
      <c r="I659" s="906"/>
    </row>
    <row r="660" spans="1:9">
      <c r="A660" s="208" t="s">
        <v>597</v>
      </c>
      <c r="B660" s="207">
        <v>17.600000000000001</v>
      </c>
      <c r="C660" s="201" t="s">
        <v>207</v>
      </c>
      <c r="D660" s="201" t="s">
        <v>156</v>
      </c>
      <c r="E660" s="906" t="s">
        <v>582</v>
      </c>
      <c r="F660" s="906"/>
      <c r="G660" s="906"/>
      <c r="H660" s="906"/>
      <c r="I660" s="906"/>
    </row>
    <row r="661" spans="1:9">
      <c r="A661" s="208" t="s">
        <v>205</v>
      </c>
      <c r="B661" s="207">
        <v>14.3</v>
      </c>
      <c r="C661" s="201" t="s">
        <v>207</v>
      </c>
      <c r="D661" s="201" t="s">
        <v>147</v>
      </c>
      <c r="E661" s="209" t="s">
        <v>502</v>
      </c>
      <c r="F661" s="209"/>
      <c r="G661" s="209"/>
      <c r="H661" s="209"/>
    </row>
    <row r="662" spans="1:9">
      <c r="A662" s="208" t="s">
        <v>206</v>
      </c>
      <c r="B662" s="207">
        <v>21.1</v>
      </c>
      <c r="C662" s="201" t="s">
        <v>207</v>
      </c>
      <c r="D662" s="201" t="s">
        <v>147</v>
      </c>
      <c r="E662" s="209" t="s">
        <v>502</v>
      </c>
      <c r="F662" s="209"/>
      <c r="G662" s="209"/>
      <c r="H662" s="209"/>
    </row>
    <row r="663" spans="1:9">
      <c r="A663" s="208" t="s">
        <v>571</v>
      </c>
      <c r="B663" s="207">
        <v>11.4</v>
      </c>
      <c r="C663" s="201" t="s">
        <v>207</v>
      </c>
      <c r="D663" s="201" t="s">
        <v>147</v>
      </c>
    </row>
    <row r="664" spans="1:9">
      <c r="A664" s="208" t="s">
        <v>572</v>
      </c>
      <c r="B664" s="207">
        <v>13.9</v>
      </c>
      <c r="C664" s="201" t="s">
        <v>207</v>
      </c>
      <c r="D664" s="201" t="s">
        <v>147</v>
      </c>
    </row>
    <row r="665" spans="1:9">
      <c r="A665" s="208" t="s">
        <v>573</v>
      </c>
      <c r="B665" s="207">
        <v>16.5</v>
      </c>
      <c r="C665" s="201" t="s">
        <v>207</v>
      </c>
      <c r="D665" s="201" t="s">
        <v>147</v>
      </c>
    </row>
    <row r="666" spans="1:9">
      <c r="A666" s="208" t="s">
        <v>574</v>
      </c>
      <c r="B666" s="207">
        <v>20.9</v>
      </c>
      <c r="C666" s="201" t="s">
        <v>207</v>
      </c>
      <c r="D666" s="201" t="s">
        <v>147</v>
      </c>
    </row>
    <row r="667" spans="1:9">
      <c r="A667" s="208" t="s">
        <v>575</v>
      </c>
      <c r="B667" s="207">
        <v>13.5</v>
      </c>
      <c r="C667" s="201" t="s">
        <v>207</v>
      </c>
      <c r="D667" s="201" t="s">
        <v>156</v>
      </c>
      <c r="E667" s="201" t="s">
        <v>479</v>
      </c>
    </row>
    <row r="668" spans="1:9">
      <c r="A668" s="208" t="s">
        <v>576</v>
      </c>
      <c r="B668" s="207">
        <v>18.399999999999999</v>
      </c>
      <c r="C668" s="201" t="s">
        <v>207</v>
      </c>
      <c r="D668" s="201" t="s">
        <v>156</v>
      </c>
      <c r="E668" s="201" t="s">
        <v>479</v>
      </c>
    </row>
    <row r="669" spans="1:9">
      <c r="A669" s="208" t="s">
        <v>577</v>
      </c>
      <c r="B669" s="207">
        <v>23.4</v>
      </c>
      <c r="C669" s="201" t="s">
        <v>207</v>
      </c>
      <c r="D669" s="201" t="s">
        <v>156</v>
      </c>
      <c r="E669" s="201" t="s">
        <v>479</v>
      </c>
    </row>
    <row r="670" spans="1:9">
      <c r="A670" s="208" t="s">
        <v>578</v>
      </c>
      <c r="B670" s="207">
        <v>14.5</v>
      </c>
      <c r="C670" s="201" t="s">
        <v>207</v>
      </c>
      <c r="D670" s="201" t="s">
        <v>156</v>
      </c>
      <c r="E670" s="201" t="s">
        <v>479</v>
      </c>
    </row>
    <row r="671" spans="1:9">
      <c r="A671" s="208" t="s">
        <v>579</v>
      </c>
      <c r="B671" s="207">
        <v>18.3</v>
      </c>
      <c r="C671" s="201" t="s">
        <v>207</v>
      </c>
      <c r="D671" s="201" t="s">
        <v>156</v>
      </c>
      <c r="E671" s="201" t="s">
        <v>479</v>
      </c>
    </row>
    <row r="672" spans="1:9">
      <c r="A672" s="208" t="s">
        <v>580</v>
      </c>
      <c r="B672" s="207">
        <v>22.8</v>
      </c>
      <c r="C672" s="201" t="s">
        <v>207</v>
      </c>
      <c r="D672" s="201" t="s">
        <v>156</v>
      </c>
      <c r="E672" s="201" t="s">
        <v>479</v>
      </c>
    </row>
    <row r="673" spans="1:11">
      <c r="A673" s="208" t="s">
        <v>598</v>
      </c>
      <c r="B673" s="207">
        <v>11.2</v>
      </c>
      <c r="C673" s="201" t="s">
        <v>207</v>
      </c>
      <c r="D673" s="201" t="s">
        <v>147</v>
      </c>
      <c r="E673" s="209" t="s">
        <v>599</v>
      </c>
      <c r="F673" s="209"/>
      <c r="G673" s="209"/>
      <c r="H673" s="209"/>
      <c r="I673" s="209"/>
      <c r="J673" s="209"/>
    </row>
    <row r="674" spans="1:11">
      <c r="A674" s="208" t="s">
        <v>601</v>
      </c>
      <c r="B674" s="207">
        <v>13.7</v>
      </c>
      <c r="C674" s="201" t="s">
        <v>207</v>
      </c>
      <c r="D674" s="201" t="s">
        <v>147</v>
      </c>
      <c r="E674" s="201" t="s">
        <v>600</v>
      </c>
      <c r="F674" s="201"/>
      <c r="G674" s="201"/>
      <c r="H674" s="201"/>
      <c r="I674" s="201"/>
      <c r="J674" s="201"/>
      <c r="K674" s="201"/>
    </row>
    <row r="675" spans="1:11">
      <c r="A675" s="208" t="s">
        <v>602</v>
      </c>
      <c r="B675" s="207">
        <v>14.1</v>
      </c>
      <c r="C675" s="201" t="s">
        <v>207</v>
      </c>
      <c r="D675" s="201" t="s">
        <v>147</v>
      </c>
      <c r="E675" s="201" t="s">
        <v>600</v>
      </c>
    </row>
    <row r="676" spans="1:11">
      <c r="A676" s="208" t="s">
        <v>603</v>
      </c>
      <c r="B676" s="207">
        <v>13.2</v>
      </c>
      <c r="C676" s="201" t="s">
        <v>207</v>
      </c>
      <c r="D676" s="201" t="s">
        <v>147</v>
      </c>
      <c r="E676" s="201" t="s">
        <v>600</v>
      </c>
    </row>
  </sheetData>
  <mergeCells count="38">
    <mergeCell ref="E648:I648"/>
    <mergeCell ref="E649:I649"/>
    <mergeCell ref="E657:I657"/>
    <mergeCell ref="E650:I650"/>
    <mergeCell ref="E658:I658"/>
    <mergeCell ref="E659:I659"/>
    <mergeCell ref="E660:I660"/>
    <mergeCell ref="E651:I651"/>
    <mergeCell ref="E652:I652"/>
    <mergeCell ref="E653:I653"/>
    <mergeCell ref="E654:I654"/>
    <mergeCell ref="E655:I655"/>
    <mergeCell ref="E656:I656"/>
    <mergeCell ref="A78:B79"/>
    <mergeCell ref="A161:A162"/>
    <mergeCell ref="E605:H605"/>
    <mergeCell ref="E606:H606"/>
    <mergeCell ref="E607:H607"/>
    <mergeCell ref="E608:H608"/>
    <mergeCell ref="E645:I645"/>
    <mergeCell ref="E646:I646"/>
    <mergeCell ref="E647:I647"/>
    <mergeCell ref="E1:P1"/>
    <mergeCell ref="AJ1:AM1"/>
    <mergeCell ref="AN1:AW1"/>
    <mergeCell ref="AX1:BB1"/>
    <mergeCell ref="E3:I3"/>
    <mergeCell ref="K3:O3"/>
    <mergeCell ref="U3:V3"/>
    <mergeCell ref="AG3:AI3"/>
    <mergeCell ref="AK3:AM3"/>
    <mergeCell ref="AN3:AR3"/>
    <mergeCell ref="AS3:AW3"/>
    <mergeCell ref="Q1:S1"/>
    <mergeCell ref="T1:X1"/>
    <mergeCell ref="Y1:Z1"/>
    <mergeCell ref="AA1:AC1"/>
    <mergeCell ref="AD1:AI1"/>
  </mergeCells>
  <pageMargins left="0.26" right="0.28000000000000003" top="1" bottom="1" header="0.5" footer="0.5"/>
  <pageSetup paperSize="8" scale="55" fitToWidth="2" orientation="landscape" r:id="rId1"/>
  <headerFooter alignWithMargins="0"/>
  <colBreaks count="2" manualBreakCount="2">
    <brk id="29" max="63" man="1"/>
    <brk id="44" max="63"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
  <dimension ref="A1:AH43"/>
  <sheetViews>
    <sheetView topLeftCell="A4" workbookViewId="0">
      <selection activeCell="D11" sqref="D11"/>
    </sheetView>
  </sheetViews>
  <sheetFormatPr defaultColWidth="9.109375" defaultRowHeight="12" customHeight="1"/>
  <cols>
    <col min="1" max="1" width="8.88671875" style="765" customWidth="1"/>
    <col min="2" max="2" width="35.5546875" style="765" bestFit="1" customWidth="1"/>
    <col min="3" max="3" width="19.5546875" style="764" customWidth="1"/>
    <col min="4" max="4" width="10.6640625" style="764" customWidth="1"/>
    <col min="5" max="5" width="12.88671875" style="764" customWidth="1"/>
    <col min="6" max="10" width="10.6640625" style="764" customWidth="1"/>
    <col min="11" max="11" width="12.33203125" style="764" customWidth="1"/>
    <col min="12" max="14" width="10.6640625" style="764" customWidth="1"/>
    <col min="15" max="15" width="12.6640625" style="764" customWidth="1"/>
    <col min="16" max="16" width="21.6640625" style="764" customWidth="1"/>
    <col min="17" max="17" width="9.88671875" style="764" bestFit="1" customWidth="1"/>
    <col min="18" max="18" width="8.88671875" style="764" customWidth="1"/>
    <col min="19" max="19" width="3" style="764" bestFit="1" customWidth="1"/>
    <col min="20" max="20" width="3.44140625" style="762" bestFit="1" customWidth="1"/>
    <col min="21" max="21" width="3.5546875" style="762" bestFit="1" customWidth="1"/>
    <col min="22" max="23" width="2.5546875" style="762" bestFit="1" customWidth="1"/>
    <col min="24" max="24" width="17.33203125" style="762" bestFit="1" customWidth="1"/>
    <col min="25" max="25" width="2.109375" style="762" bestFit="1" customWidth="1"/>
    <col min="26" max="26" width="2.44140625" style="762" bestFit="1" customWidth="1"/>
    <col min="27" max="27" width="7.88671875" style="762" bestFit="1" customWidth="1"/>
    <col min="28" max="28" width="2.109375" style="762" bestFit="1" customWidth="1"/>
    <col min="29" max="29" width="15.109375" style="762" bestFit="1" customWidth="1"/>
    <col min="30" max="30" width="20.109375" style="762" bestFit="1" customWidth="1"/>
    <col min="31" max="31" width="20" style="762" bestFit="1" customWidth="1"/>
    <col min="32" max="32" width="7.6640625" style="762" bestFit="1" customWidth="1"/>
    <col min="33" max="34" width="9.109375" style="762"/>
    <col min="35" max="16384" width="9.109375" style="764"/>
  </cols>
  <sheetData>
    <row r="1" spans="1:34" s="493" customFormat="1" ht="12" customHeight="1">
      <c r="A1" s="560"/>
      <c r="B1" s="560"/>
      <c r="C1" s="456"/>
      <c r="D1" s="456"/>
      <c r="E1" s="456"/>
      <c r="F1" s="456"/>
      <c r="G1" s="463"/>
      <c r="H1" s="456"/>
      <c r="I1" s="456"/>
      <c r="J1" s="456"/>
      <c r="K1" s="456"/>
      <c r="L1" s="456"/>
      <c r="M1" s="456"/>
      <c r="N1" s="456"/>
      <c r="O1" s="456"/>
      <c r="P1" s="456"/>
      <c r="Q1" s="451"/>
      <c r="R1" s="451"/>
      <c r="S1" s="451"/>
      <c r="T1" s="561"/>
      <c r="U1" s="547">
        <f t="shared" ref="U1:AB1" si="0">SUM(U2:U65510)</f>
        <v>7</v>
      </c>
      <c r="V1" s="547">
        <f t="shared" si="0"/>
        <v>7</v>
      </c>
      <c r="W1" s="547">
        <f t="shared" si="0"/>
        <v>7</v>
      </c>
      <c r="X1" s="547">
        <f t="shared" si="0"/>
        <v>1</v>
      </c>
      <c r="Y1" s="547">
        <f t="shared" si="0"/>
        <v>0</v>
      </c>
      <c r="Z1" s="547">
        <f t="shared" si="0"/>
        <v>7</v>
      </c>
      <c r="AA1" s="547">
        <f t="shared" si="0"/>
        <v>0</v>
      </c>
      <c r="AB1" s="507">
        <f t="shared" si="0"/>
        <v>0</v>
      </c>
      <c r="AC1" s="507"/>
      <c r="AD1" s="507"/>
      <c r="AE1" s="507"/>
      <c r="AF1" s="507"/>
      <c r="AG1" s="507"/>
      <c r="AH1" s="507"/>
    </row>
    <row r="2" spans="1:34" s="541" customFormat="1" ht="11.4">
      <c r="A2" s="543"/>
      <c r="B2" s="741" t="s">
        <v>255</v>
      </c>
      <c r="C2" s="742" t="s">
        <v>133</v>
      </c>
      <c r="D2" s="914" t="s">
        <v>134</v>
      </c>
      <c r="E2" s="914"/>
      <c r="F2" s="743" t="s">
        <v>135</v>
      </c>
      <c r="G2" s="743" t="s">
        <v>1114</v>
      </c>
      <c r="H2" s="743" t="s">
        <v>655</v>
      </c>
      <c r="I2" s="743" t="s">
        <v>1094</v>
      </c>
      <c r="J2" s="743" t="s">
        <v>1095</v>
      </c>
      <c r="K2" s="743" t="s">
        <v>1115</v>
      </c>
      <c r="L2" s="743" t="s">
        <v>1116</v>
      </c>
      <c r="M2" s="743" t="s">
        <v>1117</v>
      </c>
      <c r="N2" s="743" t="s">
        <v>1118</v>
      </c>
      <c r="O2" s="743" t="s">
        <v>16</v>
      </c>
      <c r="P2" s="743" t="s">
        <v>662</v>
      </c>
      <c r="Q2" s="404"/>
      <c r="R2" s="404"/>
      <c r="S2" s="404"/>
      <c r="T2" s="392"/>
      <c r="U2" s="392"/>
      <c r="V2" s="392"/>
      <c r="W2" s="392"/>
      <c r="X2" s="392"/>
      <c r="Y2" s="392"/>
      <c r="Z2" s="392"/>
      <c r="AA2" s="404"/>
      <c r="AB2" s="516"/>
      <c r="AC2" s="516"/>
      <c r="AD2" s="516"/>
      <c r="AE2" s="516"/>
      <c r="AF2" s="516"/>
      <c r="AG2" s="516"/>
      <c r="AH2" s="516"/>
    </row>
    <row r="3" spans="1:34" s="541" customFormat="1" ht="12" customHeight="1">
      <c r="A3" s="543"/>
      <c r="B3" s="543"/>
      <c r="C3" s="464" t="s">
        <v>252</v>
      </c>
      <c r="D3" s="811" t="s">
        <v>251</v>
      </c>
      <c r="E3" s="811"/>
      <c r="F3" s="657">
        <v>1</v>
      </c>
      <c r="G3" s="465">
        <v>0</v>
      </c>
      <c r="H3" s="466">
        <v>90</v>
      </c>
      <c r="I3" s="466">
        <v>20</v>
      </c>
      <c r="J3" s="466">
        <v>0</v>
      </c>
      <c r="K3" s="467" t="s">
        <v>737</v>
      </c>
      <c r="L3" s="467">
        <v>1</v>
      </c>
      <c r="M3" s="468">
        <f>IF(H3&gt;80,(IF(J3&gt;75,0,IF(I3&gt;80,0,INDEX(verzamelblad!$A$81:$BK$158, MATCH((CEILING(IF(J3&gt;=75,75,J3),1)),verzamelblad!$A$81:$A$158,), MATCH((CEILING(IF(I3&lt;=20,20,IF(I3&gt;=80,80,I3)),1)),verzamelblad!$A$81:$BK$81,))))),IF(I3&gt;75,0,INDEX(verzamelblad!$A$164:$BM$245, MATCH((CEILING(IF(H3&gt;=80,80,H3),1)),verzamelblad!$A$164:$A$245,), MATCH((CEILING(IF(I3&lt;=1,1,IF(I3&gt;=75,75,I3)),1)),verzamelblad!$A$164:$BM$164,))))</f>
        <v>0.8</v>
      </c>
      <c r="N3" s="469">
        <f>ROUND(F3*G3*L3*M3,2)</f>
        <v>0</v>
      </c>
      <c r="O3" s="470"/>
      <c r="P3" s="404"/>
      <c r="Q3" s="729" t="str">
        <f>IF(G3=0,"verbergen","")</f>
        <v>verbergen</v>
      </c>
      <c r="R3" s="404"/>
      <c r="S3" s="404"/>
      <c r="T3" s="392"/>
      <c r="U3" s="547">
        <f>U2+1</f>
        <v>1</v>
      </c>
      <c r="V3" s="547"/>
      <c r="W3" s="547"/>
      <c r="X3" s="547"/>
      <c r="Y3" s="547"/>
      <c r="Z3" s="547"/>
      <c r="AA3" s="404"/>
      <c r="AB3" s="507"/>
      <c r="AC3" s="516"/>
      <c r="AD3" s="516"/>
      <c r="AE3" s="516"/>
      <c r="AF3" s="507"/>
      <c r="AG3" s="516"/>
      <c r="AH3" s="516"/>
    </row>
    <row r="4" spans="1:34" s="541" customFormat="1" ht="12" customHeight="1">
      <c r="A4" s="543"/>
      <c r="B4" s="543"/>
      <c r="C4" s="464" t="s">
        <v>252</v>
      </c>
      <c r="D4" s="811" t="s">
        <v>251</v>
      </c>
      <c r="E4" s="811"/>
      <c r="F4" s="657">
        <v>1</v>
      </c>
      <c r="G4" s="465">
        <v>0</v>
      </c>
      <c r="H4" s="466">
        <v>90</v>
      </c>
      <c r="I4" s="466">
        <v>20</v>
      </c>
      <c r="J4" s="466">
        <v>0</v>
      </c>
      <c r="K4" s="467" t="s">
        <v>737</v>
      </c>
      <c r="L4" s="467">
        <v>1</v>
      </c>
      <c r="M4" s="468">
        <f>IF(H4&gt;80,(IF(J4&gt;75,0,IF(I4&gt;80,0,INDEX(verzamelblad!$A$81:$BK$158, MATCH((CEILING(IF(J4&gt;=75,75,J4),1)),verzamelblad!$A$81:$A$158,), MATCH((CEILING(IF(I4&lt;=20,20,IF(I4&gt;=80,80,I4)),1)),verzamelblad!$A$81:$BK$81,))))),IF(I4&gt;75,0,INDEX(verzamelblad!$A$164:$BM$245, MATCH((CEILING(IF(H4&gt;=80,80,H4),1)),verzamelblad!$A$164:$A$245,), MATCH((CEILING(IF(I4&lt;=1,1,IF(I4&gt;=75,75,I4)),1)),verzamelblad!$A$164:$BM$164,))))</f>
        <v>0.8</v>
      </c>
      <c r="N4" s="469">
        <f>ROUND(F4*G4*L4*M4,2)</f>
        <v>0</v>
      </c>
      <c r="O4" s="470"/>
      <c r="P4" s="471"/>
      <c r="Q4" s="729" t="str">
        <f>IF(G4=0,"verbergen","")</f>
        <v>verbergen</v>
      </c>
      <c r="R4" s="404"/>
      <c r="S4" s="404"/>
      <c r="T4" s="392"/>
      <c r="U4" s="547">
        <f t="shared" ref="U4:U9" si="1">U3</f>
        <v>1</v>
      </c>
      <c r="V4" s="547"/>
      <c r="W4" s="547"/>
      <c r="X4" s="547"/>
      <c r="Y4" s="547"/>
      <c r="Z4" s="547"/>
      <c r="AA4" s="404"/>
      <c r="AB4" s="507"/>
      <c r="AC4" s="516"/>
      <c r="AD4" s="516"/>
      <c r="AE4" s="516"/>
      <c r="AF4" s="507"/>
      <c r="AG4" s="516"/>
      <c r="AH4" s="516"/>
    </row>
    <row r="5" spans="1:34" s="541" customFormat="1" ht="12" customHeight="1">
      <c r="A5" s="543"/>
      <c r="B5" s="543"/>
      <c r="C5" s="464" t="s">
        <v>252</v>
      </c>
      <c r="D5" s="811" t="s">
        <v>251</v>
      </c>
      <c r="E5" s="811"/>
      <c r="F5" s="657">
        <v>1</v>
      </c>
      <c r="G5" s="465">
        <v>0</v>
      </c>
      <c r="H5" s="466">
        <v>90</v>
      </c>
      <c r="I5" s="466">
        <v>20</v>
      </c>
      <c r="J5" s="466">
        <v>0</v>
      </c>
      <c r="K5" s="467" t="s">
        <v>737</v>
      </c>
      <c r="L5" s="467">
        <v>1</v>
      </c>
      <c r="M5" s="468">
        <f>IF(H5&gt;80,(IF(J5&gt;75,0,IF(I5&gt;80,0,INDEX(verzamelblad!$A$81:$BK$158, MATCH((CEILING(IF(J5&gt;=75,75,J5),1)),verzamelblad!$A$81:$A$158,), MATCH((CEILING(IF(I5&lt;=20,20,IF(I5&gt;=80,80,I5)),1)),verzamelblad!$A$81:$BK$81,))))),IF(I5&gt;75,0,INDEX(verzamelblad!$A$164:$BM$245, MATCH((CEILING(IF(H5&gt;=80,80,H5),1)),verzamelblad!$A$164:$A$245,), MATCH((CEILING(IF(I5&lt;=1,1,IF(I5&gt;=75,75,I5)),1)),verzamelblad!$A$164:$BM$164,))))</f>
        <v>0.8</v>
      </c>
      <c r="N5" s="469">
        <f>ROUND(F5*G5*L5*M5,2)</f>
        <v>0</v>
      </c>
      <c r="O5" s="470"/>
      <c r="P5" s="471"/>
      <c r="Q5" s="729" t="str">
        <f>IF(G5=0,"verbergen","")</f>
        <v>verbergen</v>
      </c>
      <c r="R5" s="404"/>
      <c r="S5" s="404"/>
      <c r="T5" s="392"/>
      <c r="U5" s="547">
        <f t="shared" si="1"/>
        <v>1</v>
      </c>
      <c r="V5" s="547"/>
      <c r="W5" s="547"/>
      <c r="X5" s="547"/>
      <c r="Y5" s="547"/>
      <c r="Z5" s="547"/>
      <c r="AA5" s="404"/>
      <c r="AB5" s="507"/>
      <c r="AC5" s="516"/>
      <c r="AD5" s="516"/>
      <c r="AE5" s="516"/>
      <c r="AF5" s="507"/>
      <c r="AG5" s="516"/>
      <c r="AH5" s="516"/>
    </row>
    <row r="6" spans="1:34" s="541" customFormat="1" ht="12" customHeight="1">
      <c r="A6" s="543"/>
      <c r="B6" s="543"/>
      <c r="C6" s="464" t="s">
        <v>252</v>
      </c>
      <c r="D6" s="811" t="s">
        <v>251</v>
      </c>
      <c r="E6" s="811"/>
      <c r="F6" s="657">
        <v>1</v>
      </c>
      <c r="G6" s="465">
        <v>0</v>
      </c>
      <c r="H6" s="466">
        <v>90</v>
      </c>
      <c r="I6" s="466">
        <v>20</v>
      </c>
      <c r="J6" s="466">
        <v>0</v>
      </c>
      <c r="K6" s="467" t="s">
        <v>737</v>
      </c>
      <c r="L6" s="467">
        <v>1</v>
      </c>
      <c r="M6" s="468">
        <f>IF(H6&gt;80,(IF(J6&gt;75,0,IF(I6&gt;80,0,INDEX(verzamelblad!$A$81:$BK$158, MATCH((CEILING(IF(J6&gt;=75,75,J6),1)),verzamelblad!$A$81:$A$158,), MATCH((CEILING(IF(I6&lt;=20,20,IF(I6&gt;=80,80,I6)),1)),verzamelblad!$A$81:$BK$81,))))),IF(I6&gt;75,0,INDEX(verzamelblad!$A$164:$BM$245, MATCH((CEILING(IF(H6&gt;=80,80,H6),1)),verzamelblad!$A$164:$A$245,), MATCH((CEILING(IF(I6&lt;=1,1,IF(I6&gt;=75,75,I6)),1)),verzamelblad!$A$164:$BM$164,))))</f>
        <v>0.8</v>
      </c>
      <c r="N6" s="469">
        <f>ROUND(F6*G6*L6*M6,2)</f>
        <v>0</v>
      </c>
      <c r="O6" s="470"/>
      <c r="P6" s="471"/>
      <c r="Q6" s="729" t="str">
        <f>IF(G6=0,"verbergen","")</f>
        <v>verbergen</v>
      </c>
      <c r="R6" s="404"/>
      <c r="S6" s="404"/>
      <c r="T6" s="392"/>
      <c r="U6" s="547">
        <f t="shared" si="1"/>
        <v>1</v>
      </c>
      <c r="V6" s="547"/>
      <c r="W6" s="547"/>
      <c r="X6" s="547"/>
      <c r="Y6" s="547"/>
      <c r="Z6" s="547"/>
      <c r="AA6" s="404"/>
      <c r="AB6" s="507"/>
      <c r="AC6" s="516"/>
      <c r="AD6" s="516"/>
      <c r="AE6" s="516"/>
      <c r="AF6" s="507"/>
      <c r="AG6" s="516"/>
      <c r="AH6" s="516"/>
    </row>
    <row r="7" spans="1:34" s="541" customFormat="1" ht="12" customHeight="1">
      <c r="A7" s="543"/>
      <c r="B7" s="543"/>
      <c r="C7" s="472" t="s">
        <v>252</v>
      </c>
      <c r="D7" s="812" t="s">
        <v>251</v>
      </c>
      <c r="E7" s="812"/>
      <c r="F7" s="727">
        <v>1</v>
      </c>
      <c r="G7" s="473">
        <v>0</v>
      </c>
      <c r="H7" s="474">
        <v>90</v>
      </c>
      <c r="I7" s="474">
        <v>20</v>
      </c>
      <c r="J7" s="474">
        <v>0</v>
      </c>
      <c r="K7" s="475" t="s">
        <v>737</v>
      </c>
      <c r="L7" s="475">
        <v>1</v>
      </c>
      <c r="M7" s="476">
        <f>IF(H7&gt;80,(IF(J7&gt;75,0,IF(I7&gt;80,0,INDEX(verzamelblad!$A$81:$BK$158, MATCH((CEILING(IF(J7&gt;=75,75,J7),1)),verzamelblad!$A$81:$A$158,), MATCH((CEILING(IF(I7&lt;=20,20,IF(I7&gt;=80,80,I7)),1)),verzamelblad!$A$81:$BK$81,))))),IF(I7&gt;75,0,INDEX(verzamelblad!$A$164:$BM$245, MATCH((CEILING(IF(H7&gt;=80,80,H7),1)),verzamelblad!$A$164:$A$245,), MATCH((CEILING(IF(I7&lt;=1,1,IF(I7&gt;=75,75,I7)),1)),verzamelblad!$A$164:$BM$164,))))</f>
        <v>0.8</v>
      </c>
      <c r="N7" s="477">
        <f>ROUND(F7*G7*L7*M7,2)</f>
        <v>0</v>
      </c>
      <c r="O7" s="478"/>
      <c r="P7" s="479"/>
      <c r="Q7" s="729" t="str">
        <f>IF(G7=0,"verbergen","")</f>
        <v>verbergen</v>
      </c>
      <c r="R7" s="404"/>
      <c r="S7" s="404"/>
      <c r="T7" s="392"/>
      <c r="U7" s="547">
        <f t="shared" si="1"/>
        <v>1</v>
      </c>
      <c r="V7" s="547"/>
      <c r="W7" s="547"/>
      <c r="X7" s="547"/>
      <c r="Y7" s="547"/>
      <c r="Z7" s="547"/>
      <c r="AA7" s="404"/>
      <c r="AB7" s="507"/>
      <c r="AC7" s="516"/>
      <c r="AD7" s="516"/>
      <c r="AE7" s="516"/>
      <c r="AF7" s="507"/>
      <c r="AG7" s="516"/>
      <c r="AH7" s="516"/>
    </row>
    <row r="8" spans="1:34" s="404" customFormat="1" ht="12" customHeight="1">
      <c r="A8" s="542"/>
      <c r="B8" s="556">
        <f>B1+1</f>
        <v>1</v>
      </c>
      <c r="C8" s="480">
        <f>B8</f>
        <v>1</v>
      </c>
      <c r="D8" s="481">
        <f>IF(O8&gt;P8,P8*10,O8*10)</f>
        <v>0</v>
      </c>
      <c r="E8" s="813" t="str">
        <f>IF(O8&lt;P8,(P8*10)-(O8*10),"(voldoet)")</f>
        <v>(voldoet)</v>
      </c>
      <c r="F8" s="813"/>
      <c r="G8" s="813"/>
      <c r="H8" s="482"/>
      <c r="I8" s="482"/>
      <c r="J8" s="483"/>
      <c r="K8" s="484"/>
      <c r="L8" s="485"/>
      <c r="M8" s="485"/>
      <c r="N8" s="485"/>
      <c r="O8" s="486">
        <f>SUM(N3:N8)</f>
        <v>0</v>
      </c>
      <c r="P8" s="486">
        <f>SUMPRODUCT(($AD$1:$AD$28157)*($AC$1:$AC$28157=B8))*verzamelblad!$Y$7/100</f>
        <v>0</v>
      </c>
      <c r="Q8" s="557"/>
      <c r="R8" s="557"/>
      <c r="S8" s="557"/>
      <c r="T8" s="558"/>
      <c r="U8" s="547">
        <f t="shared" si="1"/>
        <v>1</v>
      </c>
      <c r="V8" s="547"/>
      <c r="W8" s="547"/>
      <c r="X8" s="547"/>
      <c r="Y8" s="559">
        <f>IF(E8="(voldoet)",0,IF(E8="(voldoet niet)",D8,E8))</f>
        <v>0</v>
      </c>
      <c r="Z8" s="547"/>
      <c r="AB8" s="547"/>
      <c r="AC8" s="392"/>
      <c r="AD8" s="392"/>
      <c r="AE8" s="392"/>
      <c r="AF8" s="547"/>
      <c r="AG8" s="392"/>
      <c r="AH8" s="392"/>
    </row>
    <row r="9" spans="1:34" s="493" customFormat="1" ht="12" customHeight="1">
      <c r="A9" s="560"/>
      <c r="B9" s="560"/>
      <c r="C9" s="487"/>
      <c r="D9" s="487"/>
      <c r="E9" s="487"/>
      <c r="F9" s="463"/>
      <c r="G9" s="463"/>
      <c r="H9" s="456"/>
      <c r="I9" s="456"/>
      <c r="J9" s="456"/>
      <c r="K9" s="456"/>
      <c r="L9" s="456"/>
      <c r="M9" s="456"/>
      <c r="N9" s="456"/>
      <c r="O9" s="488"/>
      <c r="P9" s="489"/>
      <c r="Q9" s="451"/>
      <c r="R9" s="451"/>
      <c r="S9" s="451"/>
      <c r="T9" s="561"/>
      <c r="U9" s="547">
        <f t="shared" si="1"/>
        <v>1</v>
      </c>
      <c r="V9" s="547"/>
      <c r="W9" s="547"/>
      <c r="X9" s="547"/>
      <c r="Y9" s="547"/>
      <c r="Z9" s="547"/>
      <c r="AA9" s="451"/>
      <c r="AB9" s="507"/>
      <c r="AC9" s="507"/>
      <c r="AD9" s="507"/>
      <c r="AE9" s="507"/>
      <c r="AF9" s="507"/>
      <c r="AG9" s="507"/>
      <c r="AH9" s="507"/>
    </row>
    <row r="10" spans="1:34" s="493" customFormat="1" ht="12" customHeight="1">
      <c r="A10" s="560"/>
      <c r="B10" s="741" t="s">
        <v>256</v>
      </c>
      <c r="C10" s="744" t="s">
        <v>133</v>
      </c>
      <c r="D10" s="745" t="s">
        <v>1119</v>
      </c>
      <c r="E10" s="745" t="s">
        <v>34</v>
      </c>
      <c r="F10" s="913" t="s">
        <v>717</v>
      </c>
      <c r="G10" s="913"/>
      <c r="H10" s="913"/>
      <c r="I10" s="913" t="e">
        <f>IF(#REF!=1,"kozijnmerk","")</f>
        <v>#REF!</v>
      </c>
      <c r="J10" s="913"/>
      <c r="K10" s="744" t="e">
        <f>IF(#REF!=1,"dagmaat","")</f>
        <v>#REF!</v>
      </c>
      <c r="L10" s="919" t="e">
        <f>IF(AND(#REF!=1,#REF!=1),"benodigde capaciteit","")</f>
        <v>#REF!</v>
      </c>
      <c r="M10" s="919"/>
      <c r="N10" s="746" t="e">
        <f>IF(AND(#REF!=1,#REF!=2),"type","")</f>
        <v>#REF!</v>
      </c>
      <c r="O10" s="747"/>
      <c r="P10" s="748" t="e">
        <f>IF(AND(#REF!=1,#REF!=2),"aanwezige capaciteit","")</f>
        <v>#REF!</v>
      </c>
      <c r="Q10" s="918"/>
      <c r="R10" s="918"/>
      <c r="S10" s="749"/>
      <c r="T10" s="561"/>
      <c r="U10" s="547"/>
      <c r="V10" s="547"/>
      <c r="W10" s="547"/>
      <c r="X10" s="547"/>
      <c r="Y10" s="547"/>
      <c r="Z10" s="547"/>
      <c r="AA10" s="451"/>
      <c r="AB10" s="507"/>
      <c r="AC10" s="750"/>
      <c r="AD10" s="507"/>
      <c r="AE10" s="507"/>
      <c r="AF10" s="507"/>
    </row>
    <row r="11" spans="1:34" s="541" customFormat="1" ht="12" customHeight="1">
      <c r="A11" s="404"/>
      <c r="B11" s="543"/>
      <c r="C11" s="464" t="s">
        <v>252</v>
      </c>
      <c r="D11" s="733" t="e">
        <f>IF(F11="intern","",SUMPRODUCT(($AE$1:$AE$28008)*($L$1:$L$28008=C11)))</f>
        <v>#REF!</v>
      </c>
      <c r="E11" s="566" t="e">
        <f>IF(F11="intern","",IF(D11=0,0,(IF(verzamelblad!$K$7*D11&gt;verzamelblad!$P$7,CEILING(verzamelblad!$K$7*D11,0.1),verzamelblad!$P$7))))</f>
        <v>#REF!</v>
      </c>
      <c r="F11" s="584" t="str">
        <f>IF($S$16=1,"NT","MT")</f>
        <v>MT</v>
      </c>
      <c r="G11" s="731" t="s">
        <v>140</v>
      </c>
      <c r="H11" s="565">
        <v>0</v>
      </c>
      <c r="I11" s="811" t="s">
        <v>251</v>
      </c>
      <c r="J11" s="811"/>
      <c r="K11" s="585">
        <v>0</v>
      </c>
      <c r="L11" s="819" t="str">
        <f>IF(AND(S$16=1,S$17=2),"",IF(S$16=2,"",IF(K11=0,"",H11/(K11/1000))))</f>
        <v/>
      </c>
      <c r="M11" s="819"/>
      <c r="N11" s="816" t="s">
        <v>268</v>
      </c>
      <c r="O11" s="816"/>
      <c r="P11" s="586" t="str">
        <f>IF(K11=0,"-",INDEX('data roosters'!F:J,MATCH(N11,'data roosters'!F:F,0),2)*(K11/1000))</f>
        <v>-</v>
      </c>
      <c r="Q11" s="729" t="e">
        <f>IF(AND($S$16=1,$S$17=2),IF(OR(E11&lt;&gt;0,H11&lt;&gt;0,P11&lt;&gt;"-"),"","verbergen"),IF(OR(E11&lt;&gt;0,H11&lt;&gt;0),"","verbergen"))</f>
        <v>#REF!</v>
      </c>
      <c r="R11" s="601"/>
      <c r="S11" s="602"/>
      <c r="T11" s="392"/>
      <c r="U11" s="392"/>
      <c r="V11" s="547">
        <f>V10+1</f>
        <v>1</v>
      </c>
      <c r="W11" s="392"/>
      <c r="X11" s="392"/>
      <c r="Y11" s="392"/>
      <c r="Z11" s="392"/>
      <c r="AA11" s="404"/>
      <c r="AB11" s="516"/>
      <c r="AC11" s="516"/>
      <c r="AD11" s="516"/>
      <c r="AE11" s="516"/>
      <c r="AF11" s="515" t="e">
        <f>IF(E11&gt;0,"x","")</f>
        <v>#REF!</v>
      </c>
      <c r="AG11" s="516"/>
      <c r="AH11" s="516"/>
    </row>
    <row r="12" spans="1:34" s="541" customFormat="1" ht="12" customHeight="1">
      <c r="A12" s="404"/>
      <c r="B12" s="543"/>
      <c r="C12" s="464" t="s">
        <v>252</v>
      </c>
      <c r="D12" s="733" t="e">
        <f>IF(F12="intern","",SUMPRODUCT(($AE$1:$AE$28008)*($L$1:$L$28008=C12)))</f>
        <v>#REF!</v>
      </c>
      <c r="E12" s="566" t="e">
        <f>IF(F12="intern","",IF(D12=0,0,(IF(verzamelblad!$K$7*D12&gt;verzamelblad!$P$7,CEILING(verzamelblad!$K$7*D12,0.1),verzamelblad!$P$7))))</f>
        <v>#REF!</v>
      </c>
      <c r="F12" s="584" t="str">
        <f>IF($S$16=1,"NT","MT")</f>
        <v>MT</v>
      </c>
      <c r="G12" s="731" t="s">
        <v>140</v>
      </c>
      <c r="H12" s="565">
        <v>0</v>
      </c>
      <c r="I12" s="811" t="s">
        <v>251</v>
      </c>
      <c r="J12" s="811"/>
      <c r="K12" s="585">
        <v>0</v>
      </c>
      <c r="L12" s="819" t="str">
        <f>IF(AND(S$16=1,S$17=2),"",IF(S$16=2,"",IF(K12=0,"",H12/(K12/1000))))</f>
        <v/>
      </c>
      <c r="M12" s="819"/>
      <c r="N12" s="816" t="s">
        <v>268</v>
      </c>
      <c r="O12" s="816"/>
      <c r="P12" s="586" t="str">
        <f>IF(K12=0,"-",INDEX('data roosters'!F:J,MATCH(N12,'data roosters'!F:F,0),2)*(K12/1000))</f>
        <v>-</v>
      </c>
      <c r="Q12" s="729" t="e">
        <f t="shared" ref="Q12:Q15" si="2">IF(AND($S$16=1,$S$17=2),IF(OR(E12&lt;&gt;0,H12&lt;&gt;0,P12&lt;&gt;"-"),"","verbergen"),IF(OR(E12&lt;&gt;0,H12&lt;&gt;0),"","verbergen"))</f>
        <v>#REF!</v>
      </c>
      <c r="R12" s="418"/>
      <c r="S12" s="602"/>
      <c r="T12" s="392"/>
      <c r="U12" s="392"/>
      <c r="V12" s="547">
        <f t="shared" ref="V12:V17" si="3">V11</f>
        <v>1</v>
      </c>
      <c r="W12" s="392"/>
      <c r="X12" s="392"/>
      <c r="Y12" s="392"/>
      <c r="Z12" s="392"/>
      <c r="AA12" s="404"/>
      <c r="AB12" s="516"/>
      <c r="AC12" s="516"/>
      <c r="AD12" s="516"/>
      <c r="AE12" s="516"/>
      <c r="AF12" s="515" t="e">
        <f>IF(E12&gt;0,"x","")</f>
        <v>#REF!</v>
      </c>
      <c r="AG12" s="516"/>
      <c r="AH12" s="516"/>
    </row>
    <row r="13" spans="1:34" s="541" customFormat="1" ht="12" customHeight="1">
      <c r="A13" s="404"/>
      <c r="B13" s="543"/>
      <c r="C13" s="464" t="s">
        <v>252</v>
      </c>
      <c r="D13" s="733" t="e">
        <f>IF(F13="intern","",SUMPRODUCT(($AE$1:$AE$28008)*($L$1:$L$28008=C13)))</f>
        <v>#REF!</v>
      </c>
      <c r="E13" s="566" t="e">
        <f>IF(F13="intern","",IF(D13=0,0,(IF(verzamelblad!$K$7*D13&gt;verzamelblad!$P$7,CEILING(verzamelblad!$K$7*D13,0.1),verzamelblad!$P$7))))</f>
        <v>#REF!</v>
      </c>
      <c r="F13" s="584" t="str">
        <f>IF($S$16=1,"NT","MT")</f>
        <v>MT</v>
      </c>
      <c r="G13" s="731" t="s">
        <v>140</v>
      </c>
      <c r="H13" s="565">
        <v>0</v>
      </c>
      <c r="I13" s="811" t="s">
        <v>251</v>
      </c>
      <c r="J13" s="811"/>
      <c r="K13" s="585">
        <v>0</v>
      </c>
      <c r="L13" s="819" t="str">
        <f>IF(AND(S$16=1,S$17=2),"",IF(S$16=2,"",IF(K13=0,"",H13/(K13/1000))))</f>
        <v/>
      </c>
      <c r="M13" s="819"/>
      <c r="N13" s="816" t="s">
        <v>268</v>
      </c>
      <c r="O13" s="816"/>
      <c r="P13" s="586" t="str">
        <f>IF(K13=0,"-",INDEX('data roosters'!F:J,MATCH(N13,'data roosters'!F:F,0),2)*(K13/1000))</f>
        <v>-</v>
      </c>
      <c r="Q13" s="729" t="e">
        <f t="shared" si="2"/>
        <v>#REF!</v>
      </c>
      <c r="R13" s="603"/>
      <c r="S13" s="602"/>
      <c r="T13" s="392"/>
      <c r="U13" s="392"/>
      <c r="V13" s="547">
        <f t="shared" si="3"/>
        <v>1</v>
      </c>
      <c r="W13" s="392"/>
      <c r="X13" s="392"/>
      <c r="Y13" s="392"/>
      <c r="Z13" s="392"/>
      <c r="AA13" s="404"/>
      <c r="AB13" s="516"/>
      <c r="AC13" s="516"/>
      <c r="AD13" s="516"/>
      <c r="AE13" s="516"/>
      <c r="AF13" s="515" t="e">
        <f>IF(E13&gt;0,"x","")</f>
        <v>#REF!</v>
      </c>
      <c r="AG13" s="516"/>
      <c r="AH13" s="516"/>
    </row>
    <row r="14" spans="1:34" s="541" customFormat="1" ht="12" customHeight="1">
      <c r="A14" s="404"/>
      <c r="B14" s="543"/>
      <c r="C14" s="464" t="s">
        <v>252</v>
      </c>
      <c r="D14" s="733" t="e">
        <f>IF(F14="intern","",SUMPRODUCT(($AE$1:$AE$28008)*($L$1:$L$28008=C14)))</f>
        <v>#REF!</v>
      </c>
      <c r="E14" s="566" t="e">
        <f>IF(F14="intern","",IF(D14=0,0,(IF(verzamelblad!$K$7*D14&gt;verzamelblad!$P$7,CEILING(verzamelblad!$K$7*D14,0.1),verzamelblad!$P$7))))</f>
        <v>#REF!</v>
      </c>
      <c r="F14" s="584" t="str">
        <f>IF($S$16=1,"NT","MT")</f>
        <v>MT</v>
      </c>
      <c r="G14" s="731" t="s">
        <v>140</v>
      </c>
      <c r="H14" s="565">
        <v>0</v>
      </c>
      <c r="I14" s="811" t="s">
        <v>251</v>
      </c>
      <c r="J14" s="811"/>
      <c r="K14" s="585">
        <v>0</v>
      </c>
      <c r="L14" s="819" t="str">
        <f>IF(AND(S$16=1,S$17=2),"",IF(S$16=2,"",IF(K14=0,"",H14/(K14/1000))))</f>
        <v/>
      </c>
      <c r="M14" s="819"/>
      <c r="N14" s="816" t="s">
        <v>268</v>
      </c>
      <c r="O14" s="816"/>
      <c r="P14" s="586" t="str">
        <f>IF(K14=0,"-",INDEX('data roosters'!F:J,MATCH(N14,'data roosters'!F:F,0),2)*(K14/1000))</f>
        <v>-</v>
      </c>
      <c r="Q14" s="729" t="e">
        <f t="shared" si="2"/>
        <v>#REF!</v>
      </c>
      <c r="R14" s="603"/>
      <c r="S14" s="602"/>
      <c r="T14" s="392"/>
      <c r="U14" s="392"/>
      <c r="V14" s="547">
        <f t="shared" si="3"/>
        <v>1</v>
      </c>
      <c r="W14" s="392"/>
      <c r="X14" s="392"/>
      <c r="Y14" s="392"/>
      <c r="Z14" s="392"/>
      <c r="AA14" s="404"/>
      <c r="AB14" s="516"/>
      <c r="AC14" s="516"/>
      <c r="AD14" s="516"/>
      <c r="AE14" s="516"/>
      <c r="AF14" s="515" t="e">
        <f>IF(E14&gt;0,"x","")</f>
        <v>#REF!</v>
      </c>
      <c r="AG14" s="516"/>
      <c r="AH14" s="516"/>
    </row>
    <row r="15" spans="1:34" s="541" customFormat="1" ht="12" customHeight="1">
      <c r="A15" s="404"/>
      <c r="B15" s="543"/>
      <c r="C15" s="472" t="s">
        <v>252</v>
      </c>
      <c r="D15" s="737" t="e">
        <f>IF(F15="intern","",SUMPRODUCT(($AE$1:$AE$28008)*($L$1:$L$28008=C15)))</f>
        <v>#REF!</v>
      </c>
      <c r="E15" s="604" t="e">
        <f>IF(F15="intern","",IF(D15=0,0,(IF(verzamelblad!$K$7*D15&gt;verzamelblad!$P$7,CEILING(verzamelblad!$K$7*D15,0.1),verzamelblad!$P$7))))</f>
        <v>#REF!</v>
      </c>
      <c r="F15" s="605" t="str">
        <f>IF($S$16=1,"NT","MT")</f>
        <v>MT</v>
      </c>
      <c r="G15" s="606" t="s">
        <v>140</v>
      </c>
      <c r="H15" s="607">
        <v>0</v>
      </c>
      <c r="I15" s="812" t="s">
        <v>251</v>
      </c>
      <c r="J15" s="812"/>
      <c r="K15" s="608">
        <v>0</v>
      </c>
      <c r="L15" s="822" t="str">
        <f>IF(AND(S$16=1,S$17=2),"",IF(S$16=2,"",IF(K15=0,"",H15/(K15/1000))))</f>
        <v/>
      </c>
      <c r="M15" s="822"/>
      <c r="N15" s="823" t="s">
        <v>268</v>
      </c>
      <c r="O15" s="823"/>
      <c r="P15" s="609" t="str">
        <f>IF(K15=0,"-",INDEX('data roosters'!F:J,MATCH(N15,'data roosters'!F:F,0),2)*(K15/1000))</f>
        <v>-</v>
      </c>
      <c r="Q15" s="729" t="e">
        <f t="shared" si="2"/>
        <v>#REF!</v>
      </c>
      <c r="R15" s="603"/>
      <c r="S15" s="602"/>
      <c r="T15" s="392"/>
      <c r="U15" s="392"/>
      <c r="V15" s="547">
        <f t="shared" si="3"/>
        <v>1</v>
      </c>
      <c r="W15" s="392"/>
      <c r="X15" s="392"/>
      <c r="Y15" s="392"/>
      <c r="Z15" s="392"/>
      <c r="AA15" s="404"/>
      <c r="AB15" s="516"/>
      <c r="AC15" s="516"/>
      <c r="AD15" s="516"/>
      <c r="AE15" s="516"/>
      <c r="AF15" s="515" t="e">
        <f>IF(E15&gt;0,"x","")</f>
        <v>#REF!</v>
      </c>
      <c r="AG15" s="516"/>
      <c r="AH15" s="516"/>
    </row>
    <row r="16" spans="1:34" s="541" customFormat="1" ht="12" customHeight="1">
      <c r="A16" s="404"/>
      <c r="B16" s="556">
        <f>B9+1</f>
        <v>1</v>
      </c>
      <c r="C16" s="480">
        <f>B16</f>
        <v>1</v>
      </c>
      <c r="D16" s="481">
        <f>SUMPRODUCT(($AD$1:$AD$50050)*($AC$1:$AC$50050=B16))</f>
        <v>0</v>
      </c>
      <c r="E16" s="591">
        <f>IF(D16=0,0,(IF(verzamelblad!$E$7*D16&gt;verzamelblad!$J$7,CEILING(verzamelblad!$E$7*D16,0.1),verzamelblad!$J$7)))</f>
        <v>0</v>
      </c>
      <c r="F16" s="824" t="str">
        <f>IF(SUM(H11:H15)&lt;E16,"voldoet niet op VG-niveau","totaal: "&amp;SUM(H11:H15) &amp; " dm³/s ")</f>
        <v xml:space="preserve">totaal: 0 dm³/s </v>
      </c>
      <c r="G16" s="824"/>
      <c r="H16" s="824"/>
      <c r="I16" s="592"/>
      <c r="J16" s="593"/>
      <c r="K16" s="594"/>
      <c r="L16" s="595"/>
      <c r="M16" s="821"/>
      <c r="N16" s="821"/>
      <c r="O16" s="596"/>
      <c r="P16" s="597"/>
      <c r="Q16" s="403"/>
      <c r="R16" s="603"/>
      <c r="S16" s="602"/>
      <c r="T16" s="392"/>
      <c r="U16" s="392"/>
      <c r="V16" s="547">
        <f t="shared" si="3"/>
        <v>1</v>
      </c>
      <c r="W16" s="392"/>
      <c r="X16" s="392"/>
      <c r="Y16" s="392"/>
      <c r="Z16" s="392"/>
      <c r="AA16" s="404"/>
      <c r="AB16" s="516"/>
      <c r="AC16" s="516"/>
      <c r="AD16" s="516"/>
      <c r="AE16" s="516"/>
      <c r="AF16" s="515" t="str">
        <f>IF(B16&gt;0,"ja")</f>
        <v>ja</v>
      </c>
      <c r="AG16" s="516"/>
      <c r="AH16" s="516"/>
    </row>
    <row r="17" spans="1:34" s="541" customFormat="1" ht="12" customHeight="1">
      <c r="A17" s="543"/>
      <c r="B17" s="543"/>
      <c r="C17" s="598"/>
      <c r="D17" s="422"/>
      <c r="E17" s="422"/>
      <c r="F17" s="422"/>
      <c r="G17" s="422"/>
      <c r="H17" s="599"/>
      <c r="I17" s="599"/>
      <c r="J17" s="530"/>
      <c r="K17" s="600"/>
      <c r="L17" s="600"/>
      <c r="M17" s="600"/>
      <c r="N17" s="600"/>
      <c r="O17" s="600"/>
      <c r="P17" s="600"/>
      <c r="Q17" s="403"/>
      <c r="R17" s="603"/>
      <c r="S17" s="602"/>
      <c r="T17" s="392"/>
      <c r="U17" s="392"/>
      <c r="V17" s="547">
        <f t="shared" si="3"/>
        <v>1</v>
      </c>
      <c r="W17" s="392"/>
      <c r="X17" s="392"/>
      <c r="Y17" s="392"/>
      <c r="Z17" s="392"/>
      <c r="AA17" s="404"/>
      <c r="AB17" s="516"/>
      <c r="AC17" s="516"/>
      <c r="AD17" s="516"/>
      <c r="AE17" s="516"/>
      <c r="AF17" s="516"/>
      <c r="AG17" s="516"/>
      <c r="AH17" s="516"/>
    </row>
    <row r="18" spans="1:34" s="493" customFormat="1" ht="12" customHeight="1">
      <c r="A18" s="560"/>
      <c r="B18" s="560"/>
      <c r="C18" s="463"/>
      <c r="D18" s="463"/>
      <c r="E18" s="463"/>
      <c r="F18" s="463"/>
      <c r="G18" s="463"/>
      <c r="H18" s="456"/>
      <c r="I18" s="456"/>
      <c r="J18" s="456"/>
      <c r="K18" s="456"/>
      <c r="L18" s="456"/>
      <c r="M18" s="456"/>
      <c r="N18" s="456"/>
      <c r="O18" s="456"/>
      <c r="P18" s="456"/>
      <c r="Q18" s="451"/>
      <c r="R18" s="451"/>
      <c r="S18" s="451"/>
      <c r="T18" s="561"/>
      <c r="U18" s="561"/>
      <c r="V18" s="547"/>
      <c r="W18" s="547"/>
      <c r="X18" s="547"/>
      <c r="Y18" s="547"/>
      <c r="Z18" s="547"/>
      <c r="AA18" s="451"/>
      <c r="AB18" s="507"/>
      <c r="AC18" s="507"/>
      <c r="AD18" s="507"/>
      <c r="AE18" s="507"/>
      <c r="AF18" s="507"/>
      <c r="AG18" s="507"/>
      <c r="AH18" s="507"/>
    </row>
    <row r="19" spans="1:34" s="541" customFormat="1" ht="12" customHeight="1">
      <c r="A19" s="543"/>
      <c r="B19" s="741" t="s">
        <v>257</v>
      </c>
      <c r="C19" s="751" t="s">
        <v>133</v>
      </c>
      <c r="D19" s="914" t="s">
        <v>1120</v>
      </c>
      <c r="E19" s="914"/>
      <c r="F19" s="914" t="s">
        <v>678</v>
      </c>
      <c r="G19" s="914"/>
      <c r="H19" s="914" t="s">
        <v>677</v>
      </c>
      <c r="I19" s="914"/>
      <c r="J19" s="920" t="s">
        <v>134</v>
      </c>
      <c r="K19" s="920"/>
      <c r="L19" s="404"/>
      <c r="M19" s="917" t="s">
        <v>1121</v>
      </c>
      <c r="N19" s="917"/>
      <c r="O19" s="914" t="s">
        <v>1122</v>
      </c>
      <c r="P19" s="914"/>
      <c r="Q19" s="403"/>
      <c r="R19" s="404"/>
      <c r="S19" s="404"/>
      <c r="T19" s="544"/>
      <c r="U19" s="392"/>
      <c r="V19" s="392"/>
      <c r="W19" s="392"/>
      <c r="X19" s="392"/>
      <c r="Y19" s="392"/>
      <c r="Z19" s="392"/>
      <c r="AA19" s="404"/>
      <c r="AB19" s="516"/>
      <c r="AC19" s="516"/>
      <c r="AD19" s="516"/>
      <c r="AE19" s="516"/>
      <c r="AF19" s="516"/>
      <c r="AG19" s="516"/>
      <c r="AH19" s="516"/>
    </row>
    <row r="20" spans="1:34" s="541" customFormat="1" ht="12" customHeight="1">
      <c r="A20" s="543"/>
      <c r="B20" s="543"/>
      <c r="C20" s="640" t="s">
        <v>140</v>
      </c>
      <c r="D20" s="831" t="e">
        <f>SUMPRODUCT(($AE$1:$AE$27967)*($L$1:$L$27967=C20))</f>
        <v>#REF!</v>
      </c>
      <c r="E20" s="831"/>
      <c r="F20" s="811">
        <v>2</v>
      </c>
      <c r="G20" s="811"/>
      <c r="H20" s="841">
        <f t="shared" ref="H20:H25" si="4">IF(F20=0,"",IF(F20=1,0.1,0.4))</f>
        <v>0.4</v>
      </c>
      <c r="I20" s="841"/>
      <c r="J20" s="842" t="s">
        <v>245</v>
      </c>
      <c r="K20" s="842"/>
      <c r="L20" s="404"/>
      <c r="M20" s="666" t="e">
        <f>verzamelblad!$S$7*D20/H20/1000</f>
        <v>#REF!</v>
      </c>
      <c r="N20" s="735"/>
      <c r="O20" s="856" t="e">
        <f>M20</f>
        <v>#REF!</v>
      </c>
      <c r="P20" s="856"/>
      <c r="Q20" s="403" t="e">
        <f>IF(D20=0,"verbergen","")</f>
        <v>#REF!</v>
      </c>
      <c r="R20" s="404"/>
      <c r="S20" s="404"/>
      <c r="T20" s="392"/>
      <c r="U20" s="392"/>
      <c r="V20" s="392"/>
      <c r="W20" s="547">
        <f>W19+1</f>
        <v>1</v>
      </c>
      <c r="X20" s="392"/>
      <c r="Y20" s="392"/>
      <c r="Z20" s="392"/>
      <c r="AA20" s="404"/>
      <c r="AB20" s="516"/>
      <c r="AC20" s="516"/>
      <c r="AD20" s="516"/>
      <c r="AE20" s="516"/>
      <c r="AF20" s="516"/>
      <c r="AG20" s="516"/>
      <c r="AH20" s="516"/>
    </row>
    <row r="21" spans="1:34" s="541" customFormat="1" ht="12" customHeight="1">
      <c r="A21" s="543"/>
      <c r="B21" s="543"/>
      <c r="C21" s="640" t="s">
        <v>140</v>
      </c>
      <c r="D21" s="831" t="e">
        <f>SUMPRODUCT(($AE$1:$AE$27967)*($L$1:$L$27967=C21))</f>
        <v>#REF!</v>
      </c>
      <c r="E21" s="831"/>
      <c r="F21" s="811">
        <v>2</v>
      </c>
      <c r="G21" s="811"/>
      <c r="H21" s="841">
        <f t="shared" si="4"/>
        <v>0.4</v>
      </c>
      <c r="I21" s="841"/>
      <c r="J21" s="842" t="s">
        <v>245</v>
      </c>
      <c r="K21" s="842"/>
      <c r="L21" s="404"/>
      <c r="M21" s="666" t="e">
        <f>verzamelblad!$S$7*D21/H21/1000</f>
        <v>#REF!</v>
      </c>
      <c r="N21" s="735"/>
      <c r="O21" s="856" t="e">
        <f t="shared" ref="O21:O25" si="5">M21</f>
        <v>#REF!</v>
      </c>
      <c r="P21" s="856"/>
      <c r="Q21" s="403" t="e">
        <f t="shared" ref="Q21:Q25" si="6">IF(D21=0,"verbergen","")</f>
        <v>#REF!</v>
      </c>
      <c r="R21" s="404"/>
      <c r="S21" s="404"/>
      <c r="T21" s="392"/>
      <c r="U21" s="392"/>
      <c r="V21" s="392"/>
      <c r="W21" s="547">
        <f t="shared" ref="W21:W26" si="7">W20</f>
        <v>1</v>
      </c>
      <c r="X21" s="392"/>
      <c r="Y21" s="392"/>
      <c r="Z21" s="392"/>
      <c r="AA21" s="404"/>
      <c r="AB21" s="516"/>
      <c r="AC21" s="516"/>
      <c r="AD21" s="516"/>
      <c r="AE21" s="516"/>
      <c r="AF21" s="516"/>
      <c r="AG21" s="516"/>
      <c r="AH21" s="516"/>
    </row>
    <row r="22" spans="1:34" s="541" customFormat="1" ht="12" customHeight="1">
      <c r="A22" s="543"/>
      <c r="B22" s="543"/>
      <c r="C22" s="640" t="s">
        <v>140</v>
      </c>
      <c r="D22" s="831" t="e">
        <f>SUMPRODUCT(($AE$1:$AE$27967)*($L$1:$L$27967=C22))</f>
        <v>#REF!</v>
      </c>
      <c r="E22" s="831"/>
      <c r="F22" s="811">
        <v>2</v>
      </c>
      <c r="G22" s="811"/>
      <c r="H22" s="841">
        <f t="shared" si="4"/>
        <v>0.4</v>
      </c>
      <c r="I22" s="841"/>
      <c r="J22" s="842" t="s">
        <v>245</v>
      </c>
      <c r="K22" s="842"/>
      <c r="L22" s="404"/>
      <c r="M22" s="666" t="e">
        <f>verzamelblad!$S$7*D22/H22/1000</f>
        <v>#REF!</v>
      </c>
      <c r="N22" s="735"/>
      <c r="O22" s="856" t="e">
        <f t="shared" si="5"/>
        <v>#REF!</v>
      </c>
      <c r="P22" s="856"/>
      <c r="Q22" s="403" t="e">
        <f t="shared" si="6"/>
        <v>#REF!</v>
      </c>
      <c r="R22" s="404"/>
      <c r="S22" s="404"/>
      <c r="T22" s="392"/>
      <c r="U22" s="392"/>
      <c r="V22" s="392"/>
      <c r="W22" s="547">
        <f t="shared" si="7"/>
        <v>1</v>
      </c>
      <c r="X22" s="392"/>
      <c r="Y22" s="392"/>
      <c r="Z22" s="392"/>
      <c r="AA22" s="404"/>
      <c r="AB22" s="516"/>
      <c r="AC22" s="516"/>
      <c r="AD22" s="516"/>
      <c r="AE22" s="516"/>
      <c r="AF22" s="516"/>
      <c r="AG22" s="516"/>
      <c r="AH22" s="516"/>
    </row>
    <row r="23" spans="1:34" s="541" customFormat="1" ht="12" customHeight="1">
      <c r="A23" s="543"/>
      <c r="B23" s="543"/>
      <c r="C23" s="640" t="s">
        <v>140</v>
      </c>
      <c r="D23" s="831" t="e">
        <f>SUMPRODUCT(($AE$1:$AE$27967)*($L$1:$L$27967=C23))</f>
        <v>#REF!</v>
      </c>
      <c r="E23" s="831"/>
      <c r="F23" s="811">
        <v>2</v>
      </c>
      <c r="G23" s="811"/>
      <c r="H23" s="841">
        <f t="shared" si="4"/>
        <v>0.4</v>
      </c>
      <c r="I23" s="841"/>
      <c r="J23" s="842" t="s">
        <v>245</v>
      </c>
      <c r="K23" s="842"/>
      <c r="L23" s="404"/>
      <c r="M23" s="666" t="e">
        <f>verzamelblad!$S$7*D23/H23/1000</f>
        <v>#REF!</v>
      </c>
      <c r="N23" s="735"/>
      <c r="O23" s="856" t="e">
        <f t="shared" si="5"/>
        <v>#REF!</v>
      </c>
      <c r="P23" s="856"/>
      <c r="Q23" s="403" t="e">
        <f t="shared" si="6"/>
        <v>#REF!</v>
      </c>
      <c r="R23" s="404"/>
      <c r="S23" s="404"/>
      <c r="T23" s="392"/>
      <c r="U23" s="392"/>
      <c r="V23" s="392"/>
      <c r="W23" s="547">
        <f t="shared" si="7"/>
        <v>1</v>
      </c>
      <c r="X23" s="392"/>
      <c r="Y23" s="392"/>
      <c r="Z23" s="392"/>
      <c r="AA23" s="404"/>
      <c r="AB23" s="516"/>
      <c r="AC23" s="516"/>
      <c r="AD23" s="516"/>
      <c r="AE23" s="516"/>
      <c r="AF23" s="516"/>
      <c r="AG23" s="516"/>
      <c r="AH23" s="516"/>
    </row>
    <row r="24" spans="1:34" s="541" customFormat="1" ht="12" customHeight="1">
      <c r="A24" s="543"/>
      <c r="B24" s="543"/>
      <c r="C24" s="667" t="s">
        <v>140</v>
      </c>
      <c r="D24" s="847" t="e">
        <f>SUMPRODUCT(($AE$1:$AE$27967)*($L$1:$L$27967=C24))</f>
        <v>#REF!</v>
      </c>
      <c r="E24" s="847"/>
      <c r="F24" s="812">
        <v>2</v>
      </c>
      <c r="G24" s="812"/>
      <c r="H24" s="848">
        <f t="shared" si="4"/>
        <v>0.4</v>
      </c>
      <c r="I24" s="848"/>
      <c r="J24" s="849" t="s">
        <v>245</v>
      </c>
      <c r="K24" s="849"/>
      <c r="L24" s="628"/>
      <c r="M24" s="668" t="e">
        <f>verzamelblad!$S$7*D24/H24/1000</f>
        <v>#REF!</v>
      </c>
      <c r="N24" s="738"/>
      <c r="O24" s="857" t="e">
        <f t="shared" si="5"/>
        <v>#REF!</v>
      </c>
      <c r="P24" s="857"/>
      <c r="Q24" s="403" t="e">
        <f>IF(D24=0,"verbergen","")</f>
        <v>#REF!</v>
      </c>
      <c r="R24" s="404"/>
      <c r="S24" s="404"/>
      <c r="T24" s="392"/>
      <c r="U24" s="392"/>
      <c r="V24" s="392"/>
      <c r="W24" s="547">
        <f t="shared" si="7"/>
        <v>1</v>
      </c>
      <c r="X24" s="392"/>
      <c r="Y24" s="392"/>
      <c r="Z24" s="392"/>
      <c r="AA24" s="404"/>
      <c r="AB24" s="516"/>
      <c r="AC24" s="516"/>
      <c r="AD24" s="516"/>
      <c r="AE24" s="516"/>
      <c r="AF24" s="516"/>
      <c r="AG24" s="516"/>
      <c r="AH24" s="516"/>
    </row>
    <row r="25" spans="1:34" s="541" customFormat="1" ht="12" customHeight="1">
      <c r="A25" s="543"/>
      <c r="B25" s="556">
        <f>B18+1</f>
        <v>1</v>
      </c>
      <c r="C25" s="480">
        <f>B25</f>
        <v>1</v>
      </c>
      <c r="D25" s="851">
        <f>SUMPRODUCT(($AD$1:$AD$49993)*($AC$1:$AC$49993=B25))</f>
        <v>0</v>
      </c>
      <c r="E25" s="851"/>
      <c r="F25" s="852">
        <v>2</v>
      </c>
      <c r="G25" s="852"/>
      <c r="H25" s="853">
        <f t="shared" si="4"/>
        <v>0.4</v>
      </c>
      <c r="I25" s="853"/>
      <c r="J25" s="854" t="s">
        <v>245</v>
      </c>
      <c r="K25" s="854"/>
      <c r="L25" s="592"/>
      <c r="M25" s="669">
        <f>verzamelblad!$R$7*D25/H25/1000</f>
        <v>0</v>
      </c>
      <c r="N25" s="739"/>
      <c r="O25" s="858">
        <f t="shared" si="5"/>
        <v>0</v>
      </c>
      <c r="P25" s="858"/>
      <c r="Q25" s="403" t="str">
        <f t="shared" si="6"/>
        <v>verbergen</v>
      </c>
      <c r="R25" s="404"/>
      <c r="S25" s="404"/>
      <c r="T25" s="392"/>
      <c r="U25" s="392"/>
      <c r="V25" s="392"/>
      <c r="W25" s="547">
        <f t="shared" si="7"/>
        <v>1</v>
      </c>
      <c r="X25" s="392"/>
      <c r="Y25" s="392"/>
      <c r="Z25" s="392"/>
      <c r="AA25" s="404"/>
      <c r="AB25" s="516"/>
      <c r="AC25" s="516"/>
      <c r="AD25" s="516"/>
      <c r="AE25" s="516"/>
      <c r="AF25" s="516"/>
      <c r="AG25" s="516"/>
      <c r="AH25" s="516"/>
    </row>
    <row r="26" spans="1:34" s="493" customFormat="1" ht="12" customHeight="1">
      <c r="A26" s="560"/>
      <c r="B26" s="560"/>
      <c r="C26" s="463"/>
      <c r="D26" s="463"/>
      <c r="E26" s="463"/>
      <c r="F26" s="463"/>
      <c r="G26" s="463"/>
      <c r="H26" s="456"/>
      <c r="I26" s="456"/>
      <c r="J26" s="456"/>
      <c r="K26" s="456"/>
      <c r="L26" s="456"/>
      <c r="M26" s="456"/>
      <c r="N26" s="456"/>
      <c r="O26" s="456"/>
      <c r="P26" s="456"/>
      <c r="Q26" s="451"/>
      <c r="R26" s="451"/>
      <c r="S26" s="451"/>
      <c r="T26" s="561"/>
      <c r="U26" s="547"/>
      <c r="V26" s="547"/>
      <c r="W26" s="547">
        <f t="shared" si="7"/>
        <v>1</v>
      </c>
      <c r="X26" s="547"/>
      <c r="Y26" s="547"/>
      <c r="Z26" s="547"/>
      <c r="AA26" s="451"/>
      <c r="AB26" s="507"/>
      <c r="AC26" s="507"/>
      <c r="AD26" s="507"/>
      <c r="AE26" s="507"/>
      <c r="AF26" s="507"/>
      <c r="AG26" s="507"/>
      <c r="AH26" s="507"/>
    </row>
    <row r="27" spans="1:34" s="541" customFormat="1" ht="12" customHeight="1">
      <c r="A27" s="543"/>
      <c r="B27" s="543"/>
      <c r="C27" s="752" t="s">
        <v>652</v>
      </c>
      <c r="D27" s="753" t="s">
        <v>1123</v>
      </c>
      <c r="E27" s="753" t="s">
        <v>1124</v>
      </c>
      <c r="F27" s="915" t="s">
        <v>1125</v>
      </c>
      <c r="G27" s="915"/>
      <c r="H27" s="915"/>
      <c r="I27" s="915"/>
      <c r="J27" s="915" t="s">
        <v>132</v>
      </c>
      <c r="K27" s="915"/>
      <c r="L27" s="915" t="s">
        <v>676</v>
      </c>
      <c r="M27" s="915"/>
      <c r="N27" s="915" t="s">
        <v>1126</v>
      </c>
      <c r="O27" s="915"/>
      <c r="P27" s="753"/>
      <c r="Q27" s="754"/>
      <c r="R27" s="404"/>
      <c r="S27" s="404"/>
      <c r="T27" s="544"/>
      <c r="U27" s="392"/>
      <c r="V27" s="392"/>
      <c r="W27" s="392"/>
      <c r="X27" s="392"/>
      <c r="Y27" s="392"/>
      <c r="Z27" s="392"/>
      <c r="AA27" s="404"/>
      <c r="AB27" s="516"/>
      <c r="AC27" s="512"/>
      <c r="AD27" s="516"/>
      <c r="AE27" s="516"/>
      <c r="AF27" s="516"/>
      <c r="AG27" s="516"/>
      <c r="AH27" s="755"/>
    </row>
    <row r="28" spans="1:34" s="518" customFormat="1" ht="12" customHeight="1">
      <c r="A28" s="542">
        <f>A27+1</f>
        <v>1</v>
      </c>
      <c r="B28" s="543" t="s">
        <v>258</v>
      </c>
      <c r="C28" s="438"/>
      <c r="D28" s="740">
        <v>0</v>
      </c>
      <c r="E28" s="725" t="str">
        <f>IF(C28="","",SUMPRODUCT(($Y$1:$Y$28194)*($U$1:$U$28194=C28)))</f>
        <v/>
      </c>
      <c r="F28" s="802" t="str">
        <f>IF(E28="","",IF(SUMPRODUCT(($AD$1:$AD$28194)*($AC$1:$AC$28194=C28))-E28&lt;verzamelblad!$AG$7,"&lt; " &amp; verzamelblad!$AG$7 &amp; " m², geen VG",SUMPRODUCT(($AD$1:$AD$28194)*($AC$1:$AC$28194=C28))-E28))</f>
        <v/>
      </c>
      <c r="G28" s="802"/>
      <c r="H28" s="756" t="str">
        <f t="shared" ref="H28" si="8">IF(C28="","",0)</f>
        <v/>
      </c>
      <c r="I28" s="439"/>
      <c r="J28" s="803">
        <f>A28</f>
        <v>1</v>
      </c>
      <c r="K28" s="803"/>
      <c r="L28" s="440" t="s">
        <v>676</v>
      </c>
      <c r="M28" s="440"/>
      <c r="N28" s="804">
        <v>0</v>
      </c>
      <c r="O28" s="804"/>
      <c r="P28" s="441"/>
      <c r="Q28" s="404"/>
      <c r="R28" s="404"/>
      <c r="S28" s="404"/>
      <c r="T28" s="544"/>
      <c r="U28" s="392"/>
      <c r="V28" s="545"/>
      <c r="W28" s="545"/>
      <c r="X28" s="757">
        <f>A28</f>
        <v>1</v>
      </c>
      <c r="Y28" s="545"/>
      <c r="Z28" s="545"/>
      <c r="AA28" s="546"/>
      <c r="AB28" s="517"/>
      <c r="AC28" s="537">
        <f t="shared" ref="AC28" si="9">IF(C28&lt;&gt;"",C28,AC27)</f>
        <v>0</v>
      </c>
      <c r="AD28" s="538">
        <f t="shared" ref="AD28" si="10">IF(C28&lt;&gt;"",D28+H28,0)</f>
        <v>0</v>
      </c>
      <c r="AE28" s="539">
        <f>N28</f>
        <v>0</v>
      </c>
      <c r="AF28" s="517"/>
      <c r="AG28" s="517">
        <f>IF(P28="ja",1,0)</f>
        <v>0</v>
      </c>
      <c r="AH28" s="535"/>
    </row>
    <row r="29" spans="1:34" ht="12" customHeight="1">
      <c r="A29" s="560"/>
      <c r="B29" s="758" t="s">
        <v>733</v>
      </c>
      <c r="C29" s="449" t="s">
        <v>730</v>
      </c>
      <c r="D29" s="759"/>
      <c r="E29" s="760" t="s">
        <v>731</v>
      </c>
      <c r="F29" s="759"/>
      <c r="G29" s="759"/>
      <c r="H29" s="761" t="s">
        <v>732</v>
      </c>
      <c r="I29" s="916" t="s">
        <v>605</v>
      </c>
      <c r="J29" s="916"/>
      <c r="K29" s="759"/>
      <c r="L29" s="759"/>
      <c r="M29" s="759"/>
      <c r="N29" s="759"/>
      <c r="O29" s="759"/>
      <c r="P29" s="759"/>
      <c r="Q29" s="547"/>
      <c r="R29" s="547"/>
      <c r="S29" s="547"/>
      <c r="T29" s="561"/>
      <c r="U29" s="547"/>
      <c r="V29" s="547"/>
      <c r="W29" s="547"/>
      <c r="X29" s="547"/>
      <c r="Y29" s="547"/>
      <c r="Z29" s="547"/>
      <c r="AA29" s="451"/>
      <c r="AC29" s="763"/>
      <c r="AG29" s="764"/>
      <c r="AH29" s="764"/>
    </row>
    <row r="30" spans="1:34" s="541" customFormat="1" ht="12" customHeight="1">
      <c r="A30" s="392"/>
      <c r="B30" s="543"/>
      <c r="C30" s="464" t="s">
        <v>140</v>
      </c>
      <c r="D30" s="100" t="s">
        <v>141</v>
      </c>
      <c r="E30" s="464" t="s">
        <v>140</v>
      </c>
      <c r="F30" s="586"/>
      <c r="G30" s="586"/>
      <c r="H30" s="647">
        <v>0</v>
      </c>
      <c r="I30" s="833">
        <f>H30*12</f>
        <v>0</v>
      </c>
      <c r="J30" s="833"/>
      <c r="K30" s="834" t="str">
        <f>IF(I30&gt;200,"zie rapport voor nadere toelichting overstroomvoorzieningen","")</f>
        <v/>
      </c>
      <c r="L30" s="834"/>
      <c r="M30" s="834"/>
      <c r="N30" s="834"/>
      <c r="O30" s="834"/>
      <c r="P30" s="834"/>
      <c r="Q30" s="729" t="str">
        <f>IF(H30=0,"verbergen","")</f>
        <v>verbergen</v>
      </c>
      <c r="R30" s="392"/>
      <c r="S30" s="392"/>
      <c r="T30" s="544"/>
      <c r="U30" s="392"/>
      <c r="V30" s="392"/>
      <c r="W30" s="392"/>
      <c r="X30" s="392"/>
      <c r="Y30" s="392"/>
      <c r="Z30" s="547">
        <f>Z29+1</f>
        <v>1</v>
      </c>
      <c r="AA30" s="404"/>
      <c r="AB30" s="516"/>
      <c r="AC30" s="516"/>
      <c r="AD30" s="516"/>
      <c r="AE30" s="516"/>
      <c r="AF30" s="515"/>
    </row>
    <row r="31" spans="1:34" s="541" customFormat="1" ht="12" customHeight="1">
      <c r="A31" s="392"/>
      <c r="B31" s="543"/>
      <c r="C31" s="464" t="s">
        <v>140</v>
      </c>
      <c r="D31" s="100" t="s">
        <v>141</v>
      </c>
      <c r="E31" s="464" t="s">
        <v>140</v>
      </c>
      <c r="F31" s="586"/>
      <c r="G31" s="586"/>
      <c r="H31" s="647">
        <v>0</v>
      </c>
      <c r="I31" s="833">
        <f t="shared" ref="I31:I34" si="11">H31*12</f>
        <v>0</v>
      </c>
      <c r="J31" s="833"/>
      <c r="K31" s="834" t="str">
        <f>IF(I31&gt;200,"zie rapport voor nadere toelichting overstroomvoorzieningen","")</f>
        <v/>
      </c>
      <c r="L31" s="834"/>
      <c r="M31" s="834"/>
      <c r="N31" s="834"/>
      <c r="O31" s="834"/>
      <c r="P31" s="834"/>
      <c r="Q31" s="729" t="str">
        <f>IF(H31=0,"verbergen","")</f>
        <v>verbergen</v>
      </c>
      <c r="R31" s="392"/>
      <c r="S31" s="392"/>
      <c r="T31" s="544"/>
      <c r="U31" s="392"/>
      <c r="V31" s="392"/>
      <c r="W31" s="392"/>
      <c r="X31" s="392"/>
      <c r="Y31" s="392"/>
      <c r="Z31" s="547">
        <f t="shared" ref="Z31:Z36" si="12">Z30</f>
        <v>1</v>
      </c>
      <c r="AA31" s="404"/>
      <c r="AB31" s="516"/>
      <c r="AC31" s="516"/>
      <c r="AD31" s="516"/>
      <c r="AE31" s="516"/>
      <c r="AF31" s="515"/>
    </row>
    <row r="32" spans="1:34" s="541" customFormat="1" ht="12" customHeight="1">
      <c r="A32" s="392"/>
      <c r="B32" s="543"/>
      <c r="C32" s="464" t="s">
        <v>140</v>
      </c>
      <c r="D32" s="100" t="s">
        <v>141</v>
      </c>
      <c r="E32" s="464" t="s">
        <v>140</v>
      </c>
      <c r="F32" s="586"/>
      <c r="G32" s="586"/>
      <c r="H32" s="647">
        <v>0</v>
      </c>
      <c r="I32" s="833">
        <f t="shared" si="11"/>
        <v>0</v>
      </c>
      <c r="J32" s="833"/>
      <c r="K32" s="834" t="str">
        <f>IF(I32&gt;200,"zie rapport voor nadere toelichting overstroomvoorzieningen","")</f>
        <v/>
      </c>
      <c r="L32" s="834"/>
      <c r="M32" s="834"/>
      <c r="N32" s="834"/>
      <c r="O32" s="834"/>
      <c r="P32" s="834"/>
      <c r="Q32" s="729" t="str">
        <f>IF(H32=0,"verbergen","")</f>
        <v>verbergen</v>
      </c>
      <c r="R32" s="392"/>
      <c r="S32" s="392"/>
      <c r="T32" s="544"/>
      <c r="U32" s="392"/>
      <c r="V32" s="392"/>
      <c r="W32" s="392"/>
      <c r="X32" s="392"/>
      <c r="Y32" s="392"/>
      <c r="Z32" s="547">
        <f t="shared" si="12"/>
        <v>1</v>
      </c>
      <c r="AA32" s="404"/>
      <c r="AB32" s="516"/>
      <c r="AC32" s="516"/>
      <c r="AD32" s="516"/>
      <c r="AE32" s="516"/>
      <c r="AF32" s="515"/>
    </row>
    <row r="33" spans="1:32" s="541" customFormat="1" ht="12" customHeight="1">
      <c r="A33" s="542"/>
      <c r="B33" s="543"/>
      <c r="C33" s="464" t="s">
        <v>140</v>
      </c>
      <c r="D33" s="100" t="s">
        <v>141</v>
      </c>
      <c r="E33" s="464" t="s">
        <v>140</v>
      </c>
      <c r="F33" s="586"/>
      <c r="G33" s="404"/>
      <c r="H33" s="647">
        <v>0</v>
      </c>
      <c r="I33" s="833">
        <f t="shared" si="11"/>
        <v>0</v>
      </c>
      <c r="J33" s="833"/>
      <c r="K33" s="834" t="str">
        <f>IF(I33&gt;200,"zie rapport voor nadere toelichting overstroomvoorzieningen","")</f>
        <v/>
      </c>
      <c r="L33" s="834"/>
      <c r="M33" s="834"/>
      <c r="N33" s="834"/>
      <c r="O33" s="834"/>
      <c r="P33" s="834"/>
      <c r="Q33" s="729" t="str">
        <f>IF(H33=0,"verbergen","")</f>
        <v>verbergen</v>
      </c>
      <c r="R33" s="392"/>
      <c r="S33" s="392"/>
      <c r="T33" s="544"/>
      <c r="U33" s="392"/>
      <c r="V33" s="392"/>
      <c r="W33" s="392"/>
      <c r="X33" s="392"/>
      <c r="Y33" s="392"/>
      <c r="Z33" s="547">
        <f t="shared" si="12"/>
        <v>1</v>
      </c>
      <c r="AA33" s="404"/>
      <c r="AB33" s="516"/>
      <c r="AC33" s="516"/>
      <c r="AD33" s="516"/>
      <c r="AE33" s="516"/>
      <c r="AF33" s="515"/>
    </row>
    <row r="34" spans="1:32" s="541" customFormat="1" ht="12" customHeight="1">
      <c r="A34" s="542"/>
      <c r="B34" s="543"/>
      <c r="C34" s="472" t="s">
        <v>140</v>
      </c>
      <c r="D34" s="100" t="s">
        <v>141</v>
      </c>
      <c r="E34" s="472" t="s">
        <v>140</v>
      </c>
      <c r="F34" s="609"/>
      <c r="G34" s="628"/>
      <c r="H34" s="649">
        <v>0</v>
      </c>
      <c r="I34" s="835">
        <f t="shared" si="11"/>
        <v>0</v>
      </c>
      <c r="J34" s="835"/>
      <c r="K34" s="836" t="str">
        <f>IF(I34&gt;200,"zie rapport voor nadere toelichting overstroomvoorzieningen","")</f>
        <v/>
      </c>
      <c r="L34" s="836"/>
      <c r="M34" s="836"/>
      <c r="N34" s="836"/>
      <c r="O34" s="836"/>
      <c r="P34" s="836"/>
      <c r="Q34" s="729" t="str">
        <f>IF(H34=0,"verbergen","")</f>
        <v>verbergen</v>
      </c>
      <c r="R34" s="392"/>
      <c r="S34" s="392"/>
      <c r="T34" s="544"/>
      <c r="U34" s="392"/>
      <c r="V34" s="392"/>
      <c r="W34" s="392"/>
      <c r="X34" s="392"/>
      <c r="Y34" s="392"/>
      <c r="Z34" s="547">
        <f t="shared" si="12"/>
        <v>1</v>
      </c>
      <c r="AA34" s="404"/>
      <c r="AB34" s="516"/>
      <c r="AC34" s="516"/>
      <c r="AD34" s="516"/>
      <c r="AE34" s="516"/>
      <c r="AF34" s="515"/>
    </row>
    <row r="35" spans="1:32" s="541" customFormat="1" ht="12" customHeight="1">
      <c r="A35" s="542"/>
      <c r="B35" s="556" t="e">
        <f>B28+1</f>
        <v>#VALUE!</v>
      </c>
      <c r="C35" s="480" t="e">
        <f>B35</f>
        <v>#VALUE!</v>
      </c>
      <c r="D35" s="592"/>
      <c r="E35" s="592"/>
      <c r="F35" s="650"/>
      <c r="G35" s="592"/>
      <c r="H35" s="651"/>
      <c r="I35" s="652"/>
      <c r="J35" s="653"/>
      <c r="K35" s="837" t="str">
        <f>IF(MAX(P30:P34)&gt;200,"zie rapport voor nadere toelichting overstroomvoorzieningen","")</f>
        <v/>
      </c>
      <c r="L35" s="837"/>
      <c r="M35" s="837"/>
      <c r="N35" s="837"/>
      <c r="O35" s="837"/>
      <c r="P35" s="837"/>
      <c r="Q35" s="392" t="str">
        <f>IF(SUM(H30:H36)=0,"verbergen","")</f>
        <v>verbergen</v>
      </c>
      <c r="R35" s="392"/>
      <c r="S35" s="392"/>
      <c r="T35" s="544"/>
      <c r="U35" s="392"/>
      <c r="V35" s="392"/>
      <c r="W35" s="392"/>
      <c r="X35" s="392"/>
      <c r="Y35" s="392"/>
      <c r="Z35" s="547">
        <f t="shared" si="12"/>
        <v>1</v>
      </c>
      <c r="AA35" s="404"/>
      <c r="AB35" s="516"/>
      <c r="AC35" s="516"/>
      <c r="AD35" s="516"/>
      <c r="AE35" s="516"/>
      <c r="AF35" s="515"/>
    </row>
    <row r="36" spans="1:32" s="541" customFormat="1" ht="12" customHeight="1">
      <c r="A36" s="542"/>
      <c r="B36" s="543"/>
      <c r="C36" s="654"/>
      <c r="D36" s="404"/>
      <c r="E36" s="404"/>
      <c r="F36" s="586"/>
      <c r="G36" s="404"/>
      <c r="H36" s="655"/>
      <c r="I36" s="656"/>
      <c r="J36" s="657"/>
      <c r="K36" s="838"/>
      <c r="L36" s="838"/>
      <c r="M36" s="839"/>
      <c r="N36" s="839"/>
      <c r="O36" s="840"/>
      <c r="P36" s="840"/>
      <c r="Q36" s="392" t="str">
        <f>Q35</f>
        <v>verbergen</v>
      </c>
      <c r="R36" s="392"/>
      <c r="S36" s="392"/>
      <c r="T36" s="544"/>
      <c r="U36" s="392"/>
      <c r="V36" s="392"/>
      <c r="W36" s="392"/>
      <c r="X36" s="392"/>
      <c r="Y36" s="392"/>
      <c r="Z36" s="547">
        <f t="shared" si="12"/>
        <v>1</v>
      </c>
      <c r="AA36" s="404"/>
      <c r="AB36" s="516"/>
      <c r="AC36" s="516"/>
      <c r="AD36" s="516"/>
      <c r="AE36" s="516"/>
      <c r="AF36" s="515"/>
    </row>
    <row r="37" spans="1:32" ht="12" customHeight="1">
      <c r="A37" s="560"/>
      <c r="B37" s="560"/>
      <c r="C37" s="451"/>
      <c r="D37" s="451"/>
      <c r="E37" s="451"/>
      <c r="F37" s="451"/>
      <c r="G37" s="451"/>
      <c r="H37" s="451"/>
      <c r="I37" s="451"/>
      <c r="J37" s="451"/>
      <c r="K37" s="451"/>
      <c r="L37" s="451"/>
      <c r="M37" s="451"/>
      <c r="N37" s="451"/>
      <c r="O37" s="451"/>
      <c r="P37" s="451"/>
      <c r="Q37" s="451"/>
      <c r="R37" s="451"/>
      <c r="S37" s="451"/>
      <c r="T37" s="547"/>
      <c r="U37" s="547"/>
      <c r="V37" s="547"/>
      <c r="W37" s="392"/>
      <c r="X37" s="547"/>
      <c r="Y37" s="547"/>
      <c r="Z37" s="547"/>
      <c r="AA37" s="547"/>
    </row>
    <row r="38" spans="1:32" ht="12" customHeight="1">
      <c r="A38" s="560"/>
      <c r="B38" s="560"/>
      <c r="C38" s="451"/>
      <c r="D38" s="451"/>
      <c r="E38" s="451"/>
      <c r="F38" s="451"/>
      <c r="G38" s="451"/>
      <c r="H38" s="451"/>
      <c r="I38" s="451"/>
      <c r="J38" s="451"/>
      <c r="K38" s="451"/>
      <c r="L38" s="451"/>
      <c r="M38" s="451"/>
      <c r="N38" s="451"/>
      <c r="O38" s="451"/>
      <c r="P38" s="451"/>
      <c r="Q38" s="451"/>
      <c r="R38" s="451"/>
      <c r="S38" s="451"/>
      <c r="T38" s="547"/>
      <c r="U38" s="547"/>
      <c r="V38" s="547"/>
      <c r="W38" s="392"/>
      <c r="X38" s="547"/>
      <c r="Y38" s="547"/>
      <c r="Z38" s="547"/>
      <c r="AA38" s="547"/>
    </row>
    <row r="43" spans="1:32" ht="12" customHeight="1">
      <c r="D43" s="422" t="s">
        <v>141</v>
      </c>
    </row>
  </sheetData>
  <mergeCells count="87">
    <mergeCell ref="F27:G27"/>
    <mergeCell ref="Q10:R10"/>
    <mergeCell ref="I30:J30"/>
    <mergeCell ref="K30:P30"/>
    <mergeCell ref="I31:J31"/>
    <mergeCell ref="K31:P31"/>
    <mergeCell ref="J25:K25"/>
    <mergeCell ref="H25:I25"/>
    <mergeCell ref="H24:I24"/>
    <mergeCell ref="J24:K24"/>
    <mergeCell ref="O24:P24"/>
    <mergeCell ref="O25:P25"/>
    <mergeCell ref="I10:J10"/>
    <mergeCell ref="L10:M10"/>
    <mergeCell ref="J19:K19"/>
    <mergeCell ref="M16:N16"/>
    <mergeCell ref="M19:N19"/>
    <mergeCell ref="I32:J32"/>
    <mergeCell ref="K32:P32"/>
    <mergeCell ref="J23:K23"/>
    <mergeCell ref="O19:P19"/>
    <mergeCell ref="O21:P21"/>
    <mergeCell ref="O22:P22"/>
    <mergeCell ref="O20:P20"/>
    <mergeCell ref="O23:P23"/>
    <mergeCell ref="J21:K21"/>
    <mergeCell ref="J20:K20"/>
    <mergeCell ref="J22:K22"/>
    <mergeCell ref="I33:J33"/>
    <mergeCell ref="K33:P33"/>
    <mergeCell ref="H27:I27"/>
    <mergeCell ref="J27:K27"/>
    <mergeCell ref="I29:J29"/>
    <mergeCell ref="L27:M27"/>
    <mergeCell ref="N27:O27"/>
    <mergeCell ref="J28:K28"/>
    <mergeCell ref="N28:O28"/>
    <mergeCell ref="I34:J34"/>
    <mergeCell ref="K34:P34"/>
    <mergeCell ref="K35:P35"/>
    <mergeCell ref="K36:L36"/>
    <mergeCell ref="M36:N36"/>
    <mergeCell ref="O36:P36"/>
    <mergeCell ref="D2:E2"/>
    <mergeCell ref="D3:E3"/>
    <mergeCell ref="D4:E4"/>
    <mergeCell ref="F24:G24"/>
    <mergeCell ref="F23:G23"/>
    <mergeCell ref="D21:E21"/>
    <mergeCell ref="D22:E22"/>
    <mergeCell ref="D23:E23"/>
    <mergeCell ref="D24:E24"/>
    <mergeCell ref="D19:E19"/>
    <mergeCell ref="F22:G22"/>
    <mergeCell ref="F21:G21"/>
    <mergeCell ref="F19:G19"/>
    <mergeCell ref="F20:G20"/>
    <mergeCell ref="D25:E25"/>
    <mergeCell ref="F25:G25"/>
    <mergeCell ref="D20:E20"/>
    <mergeCell ref="E8:G8"/>
    <mergeCell ref="D5:E5"/>
    <mergeCell ref="D7:E7"/>
    <mergeCell ref="D6:E6"/>
    <mergeCell ref="F10:H10"/>
    <mergeCell ref="F16:H16"/>
    <mergeCell ref="H23:I23"/>
    <mergeCell ref="H20:I20"/>
    <mergeCell ref="H22:I22"/>
    <mergeCell ref="H19:I19"/>
    <mergeCell ref="H21:I21"/>
    <mergeCell ref="F28:G28"/>
    <mergeCell ref="I11:J11"/>
    <mergeCell ref="L11:M11"/>
    <mergeCell ref="N11:O11"/>
    <mergeCell ref="I12:J12"/>
    <mergeCell ref="L12:M12"/>
    <mergeCell ref="N12:O12"/>
    <mergeCell ref="I13:J13"/>
    <mergeCell ref="L13:M13"/>
    <mergeCell ref="N13:O13"/>
    <mergeCell ref="I14:J14"/>
    <mergeCell ref="L14:M14"/>
    <mergeCell ref="N14:O14"/>
    <mergeCell ref="I15:J15"/>
    <mergeCell ref="L15:M15"/>
    <mergeCell ref="N15:O15"/>
  </mergeCells>
  <phoneticPr fontId="0" type="noConversion"/>
  <conditionalFormatting sqref="K8">
    <cfRule type="expression" dxfId="553" priority="65" stopIfTrue="1">
      <formula>A8="nee"</formula>
    </cfRule>
  </conditionalFormatting>
  <conditionalFormatting sqref="K8">
    <cfRule type="expression" dxfId="552" priority="64" stopIfTrue="1">
      <formula>A8="nee"</formula>
    </cfRule>
  </conditionalFormatting>
  <conditionalFormatting sqref="E8">
    <cfRule type="cellIs" dxfId="551" priority="63" stopIfTrue="1" operator="equal">
      <formula>"voldoet niet"</formula>
    </cfRule>
  </conditionalFormatting>
  <conditionalFormatting sqref="K8">
    <cfRule type="expression" dxfId="550" priority="62" stopIfTrue="1">
      <formula>A8="nee"</formula>
    </cfRule>
  </conditionalFormatting>
  <conditionalFormatting sqref="K8">
    <cfRule type="expression" dxfId="549" priority="61" stopIfTrue="1">
      <formula>A8="nee"</formula>
    </cfRule>
  </conditionalFormatting>
  <conditionalFormatting sqref="I11:P15">
    <cfRule type="expression" dxfId="548" priority="60">
      <formula>$S$16&lt;&gt;1</formula>
    </cfRule>
  </conditionalFormatting>
  <conditionalFormatting sqref="N11:P15">
    <cfRule type="expression" dxfId="547" priority="47">
      <formula>$S$12="nader te bepalen"</formula>
    </cfRule>
  </conditionalFormatting>
  <conditionalFormatting sqref="F11:H16">
    <cfRule type="expression" dxfId="546" priority="46">
      <formula>$S$16=3</formula>
    </cfRule>
  </conditionalFormatting>
  <conditionalFormatting sqref="F28">
    <cfRule type="expression" dxfId="545" priority="29" stopIfTrue="1">
      <formula>D28-E28&lt;5</formula>
    </cfRule>
  </conditionalFormatting>
  <conditionalFormatting sqref="F28">
    <cfRule type="expression" dxfId="544" priority="28" stopIfTrue="1">
      <formula>D28-E28&lt;5</formula>
    </cfRule>
  </conditionalFormatting>
  <conditionalFormatting sqref="F28">
    <cfRule type="expression" dxfId="543" priority="25" stopIfTrue="1">
      <formula>D28-E28&lt;5</formula>
    </cfRule>
  </conditionalFormatting>
  <conditionalFormatting sqref="D28">
    <cfRule type="expression" dxfId="542" priority="24" stopIfTrue="1">
      <formula>C28=""</formula>
    </cfRule>
  </conditionalFormatting>
  <conditionalFormatting sqref="F28">
    <cfRule type="expression" dxfId="541" priority="31" stopIfTrue="1">
      <formula>D28=""</formula>
    </cfRule>
  </conditionalFormatting>
  <conditionalFormatting sqref="F28">
    <cfRule type="expression" dxfId="540" priority="30" stopIfTrue="1">
      <formula>D28=""</formula>
    </cfRule>
  </conditionalFormatting>
  <conditionalFormatting sqref="D28">
    <cfRule type="expression" dxfId="539" priority="27" stopIfTrue="1">
      <formula>C28=""</formula>
    </cfRule>
  </conditionalFormatting>
  <conditionalFormatting sqref="F28">
    <cfRule type="expression" dxfId="538" priority="26" stopIfTrue="1">
      <formula>D28-E28&lt;5</formula>
    </cfRule>
  </conditionalFormatting>
  <conditionalFormatting sqref="Q11:Q15">
    <cfRule type="expression" dxfId="537" priority="23">
      <formula>SUM(Q7:Q11)&lt;E12</formula>
    </cfRule>
  </conditionalFormatting>
  <conditionalFormatting sqref="P11">
    <cfRule type="expression" dxfId="536" priority="12" stopIfTrue="1">
      <formula>P11="-"</formula>
    </cfRule>
    <cfRule type="expression" dxfId="535" priority="17" stopIfTrue="1">
      <formula>P11&lt;H11</formula>
    </cfRule>
  </conditionalFormatting>
  <conditionalFormatting sqref="P12">
    <cfRule type="expression" dxfId="534" priority="13" stopIfTrue="1">
      <formula>P12="-"</formula>
    </cfRule>
    <cfRule type="expression" dxfId="533" priority="18" stopIfTrue="1">
      <formula>P12&lt;H12</formula>
    </cfRule>
  </conditionalFormatting>
  <conditionalFormatting sqref="P13">
    <cfRule type="expression" dxfId="532" priority="14" stopIfTrue="1">
      <formula>P13="-"</formula>
    </cfRule>
    <cfRule type="expression" dxfId="531" priority="19" stopIfTrue="1">
      <formula>P13&lt;H13</formula>
    </cfRule>
  </conditionalFormatting>
  <conditionalFormatting sqref="P14">
    <cfRule type="expression" dxfId="530" priority="15" stopIfTrue="1">
      <formula>P14="-"</formula>
    </cfRule>
    <cfRule type="expression" dxfId="529" priority="20" stopIfTrue="1">
      <formula>P14&lt;H14</formula>
    </cfRule>
  </conditionalFormatting>
  <conditionalFormatting sqref="P15">
    <cfRule type="expression" dxfId="528" priority="16" stopIfTrue="1">
      <formula>P15="-"</formula>
    </cfRule>
    <cfRule type="expression" dxfId="527" priority="21" stopIfTrue="1">
      <formula>P15&lt;H15</formula>
    </cfRule>
  </conditionalFormatting>
  <conditionalFormatting sqref="F16:H16">
    <cfRule type="containsText" dxfId="526" priority="11" operator="containsText" text="voldoet niet op VG-niveau">
      <formula>NOT(ISERROR(SEARCH("voldoet niet op VG-niveau",F16)))</formula>
    </cfRule>
  </conditionalFormatting>
  <dataValidations disablePrompts="1" count="3">
    <dataValidation type="whole" operator="greaterThan" allowBlank="1" showInputMessage="1" showErrorMessage="1" errorTitle="Getal invoeren" error="Voer een getal in om het verblijfsgebied aan te geven." sqref="C28" xr:uid="{00000000-0002-0000-0700-000000000000}">
      <formula1>0</formula1>
    </dataValidation>
    <dataValidation type="list" allowBlank="1" showInputMessage="1" showErrorMessage="1" sqref="N11:O15" xr:uid="{00000000-0002-0000-0700-000001000000}">
      <formula1>INDIRECT($S$12)</formula1>
    </dataValidation>
    <dataValidation type="list" allowBlank="1" showInputMessage="1" showErrorMessage="1" sqref="F11:F15" xr:uid="{00000000-0002-0000-0700-000002000000}">
      <formula1>$T$16:$T$18</formula1>
    </dataValidation>
  </dataValidations>
  <pageMargins left="0.7" right="0.7" top="0.75" bottom="0.75" header="0.3" footer="0.3"/>
  <pageSetup paperSize="9" scale="40"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4">
    <tabColor rgb="FFFFFF00"/>
  </sheetPr>
  <dimension ref="A1:R498"/>
  <sheetViews>
    <sheetView topLeftCell="A2" workbookViewId="0">
      <selection activeCell="A5" sqref="A5"/>
    </sheetView>
  </sheetViews>
  <sheetFormatPr defaultRowHeight="13.2"/>
  <cols>
    <col min="1" max="2" width="25.33203125" bestFit="1" customWidth="1"/>
    <col min="3" max="3" width="25.5546875" bestFit="1" customWidth="1"/>
    <col min="4" max="4" width="22.88671875" bestFit="1" customWidth="1"/>
    <col min="5" max="5" width="22.44140625" bestFit="1" customWidth="1"/>
    <col min="6" max="6" width="25.5546875" bestFit="1" customWidth="1"/>
    <col min="7" max="7" width="18.44140625" bestFit="1" customWidth="1"/>
    <col min="8" max="8" width="8.88671875" bestFit="1" customWidth="1"/>
    <col min="9" max="9" width="29.44140625" bestFit="1" customWidth="1"/>
    <col min="10" max="10" width="52.109375" bestFit="1" customWidth="1"/>
  </cols>
  <sheetData>
    <row r="1" spans="1:18" ht="13.8" thickBot="1">
      <c r="A1" s="9" t="s">
        <v>720</v>
      </c>
      <c r="B1" s="9" t="s">
        <v>669</v>
      </c>
      <c r="C1" s="9" t="s">
        <v>671</v>
      </c>
      <c r="D1" s="9" t="s">
        <v>670</v>
      </c>
      <c r="F1" s="11" t="s">
        <v>142</v>
      </c>
      <c r="G1" s="12" t="s">
        <v>249</v>
      </c>
      <c r="H1" s="13" t="s">
        <v>143</v>
      </c>
      <c r="I1" s="13" t="s">
        <v>144</v>
      </c>
      <c r="J1" s="13" t="s">
        <v>672</v>
      </c>
      <c r="K1" s="2"/>
      <c r="L1" s="1"/>
      <c r="M1" s="1"/>
      <c r="N1" s="1"/>
    </row>
    <row r="2" spans="1:18">
      <c r="B2" t="s">
        <v>268</v>
      </c>
      <c r="C2" t="s">
        <v>268</v>
      </c>
      <c r="D2" t="s">
        <v>268</v>
      </c>
      <c r="F2" s="150" t="s">
        <v>747</v>
      </c>
      <c r="G2" s="151">
        <v>16</v>
      </c>
      <c r="H2" t="s">
        <v>208</v>
      </c>
      <c r="I2" t="s">
        <v>147</v>
      </c>
      <c r="J2" t="s">
        <v>212</v>
      </c>
      <c r="L2" s="1"/>
      <c r="M2" s="1"/>
      <c r="N2" s="1"/>
    </row>
    <row r="3" spans="1:18">
      <c r="A3" s="3"/>
      <c r="B3" s="150" t="s">
        <v>747</v>
      </c>
      <c r="C3" s="3" t="s">
        <v>575</v>
      </c>
      <c r="D3" s="3" t="s">
        <v>209</v>
      </c>
      <c r="F3" s="150" t="s">
        <v>748</v>
      </c>
      <c r="G3" s="4">
        <v>26</v>
      </c>
      <c r="H3" t="s">
        <v>208</v>
      </c>
      <c r="I3" t="s">
        <v>147</v>
      </c>
      <c r="J3" t="s">
        <v>212</v>
      </c>
      <c r="L3" s="1"/>
      <c r="M3" s="1"/>
      <c r="N3" s="1"/>
      <c r="O3" s="1"/>
      <c r="P3" s="1"/>
      <c r="Q3" s="1"/>
      <c r="R3" s="1"/>
    </row>
    <row r="4" spans="1:18">
      <c r="A4" s="3"/>
      <c r="B4" s="150" t="s">
        <v>748</v>
      </c>
      <c r="C4" s="3" t="s">
        <v>576</v>
      </c>
      <c r="D4" s="152" t="s">
        <v>837</v>
      </c>
      <c r="F4" s="153" t="s">
        <v>575</v>
      </c>
      <c r="G4" s="4">
        <v>13.5</v>
      </c>
      <c r="H4" t="s">
        <v>207</v>
      </c>
      <c r="I4" t="s">
        <v>156</v>
      </c>
      <c r="J4" t="s">
        <v>479</v>
      </c>
      <c r="L4" s="1"/>
      <c r="M4" s="1"/>
      <c r="N4" s="1"/>
      <c r="O4" s="1"/>
      <c r="P4" s="1"/>
      <c r="Q4" s="1"/>
      <c r="R4" s="1"/>
    </row>
    <row r="5" spans="1:18">
      <c r="A5" s="3"/>
      <c r="B5" s="3" t="s">
        <v>301</v>
      </c>
      <c r="C5" s="3" t="s">
        <v>577</v>
      </c>
      <c r="D5" s="162" t="s">
        <v>900</v>
      </c>
      <c r="F5" s="153" t="s">
        <v>576</v>
      </c>
      <c r="G5" s="4">
        <v>18.399999999999999</v>
      </c>
      <c r="H5" t="s">
        <v>207</v>
      </c>
      <c r="I5" t="s">
        <v>156</v>
      </c>
      <c r="J5" t="s">
        <v>479</v>
      </c>
      <c r="L5" s="1"/>
      <c r="M5" s="1"/>
      <c r="N5" s="1"/>
      <c r="O5" s="1"/>
      <c r="P5" s="1"/>
      <c r="Q5" s="1"/>
      <c r="R5" s="1"/>
    </row>
    <row r="6" spans="1:18">
      <c r="A6" s="3"/>
      <c r="B6" s="3" t="s">
        <v>302</v>
      </c>
      <c r="C6" s="3" t="s">
        <v>578</v>
      </c>
      <c r="D6" s="152" t="s">
        <v>836</v>
      </c>
      <c r="F6" s="153" t="s">
        <v>577</v>
      </c>
      <c r="G6" s="4">
        <v>23.4</v>
      </c>
      <c r="H6" t="s">
        <v>207</v>
      </c>
      <c r="I6" t="s">
        <v>156</v>
      </c>
      <c r="J6" t="s">
        <v>479</v>
      </c>
      <c r="L6" s="1"/>
      <c r="M6" s="1"/>
      <c r="N6" s="1"/>
      <c r="O6" s="1"/>
      <c r="P6" s="1"/>
      <c r="Q6" s="1"/>
      <c r="R6" s="1"/>
    </row>
    <row r="7" spans="1:18">
      <c r="A7" s="3"/>
      <c r="B7" s="3" t="s">
        <v>303</v>
      </c>
      <c r="C7" s="3" t="s">
        <v>579</v>
      </c>
      <c r="D7" s="162" t="s">
        <v>901</v>
      </c>
      <c r="F7" s="153" t="s">
        <v>578</v>
      </c>
      <c r="G7" s="4">
        <v>14.5</v>
      </c>
      <c r="H7" t="s">
        <v>207</v>
      </c>
      <c r="I7" t="s">
        <v>156</v>
      </c>
      <c r="J7" t="s">
        <v>479</v>
      </c>
      <c r="L7" s="1"/>
      <c r="M7" s="1"/>
      <c r="N7" s="1"/>
      <c r="O7" s="1"/>
      <c r="P7" s="1"/>
      <c r="Q7" s="1"/>
      <c r="R7" s="1"/>
    </row>
    <row r="8" spans="1:18">
      <c r="A8" s="3"/>
      <c r="B8" s="3" t="s">
        <v>314</v>
      </c>
      <c r="C8" s="3" t="s">
        <v>580</v>
      </c>
      <c r="D8" s="162" t="s">
        <v>902</v>
      </c>
      <c r="F8" s="153" t="s">
        <v>579</v>
      </c>
      <c r="G8" s="4">
        <v>18.3</v>
      </c>
      <c r="H8" t="s">
        <v>207</v>
      </c>
      <c r="I8" t="s">
        <v>156</v>
      </c>
      <c r="J8" t="s">
        <v>479</v>
      </c>
      <c r="L8" s="1"/>
      <c r="M8" s="1"/>
      <c r="N8" s="1"/>
      <c r="O8" s="1"/>
      <c r="P8" s="1"/>
      <c r="Q8" s="1"/>
      <c r="R8" s="1"/>
    </row>
    <row r="9" spans="1:18">
      <c r="A9" s="3"/>
      <c r="B9" s="3" t="s">
        <v>306</v>
      </c>
      <c r="C9" s="3" t="s">
        <v>571</v>
      </c>
      <c r="D9" t="s">
        <v>153</v>
      </c>
      <c r="F9" s="153" t="s">
        <v>580</v>
      </c>
      <c r="G9" s="4">
        <v>22.8</v>
      </c>
      <c r="H9" t="s">
        <v>207</v>
      </c>
      <c r="I9" t="s">
        <v>156</v>
      </c>
      <c r="J9" t="s">
        <v>479</v>
      </c>
      <c r="L9" s="1"/>
      <c r="M9" s="1"/>
      <c r="N9" s="1"/>
      <c r="O9" s="1"/>
      <c r="P9" s="1"/>
      <c r="Q9" s="1"/>
      <c r="R9" s="1"/>
    </row>
    <row r="10" spans="1:18">
      <c r="A10" s="3"/>
      <c r="B10" s="3" t="s">
        <v>307</v>
      </c>
      <c r="C10" s="3" t="s">
        <v>572</v>
      </c>
      <c r="D10" t="s">
        <v>154</v>
      </c>
      <c r="F10" s="3" t="s">
        <v>301</v>
      </c>
      <c r="G10" s="151">
        <v>16</v>
      </c>
      <c r="H10" t="s">
        <v>208</v>
      </c>
      <c r="I10" t="s">
        <v>147</v>
      </c>
      <c r="J10" t="s">
        <v>212</v>
      </c>
      <c r="L10" s="1"/>
      <c r="M10" s="1"/>
      <c r="N10" s="1"/>
      <c r="O10" s="1"/>
      <c r="P10" s="1"/>
      <c r="Q10" s="1"/>
      <c r="R10" s="1"/>
    </row>
    <row r="11" spans="1:18">
      <c r="A11" s="3"/>
      <c r="B11" s="3" t="s">
        <v>321</v>
      </c>
      <c r="C11" s="3" t="s">
        <v>573</v>
      </c>
      <c r="D11" s="152" t="s">
        <v>862</v>
      </c>
      <c r="F11" s="3" t="s">
        <v>302</v>
      </c>
      <c r="G11" s="151">
        <v>21</v>
      </c>
      <c r="H11" t="s">
        <v>208</v>
      </c>
      <c r="I11" t="s">
        <v>147</v>
      </c>
      <c r="J11" t="s">
        <v>212</v>
      </c>
      <c r="L11" s="1"/>
      <c r="M11" s="1"/>
      <c r="N11" s="1"/>
      <c r="O11" s="1"/>
      <c r="P11" s="1"/>
      <c r="Q11" s="1"/>
      <c r="R11" s="1"/>
    </row>
    <row r="12" spans="1:18">
      <c r="A12" s="3"/>
      <c r="B12" s="3" t="s">
        <v>322</v>
      </c>
      <c r="C12" s="3" t="s">
        <v>574</v>
      </c>
      <c r="D12" t="s">
        <v>218</v>
      </c>
      <c r="F12" s="3" t="s">
        <v>303</v>
      </c>
      <c r="G12" s="151">
        <v>30</v>
      </c>
      <c r="H12" t="s">
        <v>208</v>
      </c>
      <c r="I12" t="s">
        <v>147</v>
      </c>
      <c r="J12" t="s">
        <v>212</v>
      </c>
      <c r="L12" s="1"/>
      <c r="M12" s="1"/>
      <c r="N12" s="1"/>
      <c r="O12" s="1"/>
      <c r="P12" s="1"/>
      <c r="Q12" s="1"/>
      <c r="R12" s="1"/>
    </row>
    <row r="13" spans="1:18">
      <c r="A13" s="3"/>
      <c r="B13" s="3" t="s">
        <v>323</v>
      </c>
      <c r="C13" s="160" t="s">
        <v>903</v>
      </c>
      <c r="D13" t="s">
        <v>219</v>
      </c>
      <c r="F13" s="153" t="s">
        <v>314</v>
      </c>
      <c r="G13" s="4">
        <v>19</v>
      </c>
      <c r="H13" t="s">
        <v>208</v>
      </c>
      <c r="I13" t="s">
        <v>147</v>
      </c>
      <c r="L13" s="1"/>
      <c r="M13" s="1"/>
      <c r="N13" s="1"/>
      <c r="O13" s="1"/>
      <c r="P13" s="1"/>
      <c r="Q13" s="1"/>
      <c r="R13" s="1"/>
    </row>
    <row r="14" spans="1:18">
      <c r="A14" s="3"/>
      <c r="B14" s="160" t="s">
        <v>885</v>
      </c>
      <c r="C14" s="160" t="s">
        <v>904</v>
      </c>
      <c r="D14" t="s">
        <v>220</v>
      </c>
      <c r="F14" s="153" t="s">
        <v>306</v>
      </c>
      <c r="G14" s="4">
        <v>19.7</v>
      </c>
      <c r="H14" t="s">
        <v>208</v>
      </c>
      <c r="I14" t="s">
        <v>147</v>
      </c>
      <c r="L14" s="1"/>
      <c r="M14" s="1"/>
      <c r="N14" s="1"/>
      <c r="O14" s="1"/>
      <c r="P14" s="1"/>
      <c r="Q14" s="1"/>
      <c r="R14" s="1"/>
    </row>
    <row r="15" spans="1:18">
      <c r="A15" s="3"/>
      <c r="B15" s="160" t="s">
        <v>886</v>
      </c>
      <c r="C15" s="160" t="s">
        <v>905</v>
      </c>
      <c r="D15" t="s">
        <v>221</v>
      </c>
      <c r="F15" s="153" t="s">
        <v>307</v>
      </c>
      <c r="G15" s="4">
        <v>31.4</v>
      </c>
      <c r="H15" t="s">
        <v>208</v>
      </c>
      <c r="I15" t="s">
        <v>147</v>
      </c>
      <c r="L15" s="1"/>
      <c r="M15" s="1"/>
      <c r="N15" s="1"/>
      <c r="O15" s="1"/>
      <c r="P15" s="1"/>
      <c r="Q15" s="1"/>
      <c r="R15" s="1"/>
    </row>
    <row r="16" spans="1:18">
      <c r="A16" s="3"/>
      <c r="B16" s="160" t="s">
        <v>887</v>
      </c>
      <c r="C16" s="160" t="s">
        <v>919</v>
      </c>
      <c r="D16" t="s">
        <v>222</v>
      </c>
      <c r="F16" s="153" t="s">
        <v>321</v>
      </c>
      <c r="G16" s="4">
        <v>15</v>
      </c>
      <c r="H16" t="s">
        <v>208</v>
      </c>
      <c r="I16" t="s">
        <v>214</v>
      </c>
      <c r="L16" s="1"/>
      <c r="M16" s="1"/>
      <c r="N16" s="1"/>
      <c r="O16" s="1"/>
      <c r="P16" s="1"/>
      <c r="Q16" s="1"/>
      <c r="R16" s="1"/>
    </row>
    <row r="17" spans="1:18">
      <c r="A17" s="3"/>
      <c r="B17" s="160" t="s">
        <v>888</v>
      </c>
      <c r="C17" s="101" t="s">
        <v>807</v>
      </c>
      <c r="D17" t="s">
        <v>223</v>
      </c>
      <c r="F17" s="153" t="s">
        <v>322</v>
      </c>
      <c r="G17" s="4">
        <v>21</v>
      </c>
      <c r="H17" t="s">
        <v>208</v>
      </c>
      <c r="I17" t="s">
        <v>214</v>
      </c>
      <c r="L17" s="1"/>
      <c r="M17" s="1"/>
      <c r="N17" s="1"/>
      <c r="O17" s="1"/>
      <c r="P17" s="1"/>
      <c r="Q17" s="1"/>
      <c r="R17" s="1"/>
    </row>
    <row r="18" spans="1:18">
      <c r="A18" s="3"/>
      <c r="B18" s="3" t="s">
        <v>383</v>
      </c>
      <c r="C18" s="101" t="s">
        <v>808</v>
      </c>
      <c r="D18" t="s">
        <v>224</v>
      </c>
      <c r="F18" s="153" t="s">
        <v>323</v>
      </c>
      <c r="G18" s="4">
        <v>26</v>
      </c>
      <c r="H18" t="s">
        <v>208</v>
      </c>
      <c r="I18" t="s">
        <v>214</v>
      </c>
      <c r="L18" s="1"/>
      <c r="M18" s="1"/>
      <c r="N18" s="1"/>
      <c r="O18" s="1"/>
      <c r="P18" s="1"/>
      <c r="Q18" s="1"/>
      <c r="R18" s="1"/>
    </row>
    <row r="19" spans="1:18">
      <c r="A19" s="3"/>
      <c r="B19" s="3" t="s">
        <v>384</v>
      </c>
      <c r="C19" s="3" t="s">
        <v>601</v>
      </c>
      <c r="D19" t="s">
        <v>225</v>
      </c>
      <c r="F19" s="154" t="s">
        <v>749</v>
      </c>
      <c r="G19" s="151">
        <v>14</v>
      </c>
      <c r="H19" s="152" t="s">
        <v>208</v>
      </c>
      <c r="I19" s="152" t="s">
        <v>752</v>
      </c>
      <c r="L19" s="1"/>
      <c r="M19" s="1"/>
      <c r="N19" s="1"/>
      <c r="O19" s="1"/>
      <c r="P19" s="1"/>
      <c r="Q19" s="1"/>
      <c r="R19" s="1"/>
    </row>
    <row r="20" spans="1:18">
      <c r="A20" s="3"/>
      <c r="B20" s="3" t="s">
        <v>385</v>
      </c>
      <c r="C20" s="3" t="s">
        <v>602</v>
      </c>
      <c r="D20" t="s">
        <v>230</v>
      </c>
      <c r="F20" s="150" t="s">
        <v>750</v>
      </c>
      <c r="G20" s="151">
        <v>20</v>
      </c>
      <c r="H20" s="152" t="s">
        <v>208</v>
      </c>
      <c r="I20" s="152" t="s">
        <v>752</v>
      </c>
      <c r="L20" s="1"/>
      <c r="M20" s="1"/>
      <c r="N20" s="1"/>
      <c r="O20" s="1"/>
      <c r="P20" s="1"/>
      <c r="Q20" s="1"/>
      <c r="R20" s="1"/>
    </row>
    <row r="21" spans="1:18">
      <c r="A21" s="3"/>
      <c r="B21" s="3" t="s">
        <v>386</v>
      </c>
      <c r="C21" s="3" t="s">
        <v>603</v>
      </c>
      <c r="D21" t="s">
        <v>504</v>
      </c>
      <c r="F21" s="150" t="s">
        <v>751</v>
      </c>
      <c r="G21" s="151">
        <v>26</v>
      </c>
      <c r="H21" s="152" t="s">
        <v>208</v>
      </c>
      <c r="I21" s="152" t="s">
        <v>752</v>
      </c>
      <c r="L21" s="1"/>
      <c r="M21" s="1"/>
      <c r="N21" s="1"/>
      <c r="O21" s="1"/>
      <c r="P21" s="1"/>
      <c r="Q21" s="1"/>
      <c r="R21" s="1"/>
    </row>
    <row r="22" spans="1:18">
      <c r="A22" s="3"/>
      <c r="B22" s="3" t="s">
        <v>391</v>
      </c>
      <c r="C22" s="3" t="s">
        <v>189</v>
      </c>
      <c r="D22" t="s">
        <v>505</v>
      </c>
      <c r="F22" s="160" t="s">
        <v>885</v>
      </c>
      <c r="G22" s="155">
        <v>9.6</v>
      </c>
      <c r="H22" s="156" t="s">
        <v>208</v>
      </c>
      <c r="I22" s="156" t="s">
        <v>156</v>
      </c>
      <c r="L22" s="1"/>
      <c r="M22" s="1"/>
      <c r="N22" s="1"/>
      <c r="O22" s="1"/>
      <c r="P22" s="1"/>
      <c r="Q22" s="1"/>
      <c r="R22" s="1"/>
    </row>
    <row r="23" spans="1:18">
      <c r="A23" s="3"/>
      <c r="B23" s="3" t="s">
        <v>392</v>
      </c>
      <c r="C23" s="3" t="s">
        <v>581</v>
      </c>
      <c r="D23" t="s">
        <v>506</v>
      </c>
      <c r="F23" s="160" t="s">
        <v>886</v>
      </c>
      <c r="G23" s="155">
        <v>12.1</v>
      </c>
      <c r="H23" s="156" t="s">
        <v>208</v>
      </c>
      <c r="I23" s="156" t="s">
        <v>156</v>
      </c>
      <c r="L23" s="1"/>
      <c r="M23" s="1"/>
      <c r="N23" s="1"/>
      <c r="O23" s="1"/>
      <c r="P23" s="1"/>
      <c r="Q23" s="1"/>
      <c r="R23" s="1"/>
    </row>
    <row r="24" spans="1:18">
      <c r="A24" s="3"/>
      <c r="B24" s="3" t="s">
        <v>393</v>
      </c>
      <c r="C24" s="3" t="s">
        <v>583</v>
      </c>
      <c r="D24" t="s">
        <v>231</v>
      </c>
      <c r="F24" s="160" t="s">
        <v>887</v>
      </c>
      <c r="G24" s="155">
        <v>14.7</v>
      </c>
      <c r="H24" s="156" t="s">
        <v>208</v>
      </c>
      <c r="I24" s="156" t="s">
        <v>156</v>
      </c>
      <c r="L24" s="1"/>
      <c r="M24" s="1"/>
      <c r="N24" s="1"/>
      <c r="O24" s="1"/>
      <c r="P24" s="1"/>
      <c r="Q24" s="1"/>
      <c r="R24" s="1"/>
    </row>
    <row r="25" spans="1:18">
      <c r="A25" s="3"/>
      <c r="B25" s="3" t="s">
        <v>380</v>
      </c>
      <c r="C25" s="3" t="s">
        <v>584</v>
      </c>
      <c r="D25" t="s">
        <v>507</v>
      </c>
      <c r="F25" s="160" t="s">
        <v>888</v>
      </c>
      <c r="G25" s="155">
        <v>16.2</v>
      </c>
      <c r="H25" s="156" t="s">
        <v>208</v>
      </c>
      <c r="I25" s="156" t="s">
        <v>156</v>
      </c>
      <c r="L25" s="1"/>
      <c r="M25" s="1"/>
      <c r="N25" s="1"/>
      <c r="O25" s="1"/>
      <c r="P25" s="1"/>
      <c r="Q25" s="1"/>
      <c r="R25" s="1"/>
    </row>
    <row r="26" spans="1:18">
      <c r="A26" s="3"/>
      <c r="B26" s="3" t="s">
        <v>381</v>
      </c>
      <c r="C26" s="3" t="s">
        <v>585</v>
      </c>
      <c r="D26" t="s">
        <v>508</v>
      </c>
      <c r="F26" s="153" t="s">
        <v>383</v>
      </c>
      <c r="G26" s="4">
        <v>9.6999999999999993</v>
      </c>
      <c r="H26" t="s">
        <v>208</v>
      </c>
      <c r="I26" t="s">
        <v>156</v>
      </c>
      <c r="J26" t="s">
        <v>406</v>
      </c>
      <c r="L26" s="1"/>
      <c r="M26" s="1"/>
      <c r="N26" s="1"/>
      <c r="O26" s="1"/>
      <c r="P26" s="1"/>
      <c r="Q26" s="1"/>
      <c r="R26" s="1"/>
    </row>
    <row r="27" spans="1:18">
      <c r="A27" s="3"/>
      <c r="B27" s="3" t="s">
        <v>382</v>
      </c>
      <c r="C27" s="3" t="s">
        <v>190</v>
      </c>
      <c r="D27" t="s">
        <v>509</v>
      </c>
      <c r="F27" s="153" t="s">
        <v>384</v>
      </c>
      <c r="G27" s="4">
        <v>12.3</v>
      </c>
      <c r="H27" t="s">
        <v>208</v>
      </c>
      <c r="I27" t="s">
        <v>156</v>
      </c>
      <c r="J27" t="s">
        <v>406</v>
      </c>
      <c r="L27" s="1"/>
      <c r="M27" s="1"/>
      <c r="N27" s="1"/>
      <c r="O27" s="1"/>
      <c r="P27" s="1"/>
      <c r="Q27" s="1"/>
      <c r="R27" s="1"/>
    </row>
    <row r="28" spans="1:18">
      <c r="A28" s="3"/>
      <c r="B28" s="3" t="s">
        <v>387</v>
      </c>
      <c r="C28" s="3" t="s">
        <v>191</v>
      </c>
      <c r="D28" t="s">
        <v>232</v>
      </c>
      <c r="F28" s="153" t="s">
        <v>385</v>
      </c>
      <c r="G28" s="4">
        <v>14.4</v>
      </c>
      <c r="H28" t="s">
        <v>208</v>
      </c>
      <c r="I28" t="s">
        <v>156</v>
      </c>
      <c r="J28" t="s">
        <v>406</v>
      </c>
      <c r="L28" s="1"/>
      <c r="M28" s="1"/>
      <c r="N28" s="1"/>
      <c r="O28" s="1"/>
      <c r="P28" s="1"/>
      <c r="Q28" s="1"/>
      <c r="R28" s="1"/>
    </row>
    <row r="29" spans="1:18">
      <c r="A29" s="3"/>
      <c r="B29" s="3" t="s">
        <v>388</v>
      </c>
      <c r="C29" s="3" t="s">
        <v>192</v>
      </c>
      <c r="D29" t="s">
        <v>510</v>
      </c>
      <c r="F29" s="153" t="s">
        <v>386</v>
      </c>
      <c r="G29" s="4">
        <v>14.8</v>
      </c>
      <c r="H29" t="s">
        <v>208</v>
      </c>
      <c r="I29" t="s">
        <v>156</v>
      </c>
      <c r="J29" t="s">
        <v>406</v>
      </c>
      <c r="L29" s="1"/>
      <c r="M29" s="1"/>
      <c r="N29" s="1"/>
      <c r="O29" s="1"/>
      <c r="P29" s="1"/>
      <c r="Q29" s="1"/>
      <c r="R29" s="1"/>
    </row>
    <row r="30" spans="1:18">
      <c r="A30" s="3"/>
      <c r="B30" s="3" t="s">
        <v>389</v>
      </c>
      <c r="C30" s="3" t="s">
        <v>193</v>
      </c>
      <c r="D30" t="s">
        <v>511</v>
      </c>
      <c r="F30" s="153" t="s">
        <v>391</v>
      </c>
      <c r="G30" s="4">
        <v>10.5</v>
      </c>
      <c r="H30" t="s">
        <v>208</v>
      </c>
      <c r="I30" t="s">
        <v>156</v>
      </c>
      <c r="J30" t="s">
        <v>406</v>
      </c>
      <c r="L30" s="1"/>
      <c r="M30" s="1"/>
      <c r="N30" s="1"/>
      <c r="O30" s="1"/>
      <c r="P30" s="1"/>
      <c r="Q30" s="1"/>
      <c r="R30" s="1"/>
    </row>
    <row r="31" spans="1:18">
      <c r="A31" s="3"/>
      <c r="B31" s="3" t="s">
        <v>390</v>
      </c>
      <c r="C31" s="3" t="s">
        <v>586</v>
      </c>
      <c r="D31" t="s">
        <v>512</v>
      </c>
      <c r="F31" s="153" t="s">
        <v>392</v>
      </c>
      <c r="G31" s="4">
        <v>13</v>
      </c>
      <c r="H31" t="s">
        <v>208</v>
      </c>
      <c r="I31" t="s">
        <v>156</v>
      </c>
      <c r="J31" t="s">
        <v>406</v>
      </c>
      <c r="L31" s="1"/>
      <c r="M31" s="1"/>
      <c r="N31" s="1"/>
      <c r="O31" s="1"/>
      <c r="P31" s="1"/>
      <c r="Q31" s="1"/>
      <c r="R31" s="1"/>
    </row>
    <row r="32" spans="1:18">
      <c r="A32" s="3"/>
      <c r="B32" s="3" t="s">
        <v>400</v>
      </c>
      <c r="C32" s="3" t="s">
        <v>587</v>
      </c>
      <c r="D32" t="s">
        <v>233</v>
      </c>
      <c r="F32" s="153" t="s">
        <v>393</v>
      </c>
      <c r="G32" s="4">
        <v>14.6</v>
      </c>
      <c r="H32" t="s">
        <v>208</v>
      </c>
      <c r="I32" t="s">
        <v>156</v>
      </c>
      <c r="J32" t="s">
        <v>406</v>
      </c>
      <c r="L32" s="1"/>
      <c r="M32" s="1"/>
      <c r="N32" s="1"/>
      <c r="O32" s="1"/>
      <c r="P32" s="1"/>
      <c r="Q32" s="1"/>
      <c r="R32" s="1"/>
    </row>
    <row r="33" spans="1:18">
      <c r="A33" s="3"/>
      <c r="B33" s="3" t="s">
        <v>401</v>
      </c>
      <c r="C33" s="3" t="s">
        <v>588</v>
      </c>
      <c r="D33" t="s">
        <v>513</v>
      </c>
      <c r="F33" s="157" t="s">
        <v>380</v>
      </c>
      <c r="G33" s="4">
        <v>10.6</v>
      </c>
      <c r="H33" t="s">
        <v>208</v>
      </c>
      <c r="I33" t="s">
        <v>156</v>
      </c>
      <c r="J33" t="s">
        <v>406</v>
      </c>
      <c r="L33" s="1"/>
      <c r="M33" s="1"/>
      <c r="N33" s="1"/>
      <c r="O33" s="1"/>
      <c r="P33" s="1"/>
      <c r="Q33" s="1"/>
      <c r="R33" s="1"/>
    </row>
    <row r="34" spans="1:18">
      <c r="A34" s="3"/>
      <c r="B34" s="3" t="s">
        <v>402</v>
      </c>
      <c r="C34" s="3" t="s">
        <v>589</v>
      </c>
      <c r="D34" t="s">
        <v>514</v>
      </c>
      <c r="F34" s="157" t="s">
        <v>381</v>
      </c>
      <c r="G34" s="4">
        <v>13.4</v>
      </c>
      <c r="H34" t="s">
        <v>208</v>
      </c>
      <c r="I34" t="s">
        <v>156</v>
      </c>
      <c r="J34" t="s">
        <v>406</v>
      </c>
      <c r="L34" s="1"/>
      <c r="M34" s="1"/>
      <c r="N34" s="1"/>
      <c r="O34" s="1"/>
      <c r="P34" s="1"/>
      <c r="Q34" s="1"/>
      <c r="R34" s="1"/>
    </row>
    <row r="35" spans="1:18">
      <c r="A35" s="3"/>
      <c r="B35" s="3" t="s">
        <v>397</v>
      </c>
      <c r="C35" s="3" t="s">
        <v>194</v>
      </c>
      <c r="D35" t="s">
        <v>515</v>
      </c>
      <c r="F35" s="157" t="s">
        <v>382</v>
      </c>
      <c r="G35" s="4">
        <v>14.5</v>
      </c>
      <c r="H35" t="s">
        <v>208</v>
      </c>
      <c r="I35" t="s">
        <v>156</v>
      </c>
      <c r="J35" t="s">
        <v>406</v>
      </c>
      <c r="L35" s="1"/>
      <c r="M35" s="1"/>
      <c r="N35" s="1"/>
      <c r="O35" s="1"/>
      <c r="P35" s="1"/>
      <c r="Q35" s="1"/>
      <c r="R35" s="1"/>
    </row>
    <row r="36" spans="1:18">
      <c r="A36" s="3"/>
      <c r="B36" s="3" t="s">
        <v>398</v>
      </c>
      <c r="C36" s="3" t="s">
        <v>195</v>
      </c>
      <c r="D36" t="s">
        <v>234</v>
      </c>
      <c r="F36" s="153" t="s">
        <v>387</v>
      </c>
      <c r="G36" s="4">
        <v>9.6</v>
      </c>
      <c r="H36" t="s">
        <v>208</v>
      </c>
      <c r="I36" t="s">
        <v>156</v>
      </c>
      <c r="J36" t="s">
        <v>406</v>
      </c>
      <c r="L36" s="1"/>
      <c r="M36" s="1"/>
      <c r="N36" s="1"/>
      <c r="O36" s="1"/>
      <c r="P36" s="1"/>
      <c r="Q36" s="1"/>
      <c r="R36" s="1"/>
    </row>
    <row r="37" spans="1:18">
      <c r="A37" s="3"/>
      <c r="B37" s="3" t="s">
        <v>399</v>
      </c>
      <c r="C37" s="3" t="s">
        <v>196</v>
      </c>
      <c r="D37" t="s">
        <v>516</v>
      </c>
      <c r="F37" s="3" t="s">
        <v>388</v>
      </c>
      <c r="G37" s="151">
        <v>12</v>
      </c>
      <c r="H37" t="s">
        <v>208</v>
      </c>
      <c r="I37" t="s">
        <v>156</v>
      </c>
      <c r="J37" t="s">
        <v>406</v>
      </c>
      <c r="L37" s="1"/>
      <c r="M37" s="1"/>
      <c r="N37" s="1"/>
      <c r="O37" s="1"/>
      <c r="P37" s="1"/>
      <c r="Q37" s="1"/>
      <c r="R37" s="1"/>
    </row>
    <row r="38" spans="1:18">
      <c r="A38" s="3"/>
      <c r="B38" s="3" t="s">
        <v>394</v>
      </c>
      <c r="C38" s="3" t="s">
        <v>197</v>
      </c>
      <c r="D38" t="s">
        <v>517</v>
      </c>
      <c r="F38" s="153" t="s">
        <v>389</v>
      </c>
      <c r="G38" s="4">
        <v>14.1</v>
      </c>
      <c r="H38" t="s">
        <v>208</v>
      </c>
      <c r="I38" t="s">
        <v>156</v>
      </c>
      <c r="J38" t="s">
        <v>406</v>
      </c>
      <c r="L38" s="1"/>
      <c r="M38" s="1"/>
      <c r="N38" s="1"/>
      <c r="O38" s="1"/>
      <c r="P38" s="1"/>
      <c r="Q38" s="1"/>
      <c r="R38" s="1"/>
    </row>
    <row r="39" spans="1:18">
      <c r="A39" s="3"/>
      <c r="B39" s="3" t="s">
        <v>395</v>
      </c>
      <c r="C39" s="3" t="s">
        <v>198</v>
      </c>
      <c r="D39" t="s">
        <v>518</v>
      </c>
      <c r="F39" s="153" t="s">
        <v>390</v>
      </c>
      <c r="G39" s="4">
        <v>15</v>
      </c>
      <c r="H39" t="s">
        <v>208</v>
      </c>
      <c r="I39" t="s">
        <v>156</v>
      </c>
      <c r="J39" t="s">
        <v>406</v>
      </c>
      <c r="L39" s="1"/>
      <c r="M39" s="1"/>
      <c r="N39" s="1"/>
      <c r="O39" s="1"/>
      <c r="P39" s="1"/>
      <c r="Q39" s="1"/>
      <c r="R39" s="1"/>
    </row>
    <row r="40" spans="1:18">
      <c r="A40" s="3"/>
      <c r="B40" s="3" t="s">
        <v>396</v>
      </c>
      <c r="C40" s="3" t="s">
        <v>199</v>
      </c>
      <c r="D40" t="s">
        <v>235</v>
      </c>
      <c r="F40" s="153" t="s">
        <v>400</v>
      </c>
      <c r="G40" s="4">
        <v>10</v>
      </c>
      <c r="H40" t="s">
        <v>208</v>
      </c>
      <c r="I40" t="s">
        <v>156</v>
      </c>
      <c r="L40" s="1"/>
      <c r="M40" s="1"/>
      <c r="N40" s="1"/>
      <c r="O40" s="1"/>
      <c r="P40" s="1"/>
      <c r="Q40" s="1"/>
      <c r="R40" s="1"/>
    </row>
    <row r="41" spans="1:18">
      <c r="A41" s="3"/>
      <c r="B41" s="3" t="s">
        <v>403</v>
      </c>
      <c r="C41" s="3" t="s">
        <v>200</v>
      </c>
      <c r="D41" t="s">
        <v>519</v>
      </c>
      <c r="F41" s="153" t="s">
        <v>401</v>
      </c>
      <c r="G41" s="4">
        <v>12</v>
      </c>
      <c r="H41" t="s">
        <v>208</v>
      </c>
      <c r="I41" t="s">
        <v>156</v>
      </c>
      <c r="L41" s="1"/>
      <c r="M41" s="1"/>
      <c r="N41" s="1"/>
      <c r="O41" s="1"/>
      <c r="P41" s="1"/>
      <c r="Q41" s="1"/>
      <c r="R41" s="1"/>
    </row>
    <row r="42" spans="1:18">
      <c r="A42" s="3"/>
      <c r="B42" s="3" t="s">
        <v>404</v>
      </c>
      <c r="C42" s="3" t="s">
        <v>590</v>
      </c>
      <c r="D42" t="s">
        <v>520</v>
      </c>
      <c r="F42" s="153" t="s">
        <v>402</v>
      </c>
      <c r="G42" s="4">
        <v>15</v>
      </c>
      <c r="H42" t="s">
        <v>208</v>
      </c>
      <c r="I42" t="s">
        <v>156</v>
      </c>
      <c r="L42" s="1"/>
      <c r="M42" s="1"/>
      <c r="N42" s="1"/>
      <c r="O42" s="1"/>
      <c r="P42" s="1"/>
      <c r="Q42" s="1"/>
      <c r="R42" s="1"/>
    </row>
    <row r="43" spans="1:18">
      <c r="A43" s="3"/>
      <c r="B43" s="3" t="s">
        <v>405</v>
      </c>
      <c r="C43" s="3" t="s">
        <v>591</v>
      </c>
      <c r="D43" t="s">
        <v>521</v>
      </c>
      <c r="F43" s="153" t="s">
        <v>397</v>
      </c>
      <c r="G43" s="4">
        <v>10</v>
      </c>
      <c r="H43" t="s">
        <v>208</v>
      </c>
      <c r="I43" s="10" t="s">
        <v>156</v>
      </c>
      <c r="L43" s="1"/>
      <c r="M43" s="1"/>
      <c r="N43" s="1"/>
      <c r="O43" s="1"/>
      <c r="P43" s="1"/>
      <c r="Q43" s="1"/>
      <c r="R43" s="1"/>
    </row>
    <row r="44" spans="1:18">
      <c r="A44" s="3"/>
      <c r="B44" s="160" t="s">
        <v>889</v>
      </c>
      <c r="C44" s="3" t="s">
        <v>592</v>
      </c>
      <c r="D44" t="s">
        <v>236</v>
      </c>
      <c r="F44" s="153" t="s">
        <v>398</v>
      </c>
      <c r="G44" s="4">
        <v>13</v>
      </c>
      <c r="H44" t="s">
        <v>208</v>
      </c>
      <c r="I44" t="s">
        <v>156</v>
      </c>
      <c r="L44" s="1"/>
      <c r="M44" s="1"/>
      <c r="N44" s="1"/>
      <c r="O44" s="1"/>
      <c r="P44" s="1"/>
      <c r="Q44" s="1"/>
      <c r="R44" s="1"/>
    </row>
    <row r="45" spans="1:18">
      <c r="A45" s="3"/>
      <c r="B45" s="160" t="s">
        <v>890</v>
      </c>
      <c r="C45" s="3" t="s">
        <v>593</v>
      </c>
      <c r="D45" t="s">
        <v>522</v>
      </c>
      <c r="F45" s="153" t="s">
        <v>399</v>
      </c>
      <c r="G45" s="4">
        <v>15</v>
      </c>
      <c r="H45" t="s">
        <v>208</v>
      </c>
      <c r="I45" t="s">
        <v>156</v>
      </c>
      <c r="L45" s="1"/>
      <c r="M45" s="1"/>
      <c r="N45" s="1"/>
      <c r="O45" s="1"/>
      <c r="P45" s="1"/>
      <c r="Q45" s="1"/>
      <c r="R45" s="1"/>
    </row>
    <row r="46" spans="1:18">
      <c r="A46" s="3"/>
      <c r="B46" s="160" t="s">
        <v>891</v>
      </c>
      <c r="C46" s="3" t="s">
        <v>201</v>
      </c>
      <c r="D46" t="s">
        <v>523</v>
      </c>
      <c r="F46" s="153" t="s">
        <v>394</v>
      </c>
      <c r="G46" s="4">
        <v>11</v>
      </c>
      <c r="H46" t="s">
        <v>208</v>
      </c>
      <c r="I46" t="s">
        <v>156</v>
      </c>
      <c r="L46" s="1"/>
      <c r="M46" s="1"/>
      <c r="N46" s="1"/>
      <c r="O46" s="1"/>
      <c r="P46" s="1"/>
      <c r="Q46" s="1"/>
      <c r="R46" s="1"/>
    </row>
    <row r="47" spans="1:18">
      <c r="A47" s="3"/>
      <c r="B47" s="160" t="s">
        <v>892</v>
      </c>
      <c r="C47" s="3" t="s">
        <v>202</v>
      </c>
      <c r="D47" t="s">
        <v>524</v>
      </c>
      <c r="F47" s="153" t="s">
        <v>395</v>
      </c>
      <c r="G47" s="4">
        <v>13</v>
      </c>
      <c r="H47" t="s">
        <v>208</v>
      </c>
      <c r="I47" t="s">
        <v>156</v>
      </c>
      <c r="L47" s="1"/>
      <c r="M47" s="1"/>
      <c r="N47" s="1"/>
      <c r="O47" s="1"/>
      <c r="P47" s="1"/>
      <c r="Q47" s="1"/>
      <c r="R47" s="1"/>
    </row>
    <row r="48" spans="1:18">
      <c r="A48" s="3"/>
      <c r="B48" s="160" t="s">
        <v>893</v>
      </c>
      <c r="C48" s="3" t="s">
        <v>594</v>
      </c>
      <c r="D48" t="s">
        <v>237</v>
      </c>
      <c r="F48" s="153" t="s">
        <v>396</v>
      </c>
      <c r="G48" s="4">
        <v>15</v>
      </c>
      <c r="H48" t="s">
        <v>208</v>
      </c>
      <c r="I48" t="s">
        <v>156</v>
      </c>
      <c r="L48" s="1"/>
      <c r="M48" s="1"/>
      <c r="N48" s="1"/>
      <c r="O48" s="1"/>
      <c r="P48" s="1"/>
      <c r="Q48" s="1"/>
      <c r="R48" s="1"/>
    </row>
    <row r="49" spans="1:18">
      <c r="A49" s="3"/>
      <c r="B49" s="160" t="s">
        <v>894</v>
      </c>
      <c r="C49" s="3" t="s">
        <v>595</v>
      </c>
      <c r="D49" t="s">
        <v>525</v>
      </c>
      <c r="F49" s="153" t="s">
        <v>403</v>
      </c>
      <c r="G49" s="4">
        <v>10</v>
      </c>
      <c r="H49" t="s">
        <v>208</v>
      </c>
      <c r="I49" t="s">
        <v>156</v>
      </c>
      <c r="L49" s="1"/>
      <c r="M49" s="1"/>
      <c r="N49" s="1"/>
      <c r="O49" s="1"/>
      <c r="P49" s="1"/>
      <c r="Q49" s="1"/>
      <c r="R49" s="1"/>
    </row>
    <row r="50" spans="1:18">
      <c r="A50" s="3"/>
      <c r="B50" s="160" t="s">
        <v>895</v>
      </c>
      <c r="C50" s="3" t="s">
        <v>596</v>
      </c>
      <c r="D50" t="s">
        <v>526</v>
      </c>
      <c r="F50" s="153" t="s">
        <v>404</v>
      </c>
      <c r="G50" s="4">
        <v>12</v>
      </c>
      <c r="H50" t="s">
        <v>208</v>
      </c>
      <c r="I50" t="s">
        <v>156</v>
      </c>
      <c r="L50" s="1"/>
      <c r="M50" s="1"/>
      <c r="N50" s="1"/>
      <c r="O50" s="1"/>
      <c r="P50" s="1"/>
      <c r="Q50" s="1"/>
      <c r="R50" s="1"/>
    </row>
    <row r="51" spans="1:18">
      <c r="A51" s="3"/>
      <c r="B51" s="160" t="s">
        <v>896</v>
      </c>
      <c r="C51" s="3" t="s">
        <v>597</v>
      </c>
      <c r="D51" t="s">
        <v>527</v>
      </c>
      <c r="F51" s="153" t="s">
        <v>405</v>
      </c>
      <c r="G51" s="4">
        <v>15</v>
      </c>
      <c r="H51" t="s">
        <v>208</v>
      </c>
      <c r="I51" t="s">
        <v>156</v>
      </c>
      <c r="L51" s="1"/>
      <c r="M51" s="1"/>
      <c r="N51" s="1"/>
      <c r="O51" s="1"/>
      <c r="P51" s="1"/>
      <c r="Q51" s="1"/>
      <c r="R51" s="1"/>
    </row>
    <row r="52" spans="1:18">
      <c r="A52" s="3"/>
      <c r="B52" s="160" t="s">
        <v>897</v>
      </c>
      <c r="C52" s="3" t="s">
        <v>203</v>
      </c>
      <c r="D52" t="s">
        <v>238</v>
      </c>
      <c r="F52" s="160" t="s">
        <v>889</v>
      </c>
      <c r="G52" s="155">
        <v>9.8000000000000007</v>
      </c>
      <c r="H52" s="156" t="s">
        <v>208</v>
      </c>
      <c r="I52" s="156" t="s">
        <v>156</v>
      </c>
      <c r="L52" s="1"/>
      <c r="M52" s="1"/>
      <c r="N52" s="1"/>
      <c r="O52" s="1"/>
      <c r="P52" s="1"/>
      <c r="Q52" s="1"/>
      <c r="R52" s="1"/>
    </row>
    <row r="53" spans="1:18">
      <c r="A53" s="3"/>
      <c r="B53" s="160" t="s">
        <v>898</v>
      </c>
      <c r="C53" s="3" t="s">
        <v>204</v>
      </c>
      <c r="D53" t="s">
        <v>528</v>
      </c>
      <c r="F53" s="160" t="s">
        <v>890</v>
      </c>
      <c r="G53" s="155">
        <v>12.7</v>
      </c>
      <c r="H53" s="156" t="s">
        <v>208</v>
      </c>
      <c r="I53" s="156" t="s">
        <v>156</v>
      </c>
      <c r="L53" s="1"/>
      <c r="M53" s="1"/>
      <c r="N53" s="1"/>
      <c r="O53" s="1"/>
      <c r="P53" s="1"/>
      <c r="Q53" s="1"/>
      <c r="R53" s="1"/>
    </row>
    <row r="54" spans="1:18">
      <c r="A54" s="3"/>
      <c r="B54" s="160" t="s">
        <v>899</v>
      </c>
      <c r="C54" s="3" t="s">
        <v>205</v>
      </c>
      <c r="D54" t="s">
        <v>529</v>
      </c>
      <c r="F54" s="160" t="s">
        <v>891</v>
      </c>
      <c r="G54" s="155">
        <v>14.8</v>
      </c>
      <c r="H54" s="156" t="s">
        <v>208</v>
      </c>
      <c r="I54" s="156" t="s">
        <v>156</v>
      </c>
      <c r="L54" s="1"/>
      <c r="M54" s="1"/>
      <c r="N54" s="1"/>
      <c r="O54" s="1"/>
      <c r="P54" s="1"/>
      <c r="Q54" s="1"/>
      <c r="R54" s="1"/>
    </row>
    <row r="55" spans="1:18">
      <c r="A55" s="3"/>
      <c r="B55" s="3" t="s">
        <v>315</v>
      </c>
      <c r="C55" s="3" t="s">
        <v>206</v>
      </c>
      <c r="D55" t="s">
        <v>530</v>
      </c>
      <c r="F55" s="160" t="s">
        <v>892</v>
      </c>
      <c r="G55" s="155">
        <v>16.2</v>
      </c>
      <c r="H55" s="156" t="s">
        <v>208</v>
      </c>
      <c r="I55" s="156" t="s">
        <v>156</v>
      </c>
      <c r="L55" s="1"/>
      <c r="M55" s="1"/>
      <c r="N55" s="1"/>
      <c r="O55" s="1"/>
      <c r="P55" s="1"/>
      <c r="Q55" s="1"/>
      <c r="R55" s="1"/>
    </row>
    <row r="56" spans="1:18">
      <c r="B56" s="152" t="s">
        <v>767</v>
      </c>
      <c r="C56" s="150" t="s">
        <v>805</v>
      </c>
      <c r="D56" t="s">
        <v>239</v>
      </c>
      <c r="F56" s="160" t="s">
        <v>893</v>
      </c>
      <c r="G56" s="155">
        <v>9.9</v>
      </c>
      <c r="H56" s="156" t="s">
        <v>208</v>
      </c>
      <c r="I56" s="156" t="s">
        <v>156</v>
      </c>
      <c r="L56" s="1"/>
      <c r="M56" s="1"/>
      <c r="N56" s="1"/>
      <c r="O56" s="1"/>
      <c r="P56" s="1"/>
      <c r="Q56" s="1"/>
      <c r="R56" s="1"/>
    </row>
    <row r="57" spans="1:18">
      <c r="B57" s="152" t="s">
        <v>753</v>
      </c>
      <c r="C57" s="150" t="s">
        <v>806</v>
      </c>
      <c r="D57" t="s">
        <v>531</v>
      </c>
      <c r="F57" s="160" t="s">
        <v>894</v>
      </c>
      <c r="G57" s="155">
        <v>12.7</v>
      </c>
      <c r="H57" s="156" t="s">
        <v>208</v>
      </c>
      <c r="I57" s="156" t="s">
        <v>156</v>
      </c>
      <c r="L57" s="1"/>
      <c r="M57" s="1"/>
      <c r="N57" s="1"/>
      <c r="O57" s="1"/>
      <c r="P57" s="1"/>
      <c r="Q57" s="1"/>
      <c r="R57" s="1"/>
    </row>
    <row r="58" spans="1:18">
      <c r="B58" s="152" t="s">
        <v>754</v>
      </c>
      <c r="C58" s="154" t="s">
        <v>809</v>
      </c>
      <c r="D58" t="s">
        <v>532</v>
      </c>
      <c r="F58" s="160" t="s">
        <v>895</v>
      </c>
      <c r="G58" s="155">
        <v>14.9</v>
      </c>
      <c r="H58" s="156" t="s">
        <v>208</v>
      </c>
      <c r="I58" s="156" t="s">
        <v>156</v>
      </c>
      <c r="L58" s="1"/>
      <c r="M58" s="1"/>
      <c r="N58" s="1"/>
      <c r="O58" s="1"/>
      <c r="P58" s="1"/>
      <c r="Q58" s="1"/>
      <c r="R58" s="1"/>
    </row>
    <row r="59" spans="1:18">
      <c r="B59" s="152" t="s">
        <v>755</v>
      </c>
      <c r="C59" s="150" t="s">
        <v>810</v>
      </c>
      <c r="D59" t="s">
        <v>533</v>
      </c>
      <c r="F59" s="160" t="s">
        <v>896</v>
      </c>
      <c r="G59" s="155">
        <v>8.9</v>
      </c>
      <c r="H59" s="156" t="s">
        <v>208</v>
      </c>
      <c r="I59" s="156" t="s">
        <v>156</v>
      </c>
      <c r="L59" s="1"/>
      <c r="M59" s="1"/>
      <c r="N59" s="1"/>
      <c r="O59" s="1"/>
      <c r="P59" s="1"/>
      <c r="Q59" s="1"/>
      <c r="R59" s="1"/>
    </row>
    <row r="60" spans="1:18">
      <c r="B60" s="152" t="s">
        <v>756</v>
      </c>
      <c r="C60" s="150" t="s">
        <v>811</v>
      </c>
      <c r="D60" t="s">
        <v>240</v>
      </c>
      <c r="F60" s="160" t="s">
        <v>897</v>
      </c>
      <c r="G60" s="155">
        <v>12.3</v>
      </c>
      <c r="H60" s="156" t="s">
        <v>208</v>
      </c>
      <c r="I60" s="156" t="s">
        <v>156</v>
      </c>
      <c r="L60" s="1"/>
      <c r="M60" s="1"/>
      <c r="N60" s="1"/>
      <c r="O60" s="1"/>
      <c r="P60" s="1"/>
      <c r="Q60" s="1"/>
      <c r="R60" s="1"/>
    </row>
    <row r="61" spans="1:18">
      <c r="B61" s="152" t="s">
        <v>757</v>
      </c>
      <c r="C61" s="150" t="s">
        <v>812</v>
      </c>
      <c r="D61" t="s">
        <v>534</v>
      </c>
      <c r="F61" s="160" t="s">
        <v>898</v>
      </c>
      <c r="G61" s="155">
        <v>14.8</v>
      </c>
      <c r="H61" s="156" t="s">
        <v>208</v>
      </c>
      <c r="I61" s="156" t="s">
        <v>156</v>
      </c>
      <c r="L61" s="1"/>
      <c r="M61" s="1"/>
      <c r="N61" s="1"/>
      <c r="O61" s="1"/>
      <c r="P61" s="1"/>
      <c r="Q61" s="1"/>
      <c r="R61" s="1"/>
    </row>
    <row r="62" spans="1:18">
      <c r="B62" s="152" t="s">
        <v>758</v>
      </c>
      <c r="C62" s="150" t="s">
        <v>813</v>
      </c>
      <c r="D62" t="s">
        <v>535</v>
      </c>
      <c r="F62" s="160" t="s">
        <v>899</v>
      </c>
      <c r="G62" s="155">
        <v>15.5</v>
      </c>
      <c r="H62" s="156" t="s">
        <v>208</v>
      </c>
      <c r="I62" s="156" t="s">
        <v>156</v>
      </c>
      <c r="L62" s="1"/>
      <c r="M62" s="1"/>
      <c r="N62" s="1"/>
      <c r="O62" s="1"/>
      <c r="P62" s="1"/>
      <c r="Q62" s="1"/>
      <c r="R62" s="1"/>
    </row>
    <row r="63" spans="1:18">
      <c r="B63" s="152" t="s">
        <v>759</v>
      </c>
      <c r="C63" s="150" t="s">
        <v>814</v>
      </c>
      <c r="D63" t="s">
        <v>536</v>
      </c>
      <c r="F63" s="153" t="s">
        <v>315</v>
      </c>
      <c r="G63" s="4">
        <v>20</v>
      </c>
      <c r="H63" t="s">
        <v>208</v>
      </c>
      <c r="I63" t="s">
        <v>147</v>
      </c>
      <c r="J63" t="s">
        <v>320</v>
      </c>
      <c r="L63" s="1"/>
      <c r="M63" s="1"/>
      <c r="N63" s="1"/>
      <c r="O63" s="1"/>
      <c r="P63" s="1"/>
      <c r="Q63" s="1"/>
      <c r="R63" s="1"/>
    </row>
    <row r="64" spans="1:18">
      <c r="B64" s="152" t="s">
        <v>760</v>
      </c>
      <c r="C64" s="150" t="s">
        <v>815</v>
      </c>
      <c r="D64" t="s">
        <v>241</v>
      </c>
      <c r="F64" s="152" t="s">
        <v>753</v>
      </c>
      <c r="G64" s="158">
        <v>9.6999999999999993</v>
      </c>
      <c r="H64" t="s">
        <v>208</v>
      </c>
      <c r="I64" t="s">
        <v>170</v>
      </c>
      <c r="J64" t="s">
        <v>550</v>
      </c>
      <c r="L64" s="1"/>
      <c r="M64" s="1"/>
      <c r="N64" s="1"/>
      <c r="O64" s="1"/>
      <c r="P64" s="1"/>
      <c r="Q64" s="1"/>
      <c r="R64" s="1"/>
    </row>
    <row r="65" spans="1:18">
      <c r="B65" s="152" t="s">
        <v>761</v>
      </c>
      <c r="C65" s="150" t="s">
        <v>816</v>
      </c>
      <c r="D65" t="s">
        <v>537</v>
      </c>
      <c r="F65" s="152" t="s">
        <v>767</v>
      </c>
      <c r="G65" s="158">
        <v>8</v>
      </c>
      <c r="H65" s="152" t="s">
        <v>208</v>
      </c>
      <c r="I65" s="152" t="s">
        <v>768</v>
      </c>
      <c r="J65" s="152" t="s">
        <v>769</v>
      </c>
      <c r="L65" s="1"/>
      <c r="M65" s="1"/>
      <c r="N65" s="1"/>
      <c r="O65" s="1"/>
      <c r="P65" s="1"/>
      <c r="Q65" s="1"/>
      <c r="R65" s="1"/>
    </row>
    <row r="66" spans="1:18">
      <c r="B66" s="152" t="s">
        <v>762</v>
      </c>
      <c r="C66" s="150" t="s">
        <v>819</v>
      </c>
      <c r="D66" t="s">
        <v>538</v>
      </c>
      <c r="F66" s="153" t="s">
        <v>209</v>
      </c>
      <c r="G66" s="4">
        <v>18.3</v>
      </c>
      <c r="H66" t="s">
        <v>146</v>
      </c>
      <c r="I66" t="s">
        <v>147</v>
      </c>
      <c r="J66" t="s">
        <v>210</v>
      </c>
      <c r="L66" s="1"/>
      <c r="M66" s="1"/>
      <c r="N66" s="1"/>
      <c r="O66" s="1"/>
      <c r="P66" s="1"/>
      <c r="Q66" s="1"/>
      <c r="R66" s="1"/>
    </row>
    <row r="67" spans="1:18">
      <c r="A67" s="3"/>
      <c r="B67" s="152" t="s">
        <v>763</v>
      </c>
      <c r="C67" s="150" t="s">
        <v>820</v>
      </c>
      <c r="D67" t="s">
        <v>539</v>
      </c>
      <c r="F67" s="152" t="s">
        <v>837</v>
      </c>
      <c r="G67" s="151">
        <v>11.5</v>
      </c>
      <c r="H67" t="s">
        <v>146</v>
      </c>
      <c r="I67" t="s">
        <v>147</v>
      </c>
      <c r="J67" t="s">
        <v>148</v>
      </c>
      <c r="L67" s="1"/>
      <c r="M67" s="1"/>
      <c r="N67" s="1"/>
      <c r="O67" s="1"/>
      <c r="P67" s="1"/>
      <c r="Q67" s="1"/>
      <c r="R67" s="1"/>
    </row>
    <row r="68" spans="1:18">
      <c r="A68" s="3"/>
      <c r="B68" s="160" t="s">
        <v>937</v>
      </c>
      <c r="C68" s="150" t="s">
        <v>821</v>
      </c>
      <c r="D68" t="s">
        <v>242</v>
      </c>
      <c r="F68" s="162" t="s">
        <v>900</v>
      </c>
      <c r="G68" s="155">
        <v>2.5299999999999998</v>
      </c>
      <c r="H68" s="156" t="s">
        <v>146</v>
      </c>
      <c r="I68" s="156" t="s">
        <v>147</v>
      </c>
      <c r="J68" s="156" t="s">
        <v>151</v>
      </c>
      <c r="L68" s="1"/>
      <c r="M68" s="1"/>
      <c r="N68" s="1"/>
      <c r="O68" s="1"/>
      <c r="P68" s="1"/>
      <c r="Q68" s="1"/>
      <c r="R68" s="1"/>
    </row>
    <row r="69" spans="1:18">
      <c r="A69" s="3"/>
      <c r="B69" s="160" t="s">
        <v>936</v>
      </c>
      <c r="C69" s="150" t="s">
        <v>822</v>
      </c>
      <c r="D69" t="s">
        <v>540</v>
      </c>
      <c r="F69" s="152" t="s">
        <v>836</v>
      </c>
      <c r="G69" s="4">
        <v>15.2</v>
      </c>
      <c r="H69" t="s">
        <v>146</v>
      </c>
      <c r="I69" t="s">
        <v>147</v>
      </c>
      <c r="J69" t="s">
        <v>212</v>
      </c>
      <c r="L69" s="1"/>
      <c r="M69" s="1"/>
      <c r="N69" s="1"/>
      <c r="O69" s="1"/>
      <c r="P69" s="1"/>
      <c r="Q69" s="1"/>
      <c r="R69" s="1"/>
    </row>
    <row r="70" spans="1:18">
      <c r="A70" s="3"/>
      <c r="B70" s="160" t="s">
        <v>935</v>
      </c>
      <c r="C70" s="150" t="s">
        <v>823</v>
      </c>
      <c r="D70" t="s">
        <v>541</v>
      </c>
      <c r="F70" s="162" t="s">
        <v>901</v>
      </c>
      <c r="G70" s="155">
        <v>16.7</v>
      </c>
      <c r="H70" s="156" t="s">
        <v>146</v>
      </c>
      <c r="I70" s="156" t="s">
        <v>147</v>
      </c>
      <c r="J70" s="156" t="s">
        <v>212</v>
      </c>
      <c r="L70" s="1"/>
      <c r="M70" s="1"/>
      <c r="N70" s="1"/>
      <c r="O70" s="1"/>
      <c r="P70" s="1"/>
      <c r="Q70" s="1"/>
      <c r="R70" s="1"/>
    </row>
    <row r="71" spans="1:18">
      <c r="A71" s="3"/>
      <c r="B71" s="3" t="s">
        <v>425</v>
      </c>
      <c r="C71" s="150" t="s">
        <v>824</v>
      </c>
      <c r="D71" t="s">
        <v>542</v>
      </c>
      <c r="F71" s="162" t="s">
        <v>902</v>
      </c>
      <c r="G71" s="155">
        <v>25.1</v>
      </c>
      <c r="H71" s="156" t="s">
        <v>146</v>
      </c>
      <c r="I71" s="156" t="s">
        <v>147</v>
      </c>
      <c r="J71" s="156" t="s">
        <v>212</v>
      </c>
      <c r="L71" s="1"/>
      <c r="M71" s="1"/>
      <c r="N71" s="1"/>
      <c r="O71" s="1"/>
      <c r="P71" s="1"/>
      <c r="Q71" s="1"/>
      <c r="R71" s="1"/>
    </row>
    <row r="72" spans="1:18">
      <c r="A72" s="3"/>
      <c r="B72" s="3" t="s">
        <v>426</v>
      </c>
      <c r="C72" s="150" t="s">
        <v>825</v>
      </c>
      <c r="D72" t="s">
        <v>243</v>
      </c>
      <c r="F72" t="s">
        <v>153</v>
      </c>
      <c r="G72" s="151">
        <v>10.7</v>
      </c>
      <c r="H72" t="s">
        <v>146</v>
      </c>
      <c r="I72" t="s">
        <v>147</v>
      </c>
      <c r="J72" t="s">
        <v>212</v>
      </c>
      <c r="L72" s="1"/>
      <c r="M72" s="1"/>
      <c r="N72" s="1"/>
      <c r="O72" s="1"/>
      <c r="P72" s="1"/>
      <c r="Q72" s="1"/>
      <c r="R72" s="1"/>
    </row>
    <row r="73" spans="1:18">
      <c r="A73" s="3"/>
      <c r="B73" s="3" t="s">
        <v>427</v>
      </c>
      <c r="C73" s="150" t="s">
        <v>826</v>
      </c>
      <c r="D73" t="s">
        <v>543</v>
      </c>
      <c r="F73" t="s">
        <v>154</v>
      </c>
      <c r="G73" s="151">
        <v>17.399999999999999</v>
      </c>
      <c r="H73" t="s">
        <v>146</v>
      </c>
      <c r="I73" t="s">
        <v>147</v>
      </c>
      <c r="J73" t="s">
        <v>212</v>
      </c>
      <c r="L73" s="1"/>
      <c r="M73" s="1"/>
      <c r="N73" s="1"/>
      <c r="O73" s="1"/>
      <c r="P73" s="1"/>
      <c r="Q73" s="1"/>
      <c r="R73" s="1"/>
    </row>
    <row r="74" spans="1:18">
      <c r="A74" s="3"/>
      <c r="B74" s="3" t="s">
        <v>442</v>
      </c>
      <c r="C74" s="150" t="s">
        <v>827</v>
      </c>
      <c r="D74" t="s">
        <v>544</v>
      </c>
      <c r="F74" s="152" t="s">
        <v>862</v>
      </c>
      <c r="G74" s="151">
        <v>22.67</v>
      </c>
      <c r="H74" t="s">
        <v>146</v>
      </c>
      <c r="I74" t="s">
        <v>147</v>
      </c>
      <c r="J74" t="s">
        <v>212</v>
      </c>
      <c r="L74" s="1"/>
      <c r="M74" s="1"/>
      <c r="N74" s="1"/>
      <c r="O74" s="1"/>
      <c r="P74" s="1"/>
      <c r="Q74" s="1"/>
      <c r="R74" s="1"/>
    </row>
    <row r="75" spans="1:18">
      <c r="A75" s="3"/>
      <c r="B75" s="3" t="s">
        <v>432</v>
      </c>
      <c r="C75" s="150" t="s">
        <v>828</v>
      </c>
      <c r="D75" t="s">
        <v>545</v>
      </c>
      <c r="F75" s="167" t="s">
        <v>218</v>
      </c>
      <c r="G75" s="4">
        <v>10.9</v>
      </c>
      <c r="H75" t="s">
        <v>146</v>
      </c>
      <c r="I75" t="s">
        <v>156</v>
      </c>
      <c r="J75" t="s">
        <v>226</v>
      </c>
      <c r="L75" s="1"/>
      <c r="M75" s="1"/>
      <c r="N75" s="1"/>
      <c r="O75" s="1"/>
      <c r="P75" s="1"/>
      <c r="Q75" s="1"/>
      <c r="R75" s="1"/>
    </row>
    <row r="76" spans="1:18">
      <c r="A76" s="3"/>
      <c r="B76" s="3" t="s">
        <v>433</v>
      </c>
      <c r="C76" s="150" t="s">
        <v>829</v>
      </c>
      <c r="D76" t="s">
        <v>157</v>
      </c>
      <c r="F76" s="167" t="s">
        <v>219</v>
      </c>
      <c r="G76" s="4">
        <v>10.6</v>
      </c>
      <c r="H76" t="s">
        <v>146</v>
      </c>
      <c r="I76" t="s">
        <v>156</v>
      </c>
      <c r="J76" t="s">
        <v>227</v>
      </c>
      <c r="L76" s="1"/>
      <c r="M76" s="1"/>
      <c r="N76" s="1"/>
      <c r="O76" s="1"/>
      <c r="P76" s="1"/>
      <c r="Q76" s="1"/>
      <c r="R76" s="1"/>
    </row>
    <row r="77" spans="1:18">
      <c r="A77" s="3"/>
      <c r="B77" s="3" t="s">
        <v>434</v>
      </c>
      <c r="C77" s="150" t="s">
        <v>830</v>
      </c>
      <c r="D77" s="10" t="s">
        <v>861</v>
      </c>
      <c r="F77" s="167" t="s">
        <v>220</v>
      </c>
      <c r="G77" s="4">
        <v>10.9</v>
      </c>
      <c r="H77" t="s">
        <v>146</v>
      </c>
      <c r="I77" t="s">
        <v>156</v>
      </c>
      <c r="J77" t="s">
        <v>228</v>
      </c>
      <c r="L77" s="1"/>
      <c r="M77" s="1"/>
      <c r="N77" s="1"/>
      <c r="O77" s="1"/>
      <c r="P77" s="1"/>
      <c r="Q77" s="1"/>
      <c r="R77" s="1"/>
    </row>
    <row r="78" spans="1:18">
      <c r="A78" s="3"/>
      <c r="B78" s="3" t="s">
        <v>435</v>
      </c>
      <c r="C78" s="150" t="s">
        <v>831</v>
      </c>
      <c r="D78" s="10" t="s">
        <v>159</v>
      </c>
      <c r="F78" s="167" t="s">
        <v>221</v>
      </c>
      <c r="G78" s="4">
        <v>9.9</v>
      </c>
      <c r="H78" t="s">
        <v>146</v>
      </c>
      <c r="I78" t="s">
        <v>156</v>
      </c>
      <c r="J78" t="s">
        <v>229</v>
      </c>
      <c r="L78" s="1"/>
      <c r="M78" s="1"/>
      <c r="N78" s="1"/>
      <c r="O78" s="1"/>
      <c r="P78" s="1"/>
      <c r="Q78" s="1"/>
      <c r="R78" s="1"/>
    </row>
    <row r="79" spans="1:18">
      <c r="A79" s="3"/>
      <c r="B79" s="3" t="s">
        <v>436</v>
      </c>
      <c r="C79" s="150" t="s">
        <v>832</v>
      </c>
      <c r="D79" t="s">
        <v>160</v>
      </c>
      <c r="F79" s="167" t="s">
        <v>222</v>
      </c>
      <c r="G79" s="4">
        <v>16.5</v>
      </c>
      <c r="H79" t="s">
        <v>146</v>
      </c>
      <c r="I79" t="s">
        <v>156</v>
      </c>
      <c r="J79" t="s">
        <v>226</v>
      </c>
      <c r="L79" s="1"/>
      <c r="M79" s="1"/>
      <c r="N79" s="1"/>
      <c r="O79" s="1"/>
      <c r="P79" s="1"/>
      <c r="Q79" s="1"/>
      <c r="R79" s="1"/>
    </row>
    <row r="80" spans="1:18">
      <c r="A80" s="3"/>
      <c r="B80" s="3" t="s">
        <v>437</v>
      </c>
      <c r="C80" s="150" t="s">
        <v>833</v>
      </c>
      <c r="D80" t="s">
        <v>463</v>
      </c>
      <c r="F80" s="167" t="s">
        <v>223</v>
      </c>
      <c r="G80" s="4">
        <v>15</v>
      </c>
      <c r="H80" t="s">
        <v>146</v>
      </c>
      <c r="I80" t="s">
        <v>156</v>
      </c>
      <c r="J80" t="s">
        <v>227</v>
      </c>
      <c r="L80" s="1"/>
      <c r="M80" s="1"/>
      <c r="N80" s="1"/>
      <c r="O80" s="1"/>
      <c r="P80" s="1"/>
      <c r="Q80" s="1"/>
      <c r="R80" s="1"/>
    </row>
    <row r="81" spans="1:18">
      <c r="A81" s="3"/>
      <c r="B81" s="3" t="s">
        <v>438</v>
      </c>
      <c r="C81" s="150" t="s">
        <v>834</v>
      </c>
      <c r="D81" t="s">
        <v>464</v>
      </c>
      <c r="F81" s="167" t="s">
        <v>224</v>
      </c>
      <c r="G81" s="4">
        <v>16.899999999999999</v>
      </c>
      <c r="H81" t="s">
        <v>146</v>
      </c>
      <c r="I81" t="s">
        <v>156</v>
      </c>
      <c r="J81" t="s">
        <v>228</v>
      </c>
      <c r="L81" s="1"/>
      <c r="M81" s="1"/>
      <c r="N81" s="1"/>
      <c r="O81" s="1"/>
      <c r="P81" s="1"/>
      <c r="Q81" s="1"/>
      <c r="R81" s="1"/>
    </row>
    <row r="82" spans="1:18">
      <c r="A82" s="3"/>
      <c r="B82" s="3" t="s">
        <v>439</v>
      </c>
      <c r="C82" s="150" t="s">
        <v>835</v>
      </c>
      <c r="D82" t="s">
        <v>465</v>
      </c>
      <c r="F82" s="167" t="s">
        <v>225</v>
      </c>
      <c r="G82" s="4">
        <v>15.9</v>
      </c>
      <c r="H82" t="s">
        <v>146</v>
      </c>
      <c r="I82" t="s">
        <v>156</v>
      </c>
      <c r="J82" t="s">
        <v>229</v>
      </c>
      <c r="L82" s="1"/>
      <c r="M82" s="1"/>
      <c r="N82" s="1"/>
      <c r="O82" s="1"/>
      <c r="P82" s="1"/>
      <c r="Q82" s="1"/>
      <c r="R82" s="1"/>
    </row>
    <row r="83" spans="1:18">
      <c r="A83" s="3"/>
      <c r="B83" s="3" t="s">
        <v>440</v>
      </c>
      <c r="C83" s="101"/>
      <c r="D83" t="s">
        <v>161</v>
      </c>
      <c r="F83" s="167" t="s">
        <v>230</v>
      </c>
      <c r="G83" s="4">
        <v>25.1</v>
      </c>
      <c r="H83" t="s">
        <v>146</v>
      </c>
      <c r="I83" t="s">
        <v>156</v>
      </c>
      <c r="J83" t="s">
        <v>226</v>
      </c>
      <c r="L83" s="1"/>
      <c r="M83" s="1"/>
      <c r="N83" s="1"/>
      <c r="O83" s="1"/>
      <c r="P83" s="1"/>
      <c r="Q83" s="1"/>
      <c r="R83" s="1"/>
    </row>
    <row r="84" spans="1:18">
      <c r="A84" s="3"/>
      <c r="B84" s="3" t="s">
        <v>441</v>
      </c>
      <c r="C84" s="101"/>
      <c r="D84" t="s">
        <v>162</v>
      </c>
      <c r="F84" s="167" t="s">
        <v>504</v>
      </c>
      <c r="G84" s="4">
        <v>21.5</v>
      </c>
      <c r="H84" t="s">
        <v>146</v>
      </c>
      <c r="I84" t="s">
        <v>156</v>
      </c>
      <c r="J84" t="s">
        <v>227</v>
      </c>
      <c r="L84" s="1"/>
      <c r="M84" s="1"/>
      <c r="N84" s="1"/>
      <c r="O84" s="1"/>
      <c r="P84" s="1"/>
      <c r="Q84" s="1"/>
      <c r="R84" s="1"/>
    </row>
    <row r="85" spans="1:18">
      <c r="A85" s="3"/>
      <c r="B85" s="3" t="s">
        <v>428</v>
      </c>
      <c r="C85" s="101"/>
      <c r="D85" t="s">
        <v>163</v>
      </c>
      <c r="F85" s="167" t="s">
        <v>505</v>
      </c>
      <c r="G85" s="4">
        <v>26.3</v>
      </c>
      <c r="H85" t="s">
        <v>146</v>
      </c>
      <c r="I85" t="s">
        <v>156</v>
      </c>
      <c r="J85" t="s">
        <v>228</v>
      </c>
      <c r="L85" s="1"/>
      <c r="M85" s="1"/>
      <c r="N85" s="1"/>
      <c r="O85" s="1"/>
      <c r="P85" s="1"/>
      <c r="Q85" s="1"/>
      <c r="R85" s="1"/>
    </row>
    <row r="86" spans="1:18">
      <c r="A86" s="3"/>
      <c r="B86" s="3" t="s">
        <v>429</v>
      </c>
      <c r="C86" s="101"/>
      <c r="D86" s="10" t="s">
        <v>838</v>
      </c>
      <c r="F86" s="167" t="s">
        <v>506</v>
      </c>
      <c r="G86" s="4">
        <v>23.9</v>
      </c>
      <c r="H86" t="s">
        <v>146</v>
      </c>
      <c r="I86" t="s">
        <v>156</v>
      </c>
      <c r="J86" t="s">
        <v>229</v>
      </c>
      <c r="L86" s="1"/>
      <c r="M86" s="1"/>
      <c r="N86" s="1"/>
      <c r="O86" s="1"/>
      <c r="P86" s="1"/>
      <c r="Q86" s="1"/>
      <c r="R86" s="1"/>
    </row>
    <row r="87" spans="1:18">
      <c r="A87" s="3"/>
      <c r="B87" s="3" t="s">
        <v>430</v>
      </c>
      <c r="C87" s="101"/>
      <c r="D87" t="s">
        <v>473</v>
      </c>
      <c r="F87" s="167" t="s">
        <v>231</v>
      </c>
      <c r="G87" s="4">
        <v>28.7</v>
      </c>
      <c r="H87" t="s">
        <v>146</v>
      </c>
      <c r="I87" t="s">
        <v>156</v>
      </c>
      <c r="J87" t="s">
        <v>226</v>
      </c>
      <c r="L87" s="1"/>
      <c r="M87" s="1"/>
      <c r="N87" s="1"/>
      <c r="O87" s="1"/>
      <c r="P87" s="1"/>
      <c r="Q87" s="1"/>
      <c r="R87" s="1"/>
    </row>
    <row r="88" spans="1:18">
      <c r="A88" s="3"/>
      <c r="B88" s="3" t="s">
        <v>431</v>
      </c>
      <c r="C88" s="101"/>
      <c r="D88" t="s">
        <v>474</v>
      </c>
      <c r="F88" s="167" t="s">
        <v>507</v>
      </c>
      <c r="G88" s="4">
        <v>23.7</v>
      </c>
      <c r="H88" t="s">
        <v>146</v>
      </c>
      <c r="I88" t="s">
        <v>156</v>
      </c>
      <c r="J88" t="s">
        <v>227</v>
      </c>
      <c r="L88" s="1"/>
      <c r="M88" s="1"/>
      <c r="N88" s="1"/>
      <c r="O88" s="1"/>
      <c r="P88" s="1"/>
      <c r="Q88" s="1"/>
      <c r="R88" s="1"/>
    </row>
    <row r="89" spans="1:18">
      <c r="A89" s="3"/>
      <c r="B89" s="160" t="s">
        <v>934</v>
      </c>
      <c r="C89" s="101"/>
      <c r="D89" t="s">
        <v>475</v>
      </c>
      <c r="F89" s="167" t="s">
        <v>508</v>
      </c>
      <c r="G89" s="4">
        <v>29.2</v>
      </c>
      <c r="H89" t="s">
        <v>146</v>
      </c>
      <c r="I89" t="s">
        <v>156</v>
      </c>
      <c r="J89" t="s">
        <v>228</v>
      </c>
      <c r="L89" s="1"/>
      <c r="M89" s="1"/>
      <c r="N89" s="1"/>
      <c r="O89" s="1"/>
      <c r="P89" s="1"/>
      <c r="Q89" s="1"/>
      <c r="R89" s="1"/>
    </row>
    <row r="90" spans="1:18">
      <c r="A90" s="3"/>
      <c r="B90" s="160" t="s">
        <v>933</v>
      </c>
      <c r="C90" s="101"/>
      <c r="D90" s="152" t="s">
        <v>839</v>
      </c>
      <c r="F90" s="167" t="s">
        <v>509</v>
      </c>
      <c r="G90" s="4">
        <v>26.5</v>
      </c>
      <c r="H90" t="s">
        <v>146</v>
      </c>
      <c r="I90" t="s">
        <v>156</v>
      </c>
      <c r="J90" t="s">
        <v>229</v>
      </c>
      <c r="L90" s="1"/>
      <c r="M90" s="1"/>
      <c r="N90" s="1"/>
      <c r="O90" s="1"/>
      <c r="P90" s="1"/>
      <c r="Q90" s="1"/>
      <c r="R90" s="1"/>
    </row>
    <row r="91" spans="1:18">
      <c r="A91" s="3"/>
      <c r="B91" s="160" t="s">
        <v>932</v>
      </c>
      <c r="C91" s="101"/>
      <c r="D91" s="162" t="s">
        <v>906</v>
      </c>
      <c r="F91" s="167" t="s">
        <v>232</v>
      </c>
      <c r="G91" s="4">
        <v>12</v>
      </c>
      <c r="H91" t="s">
        <v>146</v>
      </c>
      <c r="I91" t="s">
        <v>156</v>
      </c>
      <c r="J91" t="s">
        <v>226</v>
      </c>
      <c r="L91" s="1"/>
      <c r="M91" s="1"/>
      <c r="N91" s="1"/>
      <c r="O91" s="1"/>
      <c r="P91" s="1"/>
      <c r="Q91" s="1"/>
      <c r="R91" s="1"/>
    </row>
    <row r="92" spans="1:18">
      <c r="A92" s="3"/>
      <c r="B92" s="160" t="s">
        <v>931</v>
      </c>
      <c r="C92" s="101"/>
      <c r="D92" s="162" t="s">
        <v>907</v>
      </c>
      <c r="F92" s="167" t="s">
        <v>510</v>
      </c>
      <c r="G92" s="4">
        <v>11.7</v>
      </c>
      <c r="H92" t="s">
        <v>146</v>
      </c>
      <c r="I92" t="s">
        <v>156</v>
      </c>
      <c r="J92" t="s">
        <v>227</v>
      </c>
      <c r="L92" s="1"/>
      <c r="M92" s="1"/>
      <c r="N92" s="1"/>
      <c r="O92" s="1"/>
      <c r="P92" s="1"/>
      <c r="Q92" s="1"/>
      <c r="R92" s="1"/>
    </row>
    <row r="93" spans="1:18">
      <c r="A93" s="3"/>
      <c r="B93" s="160" t="s">
        <v>930</v>
      </c>
      <c r="C93" s="101"/>
      <c r="D93" s="162" t="s">
        <v>908</v>
      </c>
      <c r="F93" s="167" t="s">
        <v>511</v>
      </c>
      <c r="G93" s="4">
        <v>12</v>
      </c>
      <c r="H93" t="s">
        <v>146</v>
      </c>
      <c r="I93" t="s">
        <v>156</v>
      </c>
      <c r="J93" t="s">
        <v>228</v>
      </c>
      <c r="L93" s="1"/>
      <c r="M93" s="1"/>
      <c r="N93" s="1"/>
      <c r="O93" s="1"/>
      <c r="P93" s="1"/>
      <c r="Q93" s="1"/>
      <c r="R93" s="1"/>
    </row>
    <row r="94" spans="1:18">
      <c r="A94" s="3"/>
      <c r="B94" s="3" t="s">
        <v>443</v>
      </c>
      <c r="C94" s="101"/>
      <c r="D94" s="162" t="s">
        <v>909</v>
      </c>
      <c r="F94" s="167" t="s">
        <v>512</v>
      </c>
      <c r="G94" s="4">
        <v>11.2</v>
      </c>
      <c r="H94" t="s">
        <v>146</v>
      </c>
      <c r="I94" t="s">
        <v>156</v>
      </c>
      <c r="J94" t="s">
        <v>229</v>
      </c>
      <c r="L94" s="1"/>
      <c r="M94" s="1"/>
      <c r="N94" s="1"/>
      <c r="O94" s="1"/>
      <c r="P94" s="1"/>
      <c r="Q94" s="1"/>
      <c r="R94" s="1"/>
    </row>
    <row r="95" spans="1:18">
      <c r="A95" s="3"/>
      <c r="B95" s="3" t="s">
        <v>444</v>
      </c>
      <c r="C95" s="101"/>
      <c r="D95" s="162" t="s">
        <v>944</v>
      </c>
      <c r="F95" s="167" t="s">
        <v>233</v>
      </c>
      <c r="G95" s="4">
        <v>19.7</v>
      </c>
      <c r="H95" t="s">
        <v>146</v>
      </c>
      <c r="I95" t="s">
        <v>156</v>
      </c>
      <c r="J95" t="s">
        <v>226</v>
      </c>
      <c r="L95" s="1"/>
      <c r="M95" s="1"/>
      <c r="N95" s="1"/>
      <c r="O95" s="1"/>
      <c r="P95" s="1"/>
      <c r="Q95" s="1"/>
      <c r="R95" s="1"/>
    </row>
    <row r="96" spans="1:18">
      <c r="A96" s="3"/>
      <c r="B96" s="3" t="s">
        <v>445</v>
      </c>
      <c r="C96" s="101"/>
      <c r="D96" s="162" t="s">
        <v>945</v>
      </c>
      <c r="F96" s="167" t="s">
        <v>513</v>
      </c>
      <c r="G96" s="4">
        <v>17.2</v>
      </c>
      <c r="H96" t="s">
        <v>146</v>
      </c>
      <c r="I96" t="s">
        <v>156</v>
      </c>
      <c r="J96" t="s">
        <v>227</v>
      </c>
      <c r="L96" s="1"/>
      <c r="M96" s="1"/>
      <c r="N96" s="1"/>
      <c r="O96" s="1"/>
      <c r="P96" s="1"/>
      <c r="Q96" s="1"/>
      <c r="R96" s="1"/>
    </row>
    <row r="97" spans="1:18">
      <c r="A97" s="3"/>
      <c r="B97" s="3" t="s">
        <v>461</v>
      </c>
      <c r="C97" s="101"/>
      <c r="D97" s="162" t="s">
        <v>946</v>
      </c>
      <c r="F97" s="167" t="s">
        <v>514</v>
      </c>
      <c r="G97" s="4">
        <v>20.5</v>
      </c>
      <c r="H97" t="s">
        <v>146</v>
      </c>
      <c r="I97" t="s">
        <v>156</v>
      </c>
      <c r="J97" t="s">
        <v>228</v>
      </c>
      <c r="L97" s="1"/>
      <c r="M97" s="1"/>
      <c r="N97" s="1"/>
      <c r="O97" s="1"/>
      <c r="P97" s="1"/>
      <c r="Q97" s="1"/>
      <c r="R97" s="1"/>
    </row>
    <row r="98" spans="1:18">
      <c r="A98" s="3"/>
      <c r="B98" s="3" t="s">
        <v>451</v>
      </c>
      <c r="C98" s="101"/>
      <c r="D98" s="162" t="s">
        <v>947</v>
      </c>
      <c r="F98" s="167" t="s">
        <v>515</v>
      </c>
      <c r="G98" s="4">
        <v>19</v>
      </c>
      <c r="H98" t="s">
        <v>146</v>
      </c>
      <c r="I98" t="s">
        <v>156</v>
      </c>
      <c r="J98" t="s">
        <v>229</v>
      </c>
      <c r="L98" s="1"/>
      <c r="M98" s="1"/>
      <c r="N98" s="1"/>
      <c r="O98" s="1"/>
      <c r="P98" s="1"/>
      <c r="Q98" s="1"/>
      <c r="R98" s="1"/>
    </row>
    <row r="99" spans="1:18">
      <c r="A99" s="3"/>
      <c r="B99" s="3" t="s">
        <v>452</v>
      </c>
      <c r="D99" s="162" t="s">
        <v>948</v>
      </c>
      <c r="F99" s="167" t="s">
        <v>234</v>
      </c>
      <c r="G99" s="4">
        <v>23.9</v>
      </c>
      <c r="H99" t="s">
        <v>146</v>
      </c>
      <c r="I99" t="s">
        <v>156</v>
      </c>
      <c r="J99" t="s">
        <v>226</v>
      </c>
      <c r="L99" s="1"/>
      <c r="M99" s="1"/>
      <c r="N99" s="1"/>
      <c r="O99" s="1"/>
      <c r="P99" s="1"/>
      <c r="Q99" s="1"/>
      <c r="R99" s="1"/>
    </row>
    <row r="100" spans="1:18">
      <c r="A100" s="3"/>
      <c r="B100" s="3" t="s">
        <v>453</v>
      </c>
      <c r="D100" s="162" t="s">
        <v>949</v>
      </c>
      <c r="F100" s="167" t="s">
        <v>516</v>
      </c>
      <c r="G100" s="4">
        <v>20.9</v>
      </c>
      <c r="H100" t="s">
        <v>146</v>
      </c>
      <c r="I100" t="s">
        <v>156</v>
      </c>
      <c r="J100" t="s">
        <v>227</v>
      </c>
      <c r="L100" s="1"/>
      <c r="M100" s="1"/>
      <c r="N100" s="1"/>
      <c r="O100" s="1"/>
      <c r="P100" s="1"/>
      <c r="Q100" s="1"/>
      <c r="R100" s="1"/>
    </row>
    <row r="101" spans="1:18">
      <c r="A101" s="3"/>
      <c r="B101" s="3" t="s">
        <v>454</v>
      </c>
      <c r="D101" s="162" t="s">
        <v>950</v>
      </c>
      <c r="F101" s="167" t="s">
        <v>517</v>
      </c>
      <c r="G101" s="4">
        <v>26.9</v>
      </c>
      <c r="H101" t="s">
        <v>146</v>
      </c>
      <c r="I101" t="s">
        <v>156</v>
      </c>
      <c r="J101" t="s">
        <v>228</v>
      </c>
      <c r="L101" s="1"/>
      <c r="M101" s="1"/>
      <c r="N101" s="1"/>
      <c r="O101" s="1"/>
      <c r="P101" s="1"/>
      <c r="Q101" s="1"/>
      <c r="R101" s="1"/>
    </row>
    <row r="102" spans="1:18">
      <c r="A102" s="3"/>
      <c r="B102" s="3" t="s">
        <v>455</v>
      </c>
      <c r="D102" s="162" t="s">
        <v>951</v>
      </c>
      <c r="F102" s="167" t="s">
        <v>518</v>
      </c>
      <c r="G102" s="4">
        <v>23.1</v>
      </c>
      <c r="H102" t="s">
        <v>146</v>
      </c>
      <c r="I102" t="s">
        <v>156</v>
      </c>
      <c r="J102" t="s">
        <v>229</v>
      </c>
      <c r="L102" s="1"/>
      <c r="M102" s="1"/>
      <c r="N102" s="1"/>
      <c r="O102" s="1"/>
      <c r="P102" s="1"/>
      <c r="Q102" s="1"/>
      <c r="R102" s="1"/>
    </row>
    <row r="103" spans="1:18">
      <c r="A103" s="3"/>
      <c r="B103" s="3" t="s">
        <v>456</v>
      </c>
      <c r="D103" s="162" t="s">
        <v>952</v>
      </c>
      <c r="F103" s="167" t="s">
        <v>235</v>
      </c>
      <c r="G103" s="4">
        <v>31</v>
      </c>
      <c r="H103" t="s">
        <v>146</v>
      </c>
      <c r="I103" t="s">
        <v>156</v>
      </c>
      <c r="J103" t="s">
        <v>226</v>
      </c>
      <c r="L103" s="1"/>
      <c r="M103" s="1"/>
      <c r="N103" s="1"/>
      <c r="O103" s="1"/>
      <c r="P103" s="1"/>
      <c r="Q103" s="1"/>
      <c r="R103" s="1"/>
    </row>
    <row r="104" spans="1:18">
      <c r="A104" s="3"/>
      <c r="B104" s="3" t="s">
        <v>457</v>
      </c>
      <c r="D104" s="162" t="s">
        <v>953</v>
      </c>
      <c r="F104" s="167" t="s">
        <v>519</v>
      </c>
      <c r="G104" s="4">
        <v>26</v>
      </c>
      <c r="H104" t="s">
        <v>146</v>
      </c>
      <c r="I104" t="s">
        <v>156</v>
      </c>
      <c r="J104" t="s">
        <v>227</v>
      </c>
      <c r="L104" s="1"/>
      <c r="M104" s="1"/>
      <c r="N104" s="1"/>
      <c r="O104" s="1"/>
      <c r="P104" s="1"/>
      <c r="Q104" s="1"/>
      <c r="R104" s="1"/>
    </row>
    <row r="105" spans="1:18">
      <c r="A105" s="3"/>
      <c r="B105" s="3" t="s">
        <v>458</v>
      </c>
      <c r="D105" s="162" t="s">
        <v>954</v>
      </c>
      <c r="F105" s="167" t="s">
        <v>520</v>
      </c>
      <c r="G105" s="4">
        <v>31.5</v>
      </c>
      <c r="H105" t="s">
        <v>146</v>
      </c>
      <c r="I105" t="s">
        <v>156</v>
      </c>
      <c r="J105" t="s">
        <v>228</v>
      </c>
      <c r="L105" s="1"/>
      <c r="M105" s="1"/>
      <c r="N105" s="1"/>
      <c r="O105" s="1"/>
      <c r="P105" s="1"/>
      <c r="Q105" s="1"/>
      <c r="R105" s="1"/>
    </row>
    <row r="106" spans="1:18">
      <c r="A106" s="3"/>
      <c r="B106" s="3" t="s">
        <v>459</v>
      </c>
      <c r="D106" s="162" t="s">
        <v>955</v>
      </c>
      <c r="F106" s="167" t="s">
        <v>521</v>
      </c>
      <c r="G106" s="4">
        <v>28.8</v>
      </c>
      <c r="H106" t="s">
        <v>146</v>
      </c>
      <c r="I106" t="s">
        <v>156</v>
      </c>
      <c r="J106" t="s">
        <v>229</v>
      </c>
      <c r="L106" s="1"/>
      <c r="M106" s="1"/>
      <c r="N106" s="1"/>
      <c r="O106" s="1"/>
      <c r="P106" s="1"/>
      <c r="Q106" s="1"/>
      <c r="R106" s="1"/>
    </row>
    <row r="107" spans="1:18">
      <c r="A107" s="3"/>
      <c r="B107" s="3" t="s">
        <v>460</v>
      </c>
      <c r="D107" s="162" t="s">
        <v>956</v>
      </c>
      <c r="F107" s="167" t="s">
        <v>236</v>
      </c>
      <c r="G107" s="4">
        <v>10.9</v>
      </c>
      <c r="H107" t="s">
        <v>146</v>
      </c>
      <c r="I107" t="s">
        <v>156</v>
      </c>
      <c r="J107" t="s">
        <v>226</v>
      </c>
      <c r="L107" s="1"/>
      <c r="M107" s="1"/>
      <c r="N107" s="1"/>
      <c r="O107" s="1"/>
      <c r="P107" s="1"/>
      <c r="Q107" s="1"/>
      <c r="R107" s="1"/>
    </row>
    <row r="108" spans="1:18">
      <c r="A108" s="3"/>
      <c r="B108" s="3" t="s">
        <v>446</v>
      </c>
      <c r="D108" s="162" t="s">
        <v>957</v>
      </c>
      <c r="F108" s="167" t="s">
        <v>522</v>
      </c>
      <c r="G108" s="4">
        <v>10.6</v>
      </c>
      <c r="H108" t="s">
        <v>146</v>
      </c>
      <c r="I108" t="s">
        <v>156</v>
      </c>
      <c r="J108" t="s">
        <v>227</v>
      </c>
      <c r="L108" s="1"/>
      <c r="M108" s="1"/>
      <c r="N108" s="1"/>
      <c r="O108" s="1"/>
      <c r="P108" s="1"/>
      <c r="Q108" s="1"/>
      <c r="R108" s="1"/>
    </row>
    <row r="109" spans="1:18">
      <c r="A109" s="3"/>
      <c r="B109" s="3" t="s">
        <v>447</v>
      </c>
      <c r="D109" s="162" t="s">
        <v>958</v>
      </c>
      <c r="F109" s="167" t="s">
        <v>523</v>
      </c>
      <c r="G109" s="4">
        <v>10.9</v>
      </c>
      <c r="H109" t="s">
        <v>146</v>
      </c>
      <c r="I109" t="s">
        <v>156</v>
      </c>
      <c r="J109" t="s">
        <v>228</v>
      </c>
      <c r="L109" s="1"/>
      <c r="M109" s="1"/>
      <c r="N109" s="1"/>
      <c r="O109" s="1"/>
      <c r="P109" s="1"/>
      <c r="Q109" s="1"/>
      <c r="R109" s="1"/>
    </row>
    <row r="110" spans="1:18">
      <c r="A110" s="3"/>
      <c r="B110" s="3" t="s">
        <v>448</v>
      </c>
      <c r="D110" s="162" t="s">
        <v>959</v>
      </c>
      <c r="F110" s="167" t="s">
        <v>524</v>
      </c>
      <c r="G110" s="4">
        <v>10</v>
      </c>
      <c r="H110" t="s">
        <v>146</v>
      </c>
      <c r="I110" t="s">
        <v>156</v>
      </c>
      <c r="J110" t="s">
        <v>229</v>
      </c>
      <c r="L110" s="1"/>
      <c r="M110" s="1"/>
      <c r="N110" s="1"/>
      <c r="O110" s="1"/>
      <c r="P110" s="1"/>
      <c r="Q110" s="1"/>
      <c r="R110" s="1"/>
    </row>
    <row r="111" spans="1:18">
      <c r="A111" s="3"/>
      <c r="B111" s="3" t="s">
        <v>449</v>
      </c>
      <c r="D111" s="162" t="s">
        <v>960</v>
      </c>
      <c r="F111" s="167" t="s">
        <v>237</v>
      </c>
      <c r="G111" s="4">
        <v>16.899999999999999</v>
      </c>
      <c r="H111" t="s">
        <v>146</v>
      </c>
      <c r="I111" t="s">
        <v>156</v>
      </c>
      <c r="J111" t="s">
        <v>226</v>
      </c>
      <c r="L111" s="1"/>
      <c r="M111" s="1"/>
      <c r="N111" s="1"/>
      <c r="O111" s="1"/>
      <c r="P111" s="1"/>
      <c r="Q111" s="1"/>
      <c r="R111" s="1"/>
    </row>
    <row r="112" spans="1:18">
      <c r="A112" s="3"/>
      <c r="B112" s="3" t="s">
        <v>450</v>
      </c>
      <c r="D112" s="162" t="s">
        <v>961</v>
      </c>
      <c r="F112" s="167" t="s">
        <v>525</v>
      </c>
      <c r="G112" s="4">
        <v>15.4</v>
      </c>
      <c r="H112" t="s">
        <v>146</v>
      </c>
      <c r="I112" t="s">
        <v>156</v>
      </c>
      <c r="J112" t="s">
        <v>227</v>
      </c>
      <c r="L112" s="1"/>
      <c r="M112" s="1"/>
      <c r="N112" s="1"/>
      <c r="O112" s="1"/>
      <c r="P112" s="1"/>
      <c r="Q112" s="1"/>
      <c r="R112" s="1"/>
    </row>
    <row r="113" spans="1:18">
      <c r="A113" s="3"/>
      <c r="B113" s="160" t="s">
        <v>929</v>
      </c>
      <c r="D113" s="162" t="s">
        <v>962</v>
      </c>
      <c r="F113" s="167" t="s">
        <v>526</v>
      </c>
      <c r="G113" s="4">
        <v>17.3</v>
      </c>
      <c r="H113" t="s">
        <v>146</v>
      </c>
      <c r="I113" t="s">
        <v>156</v>
      </c>
      <c r="J113" t="s">
        <v>228</v>
      </c>
      <c r="L113" s="1"/>
      <c r="M113" s="1"/>
      <c r="N113" s="1"/>
      <c r="O113" s="1"/>
      <c r="P113" s="1"/>
      <c r="Q113" s="1"/>
      <c r="R113" s="1"/>
    </row>
    <row r="114" spans="1:18">
      <c r="A114" s="3"/>
      <c r="B114" s="160" t="s">
        <v>928</v>
      </c>
      <c r="D114" s="162" t="s">
        <v>963</v>
      </c>
      <c r="F114" s="167" t="s">
        <v>527</v>
      </c>
      <c r="G114" s="4">
        <v>16.3</v>
      </c>
      <c r="H114" t="s">
        <v>146</v>
      </c>
      <c r="I114" t="s">
        <v>156</v>
      </c>
      <c r="J114" t="s">
        <v>229</v>
      </c>
      <c r="L114" s="1"/>
      <c r="M114" s="1"/>
      <c r="N114" s="1"/>
      <c r="O114" s="1"/>
      <c r="P114" s="1"/>
      <c r="Q114" s="1"/>
      <c r="R114" s="1"/>
    </row>
    <row r="115" spans="1:18">
      <c r="A115" s="3"/>
      <c r="B115" s="160" t="s">
        <v>927</v>
      </c>
      <c r="D115" s="162" t="s">
        <v>964</v>
      </c>
      <c r="F115" s="167" t="s">
        <v>238</v>
      </c>
      <c r="G115" s="4">
        <v>23.9</v>
      </c>
      <c r="H115" t="s">
        <v>146</v>
      </c>
      <c r="I115" t="s">
        <v>156</v>
      </c>
      <c r="J115" t="s">
        <v>226</v>
      </c>
      <c r="L115" s="1"/>
      <c r="M115" s="1"/>
      <c r="N115" s="1"/>
      <c r="O115" s="1"/>
      <c r="P115" s="1"/>
      <c r="Q115" s="1"/>
      <c r="R115" s="1"/>
    </row>
    <row r="116" spans="1:18">
      <c r="A116" s="3"/>
      <c r="B116" s="160" t="s">
        <v>926</v>
      </c>
      <c r="D116" s="162" t="s">
        <v>965</v>
      </c>
      <c r="F116" s="167" t="s">
        <v>528</v>
      </c>
      <c r="G116" s="4">
        <v>20.9</v>
      </c>
      <c r="H116" t="s">
        <v>146</v>
      </c>
      <c r="I116" t="s">
        <v>156</v>
      </c>
      <c r="J116" t="s">
        <v>227</v>
      </c>
      <c r="L116" s="1"/>
      <c r="M116" s="1"/>
      <c r="N116" s="1"/>
      <c r="O116" s="1"/>
      <c r="P116" s="1"/>
      <c r="Q116" s="1"/>
      <c r="R116" s="1"/>
    </row>
    <row r="117" spans="1:18">
      <c r="A117" s="3"/>
      <c r="B117" s="160" t="s">
        <v>925</v>
      </c>
      <c r="D117" s="162" t="s">
        <v>966</v>
      </c>
      <c r="F117" s="167" t="s">
        <v>529</v>
      </c>
      <c r="G117" s="4">
        <v>26.9</v>
      </c>
      <c r="H117" t="s">
        <v>146</v>
      </c>
      <c r="I117" t="s">
        <v>156</v>
      </c>
      <c r="J117" t="s">
        <v>228</v>
      </c>
      <c r="L117" s="1"/>
      <c r="M117" s="1"/>
      <c r="N117" s="1"/>
      <c r="O117" s="1"/>
      <c r="P117" s="1"/>
      <c r="Q117" s="1"/>
      <c r="R117" s="1"/>
    </row>
    <row r="118" spans="1:18">
      <c r="A118" s="3"/>
      <c r="B118" s="160" t="s">
        <v>924</v>
      </c>
      <c r="D118" s="162" t="s">
        <v>967</v>
      </c>
      <c r="F118" s="167" t="s">
        <v>530</v>
      </c>
      <c r="G118" s="4">
        <v>23.1</v>
      </c>
      <c r="H118" t="s">
        <v>146</v>
      </c>
      <c r="I118" t="s">
        <v>156</v>
      </c>
      <c r="J118" t="s">
        <v>229</v>
      </c>
      <c r="L118" s="1"/>
      <c r="M118" s="1"/>
      <c r="N118" s="1"/>
      <c r="O118" s="1"/>
      <c r="P118" s="1"/>
      <c r="Q118" s="1"/>
      <c r="R118" s="1"/>
    </row>
    <row r="119" spans="1:18">
      <c r="A119" s="3"/>
      <c r="B119" s="160" t="s">
        <v>923</v>
      </c>
      <c r="D119" s="162" t="s">
        <v>968</v>
      </c>
      <c r="F119" s="167" t="s">
        <v>239</v>
      </c>
      <c r="G119" s="4">
        <v>26.9</v>
      </c>
      <c r="H119" t="s">
        <v>146</v>
      </c>
      <c r="I119" t="s">
        <v>156</v>
      </c>
      <c r="J119" t="s">
        <v>226</v>
      </c>
      <c r="L119" s="1"/>
      <c r="M119" s="1"/>
      <c r="N119" s="1"/>
      <c r="O119" s="1"/>
      <c r="P119" s="1"/>
      <c r="Q119" s="1"/>
      <c r="R119" s="1"/>
    </row>
    <row r="120" spans="1:18">
      <c r="A120" s="3"/>
      <c r="B120" s="160" t="s">
        <v>922</v>
      </c>
      <c r="D120" s="162" t="s">
        <v>969</v>
      </c>
      <c r="F120" s="167" t="s">
        <v>531</v>
      </c>
      <c r="G120" s="4">
        <v>22.9</v>
      </c>
      <c r="H120" t="s">
        <v>146</v>
      </c>
      <c r="I120" t="s">
        <v>156</v>
      </c>
      <c r="J120" t="s">
        <v>227</v>
      </c>
      <c r="L120" s="1"/>
      <c r="M120" s="1"/>
      <c r="N120" s="1"/>
      <c r="O120" s="1"/>
      <c r="P120" s="1"/>
      <c r="Q120" s="1"/>
      <c r="R120" s="1"/>
    </row>
    <row r="121" spans="1:18">
      <c r="A121" s="3"/>
      <c r="B121" s="160" t="s">
        <v>921</v>
      </c>
      <c r="D121" s="162" t="s">
        <v>970</v>
      </c>
      <c r="F121" s="167" t="s">
        <v>532</v>
      </c>
      <c r="G121" s="4">
        <v>28.4</v>
      </c>
      <c r="H121" t="s">
        <v>146</v>
      </c>
      <c r="I121" t="s">
        <v>156</v>
      </c>
      <c r="J121" t="s">
        <v>228</v>
      </c>
      <c r="L121" s="1"/>
      <c r="M121" s="1"/>
      <c r="N121" s="1"/>
      <c r="O121" s="1"/>
      <c r="P121" s="1"/>
      <c r="Q121" s="1"/>
      <c r="R121" s="1"/>
    </row>
    <row r="122" spans="1:18">
      <c r="B122" s="160" t="s">
        <v>920</v>
      </c>
      <c r="D122" s="162" t="s">
        <v>971</v>
      </c>
      <c r="F122" s="167" t="s">
        <v>533</v>
      </c>
      <c r="G122" s="4">
        <v>25.7</v>
      </c>
      <c r="H122" t="s">
        <v>146</v>
      </c>
      <c r="I122" t="s">
        <v>156</v>
      </c>
      <c r="J122" t="s">
        <v>229</v>
      </c>
      <c r="L122" s="1"/>
      <c r="M122" s="1"/>
      <c r="N122" s="1"/>
      <c r="O122" s="1"/>
      <c r="P122" s="1"/>
      <c r="Q122" s="1"/>
      <c r="R122" s="1"/>
    </row>
    <row r="123" spans="1:18">
      <c r="B123" s="152" t="s">
        <v>764</v>
      </c>
      <c r="D123" s="162" t="s">
        <v>972</v>
      </c>
      <c r="F123" s="167" t="s">
        <v>240</v>
      </c>
      <c r="G123" s="4">
        <v>11.2</v>
      </c>
      <c r="H123" t="s">
        <v>146</v>
      </c>
      <c r="I123" t="s">
        <v>156</v>
      </c>
      <c r="J123" t="s">
        <v>226</v>
      </c>
      <c r="L123" s="1"/>
      <c r="M123" s="1"/>
      <c r="N123" s="1"/>
      <c r="O123" s="1"/>
      <c r="P123" s="1"/>
      <c r="Q123" s="1"/>
      <c r="R123" s="1"/>
    </row>
    <row r="124" spans="1:18">
      <c r="B124" s="152" t="s">
        <v>765</v>
      </c>
      <c r="D124" s="162" t="s">
        <v>973</v>
      </c>
      <c r="F124" s="167" t="s">
        <v>534</v>
      </c>
      <c r="G124" s="4">
        <v>9.9</v>
      </c>
      <c r="H124" t="s">
        <v>146</v>
      </c>
      <c r="I124" t="s">
        <v>156</v>
      </c>
      <c r="J124" t="s">
        <v>227</v>
      </c>
      <c r="L124" s="1"/>
      <c r="M124" s="1"/>
      <c r="N124" s="1"/>
      <c r="O124" s="1"/>
      <c r="P124" s="1"/>
      <c r="Q124" s="1"/>
      <c r="R124" s="1"/>
    </row>
    <row r="125" spans="1:18">
      <c r="A125" s="3"/>
      <c r="B125" s="152" t="s">
        <v>766</v>
      </c>
      <c r="D125" s="162" t="s">
        <v>974</v>
      </c>
      <c r="F125" s="167" t="s">
        <v>535</v>
      </c>
      <c r="G125" s="4">
        <v>10.199999999999999</v>
      </c>
      <c r="H125" t="s">
        <v>146</v>
      </c>
      <c r="I125" t="s">
        <v>156</v>
      </c>
      <c r="J125" t="s">
        <v>228</v>
      </c>
      <c r="L125" s="1"/>
      <c r="M125" s="1"/>
      <c r="N125" s="1"/>
      <c r="O125" s="1"/>
      <c r="P125" s="1"/>
      <c r="Q125" s="1"/>
      <c r="R125" s="1"/>
    </row>
    <row r="126" spans="1:18">
      <c r="A126" s="3"/>
      <c r="B126" s="3" t="s">
        <v>345</v>
      </c>
      <c r="D126" s="162" t="s">
        <v>975</v>
      </c>
      <c r="F126" s="167" t="s">
        <v>536</v>
      </c>
      <c r="G126" s="4">
        <v>9.1999999999999993</v>
      </c>
      <c r="H126" t="s">
        <v>146</v>
      </c>
      <c r="I126" t="s">
        <v>156</v>
      </c>
      <c r="J126" t="s">
        <v>229</v>
      </c>
      <c r="L126" s="1"/>
      <c r="M126" s="1"/>
      <c r="N126" s="1"/>
      <c r="O126" s="1"/>
      <c r="P126" s="1"/>
      <c r="Q126" s="1"/>
      <c r="R126" s="1"/>
    </row>
    <row r="127" spans="1:18">
      <c r="A127" s="3"/>
      <c r="B127" s="3" t="s">
        <v>346</v>
      </c>
      <c r="D127" s="162" t="s">
        <v>976</v>
      </c>
      <c r="F127" s="167" t="s">
        <v>241</v>
      </c>
      <c r="G127" s="4">
        <v>16.7</v>
      </c>
      <c r="H127" t="s">
        <v>146</v>
      </c>
      <c r="I127" t="s">
        <v>156</v>
      </c>
      <c r="J127" t="s">
        <v>226</v>
      </c>
      <c r="L127" s="1"/>
      <c r="M127" s="1"/>
      <c r="N127" s="1"/>
      <c r="O127" s="1"/>
      <c r="P127" s="1"/>
      <c r="Q127" s="1"/>
      <c r="R127" s="1"/>
    </row>
    <row r="128" spans="1:18">
      <c r="A128" s="3"/>
      <c r="B128" s="3" t="s">
        <v>347</v>
      </c>
      <c r="D128" s="162" t="s">
        <v>977</v>
      </c>
      <c r="F128" s="167" t="s">
        <v>537</v>
      </c>
      <c r="G128" s="4">
        <v>15.2</v>
      </c>
      <c r="H128" t="s">
        <v>146</v>
      </c>
      <c r="I128" t="s">
        <v>156</v>
      </c>
      <c r="J128" t="s">
        <v>227</v>
      </c>
      <c r="L128" s="1"/>
      <c r="M128" s="1"/>
      <c r="N128" s="1"/>
      <c r="O128" s="1"/>
      <c r="P128" s="1"/>
      <c r="Q128" s="1"/>
      <c r="R128" s="1"/>
    </row>
    <row r="129" spans="1:18">
      <c r="A129" s="3"/>
      <c r="B129" s="3" t="s">
        <v>348</v>
      </c>
      <c r="D129" s="162" t="s">
        <v>978</v>
      </c>
      <c r="F129" s="167" t="s">
        <v>538</v>
      </c>
      <c r="G129" s="4">
        <v>17.3</v>
      </c>
      <c r="H129" t="s">
        <v>146</v>
      </c>
      <c r="I129" t="s">
        <v>156</v>
      </c>
      <c r="J129" t="s">
        <v>228</v>
      </c>
      <c r="L129" s="1"/>
      <c r="M129" s="1"/>
      <c r="N129" s="1"/>
      <c r="O129" s="1"/>
      <c r="P129" s="1"/>
      <c r="Q129" s="1"/>
      <c r="R129" s="1"/>
    </row>
    <row r="130" spans="1:18">
      <c r="A130" s="3"/>
      <c r="B130" s="3" t="s">
        <v>349</v>
      </c>
      <c r="D130" s="162" t="s">
        <v>979</v>
      </c>
      <c r="F130" s="167" t="s">
        <v>539</v>
      </c>
      <c r="G130" s="4">
        <v>16.100000000000001</v>
      </c>
      <c r="H130" t="s">
        <v>146</v>
      </c>
      <c r="I130" t="s">
        <v>156</v>
      </c>
      <c r="J130" t="s">
        <v>229</v>
      </c>
      <c r="L130" s="1"/>
      <c r="M130" s="1"/>
      <c r="N130" s="1"/>
      <c r="O130" s="1"/>
      <c r="P130" s="1"/>
      <c r="Q130" s="1"/>
      <c r="R130" s="1"/>
    </row>
    <row r="131" spans="1:18">
      <c r="A131" s="3"/>
      <c r="B131" s="3" t="s">
        <v>350</v>
      </c>
      <c r="D131" s="162" t="s">
        <v>980</v>
      </c>
      <c r="F131" s="167" t="s">
        <v>242</v>
      </c>
      <c r="G131" s="4">
        <v>24.4</v>
      </c>
      <c r="H131" t="s">
        <v>146</v>
      </c>
      <c r="I131" t="s">
        <v>156</v>
      </c>
      <c r="J131" t="s">
        <v>226</v>
      </c>
      <c r="L131" s="1"/>
      <c r="M131" s="1"/>
      <c r="N131" s="1"/>
      <c r="O131" s="1"/>
      <c r="P131" s="1"/>
      <c r="Q131" s="1"/>
      <c r="R131" s="1"/>
    </row>
    <row r="132" spans="1:18">
      <c r="A132" s="3"/>
      <c r="B132" s="3" t="s">
        <v>351</v>
      </c>
      <c r="D132" s="162" t="s">
        <v>981</v>
      </c>
      <c r="F132" s="167" t="s">
        <v>540</v>
      </c>
      <c r="G132" s="4">
        <v>20.8</v>
      </c>
      <c r="H132" t="s">
        <v>146</v>
      </c>
      <c r="I132" t="s">
        <v>156</v>
      </c>
      <c r="J132" t="s">
        <v>227</v>
      </c>
      <c r="L132" s="1"/>
      <c r="M132" s="1"/>
      <c r="N132" s="1"/>
      <c r="O132" s="1"/>
      <c r="P132" s="1"/>
      <c r="Q132" s="1"/>
      <c r="R132" s="1"/>
    </row>
    <row r="133" spans="1:18">
      <c r="A133" s="3"/>
      <c r="B133" s="3" t="s">
        <v>352</v>
      </c>
      <c r="D133" s="162" t="s">
        <v>982</v>
      </c>
      <c r="F133" s="167" t="s">
        <v>541</v>
      </c>
      <c r="G133" s="4">
        <v>25.6</v>
      </c>
      <c r="H133" t="s">
        <v>146</v>
      </c>
      <c r="I133" t="s">
        <v>156</v>
      </c>
      <c r="J133" t="s">
        <v>228</v>
      </c>
      <c r="L133" s="1"/>
      <c r="M133" s="1"/>
      <c r="N133" s="1"/>
      <c r="O133" s="1"/>
      <c r="P133" s="1"/>
      <c r="Q133" s="1"/>
      <c r="R133" s="1"/>
    </row>
    <row r="134" spans="1:18">
      <c r="A134" s="3"/>
      <c r="B134" s="3" t="s">
        <v>353</v>
      </c>
      <c r="D134" s="162" t="s">
        <v>983</v>
      </c>
      <c r="F134" s="167" t="s">
        <v>542</v>
      </c>
      <c r="G134" s="4">
        <v>23.1</v>
      </c>
      <c r="H134" t="s">
        <v>146</v>
      </c>
      <c r="I134" t="s">
        <v>156</v>
      </c>
      <c r="J134" t="s">
        <v>229</v>
      </c>
      <c r="L134" s="1"/>
      <c r="M134" s="1"/>
      <c r="N134" s="1"/>
      <c r="O134" s="1"/>
      <c r="P134" s="1"/>
      <c r="Q134" s="1"/>
      <c r="R134" s="1"/>
    </row>
    <row r="135" spans="1:18">
      <c r="A135" s="3"/>
      <c r="B135" s="3" t="s">
        <v>354</v>
      </c>
      <c r="D135" s="162" t="s">
        <v>984</v>
      </c>
      <c r="F135" s="167" t="s">
        <v>243</v>
      </c>
      <c r="G135" s="4">
        <v>29.8</v>
      </c>
      <c r="H135" t="s">
        <v>146</v>
      </c>
      <c r="I135" t="s">
        <v>156</v>
      </c>
      <c r="J135" t="s">
        <v>226</v>
      </c>
      <c r="L135" s="1"/>
      <c r="M135" s="1"/>
      <c r="N135" s="1"/>
      <c r="O135" s="1"/>
      <c r="P135" s="1"/>
      <c r="Q135" s="1"/>
      <c r="R135" s="1"/>
    </row>
    <row r="136" spans="1:18">
      <c r="A136" s="3"/>
      <c r="B136" s="3" t="s">
        <v>355</v>
      </c>
      <c r="D136" s="162" t="s">
        <v>985</v>
      </c>
      <c r="F136" s="167" t="s">
        <v>543</v>
      </c>
      <c r="G136" s="4">
        <v>24.8</v>
      </c>
      <c r="H136" t="s">
        <v>146</v>
      </c>
      <c r="I136" t="s">
        <v>156</v>
      </c>
      <c r="J136" t="s">
        <v>227</v>
      </c>
      <c r="L136" s="1"/>
      <c r="M136" s="1"/>
      <c r="N136" s="1"/>
      <c r="O136" s="1"/>
      <c r="P136" s="1"/>
      <c r="Q136" s="1"/>
      <c r="R136" s="1"/>
    </row>
    <row r="137" spans="1:18">
      <c r="A137" s="3"/>
      <c r="B137" s="3" t="s">
        <v>356</v>
      </c>
      <c r="D137" s="162" t="s">
        <v>986</v>
      </c>
      <c r="F137" s="167" t="s">
        <v>544</v>
      </c>
      <c r="G137" s="4">
        <v>30.3</v>
      </c>
      <c r="H137" t="s">
        <v>146</v>
      </c>
      <c r="I137" t="s">
        <v>156</v>
      </c>
      <c r="J137" t="s">
        <v>228</v>
      </c>
      <c r="L137" s="1"/>
      <c r="M137" s="1"/>
      <c r="N137" s="1"/>
      <c r="O137" s="1"/>
      <c r="P137" s="1"/>
      <c r="Q137" s="1"/>
      <c r="R137" s="1"/>
    </row>
    <row r="138" spans="1:18">
      <c r="A138" s="3"/>
      <c r="B138" s="3" t="s">
        <v>364</v>
      </c>
      <c r="D138" s="162" t="s">
        <v>987</v>
      </c>
      <c r="F138" s="167" t="s">
        <v>545</v>
      </c>
      <c r="G138" s="4">
        <v>27.6</v>
      </c>
      <c r="H138" t="s">
        <v>146</v>
      </c>
      <c r="I138" t="s">
        <v>156</v>
      </c>
      <c r="J138" t="s">
        <v>229</v>
      </c>
      <c r="L138" s="1"/>
      <c r="M138" s="1"/>
      <c r="N138" s="1"/>
      <c r="O138" s="1"/>
      <c r="P138" s="1"/>
      <c r="Q138" s="1"/>
      <c r="R138" s="1"/>
    </row>
    <row r="139" spans="1:18">
      <c r="A139" s="3"/>
      <c r="B139" s="3" t="s">
        <v>361</v>
      </c>
      <c r="D139" s="162" t="s">
        <v>988</v>
      </c>
      <c r="F139" s="167" t="s">
        <v>157</v>
      </c>
      <c r="G139" s="4">
        <v>12.7</v>
      </c>
      <c r="H139" t="s">
        <v>146</v>
      </c>
      <c r="I139" t="s">
        <v>147</v>
      </c>
      <c r="L139" s="1"/>
      <c r="M139" s="1"/>
      <c r="N139" s="1"/>
      <c r="O139" s="1"/>
      <c r="P139" s="1"/>
      <c r="Q139" s="1"/>
      <c r="R139" s="1"/>
    </row>
    <row r="140" spans="1:18">
      <c r="A140" s="3"/>
      <c r="B140" s="3" t="s">
        <v>362</v>
      </c>
      <c r="D140" s="162" t="s">
        <v>989</v>
      </c>
      <c r="F140" s="170" t="s">
        <v>861</v>
      </c>
      <c r="G140" s="4">
        <v>10.3</v>
      </c>
      <c r="H140" t="s">
        <v>146</v>
      </c>
      <c r="I140" t="s">
        <v>147</v>
      </c>
      <c r="J140" t="s">
        <v>212</v>
      </c>
      <c r="L140" s="1"/>
      <c r="M140" s="1"/>
      <c r="N140" s="1"/>
      <c r="O140" s="1"/>
      <c r="P140" s="1"/>
      <c r="Q140" s="1"/>
      <c r="R140" s="1"/>
    </row>
    <row r="141" spans="1:18">
      <c r="A141" s="3"/>
      <c r="B141" s="3" t="s">
        <v>363</v>
      </c>
      <c r="D141" s="162" t="s">
        <v>990</v>
      </c>
      <c r="F141" s="170" t="s">
        <v>159</v>
      </c>
      <c r="G141" s="95">
        <v>18.5</v>
      </c>
      <c r="H141" s="10" t="s">
        <v>146</v>
      </c>
      <c r="I141" s="10" t="s">
        <v>147</v>
      </c>
      <c r="J141" s="10" t="s">
        <v>212</v>
      </c>
      <c r="L141" s="1"/>
      <c r="M141" s="1"/>
      <c r="N141" s="1"/>
      <c r="O141" s="1"/>
      <c r="P141" s="1"/>
      <c r="Q141" s="1"/>
      <c r="R141" s="1"/>
    </row>
    <row r="142" spans="1:18">
      <c r="A142" s="3"/>
      <c r="B142" s="3" t="s">
        <v>357</v>
      </c>
      <c r="D142" s="162" t="s">
        <v>991</v>
      </c>
      <c r="F142" s="167" t="s">
        <v>160</v>
      </c>
      <c r="G142" s="4">
        <v>14.8</v>
      </c>
      <c r="H142" t="s">
        <v>146</v>
      </c>
      <c r="I142" t="s">
        <v>147</v>
      </c>
      <c r="J142" t="s">
        <v>211</v>
      </c>
      <c r="L142" s="1"/>
      <c r="M142" s="1"/>
      <c r="N142" s="1"/>
      <c r="O142" s="1"/>
      <c r="P142" s="1"/>
      <c r="Q142" s="1"/>
      <c r="R142" s="1"/>
    </row>
    <row r="143" spans="1:18">
      <c r="A143" s="3"/>
      <c r="B143" s="3" t="s">
        <v>358</v>
      </c>
      <c r="D143" s="162" t="s">
        <v>992</v>
      </c>
      <c r="F143" s="167" t="s">
        <v>463</v>
      </c>
      <c r="G143" s="4">
        <v>14.7</v>
      </c>
      <c r="H143" t="s">
        <v>146</v>
      </c>
      <c r="I143" t="s">
        <v>466</v>
      </c>
      <c r="J143" t="s">
        <v>462</v>
      </c>
      <c r="L143" s="1"/>
      <c r="M143" s="1"/>
      <c r="N143" s="1"/>
      <c r="O143" s="1"/>
      <c r="P143" s="1"/>
      <c r="Q143" s="1"/>
      <c r="R143" s="1"/>
    </row>
    <row r="144" spans="1:18">
      <c r="A144" s="3"/>
      <c r="B144" s="3" t="s">
        <v>359</v>
      </c>
      <c r="D144" s="162" t="s">
        <v>993</v>
      </c>
      <c r="F144" s="167" t="s">
        <v>464</v>
      </c>
      <c r="G144" s="4">
        <v>19.600000000000001</v>
      </c>
      <c r="H144" t="s">
        <v>146</v>
      </c>
      <c r="I144" t="s">
        <v>466</v>
      </c>
      <c r="J144" t="s">
        <v>462</v>
      </c>
      <c r="L144" s="1"/>
      <c r="M144" s="1"/>
      <c r="N144" s="1"/>
      <c r="O144" s="1"/>
      <c r="P144" s="1"/>
      <c r="Q144" s="1"/>
      <c r="R144" s="1"/>
    </row>
    <row r="145" spans="1:18">
      <c r="A145" s="3"/>
      <c r="B145" s="3" t="s">
        <v>360</v>
      </c>
      <c r="D145" s="162" t="s">
        <v>994</v>
      </c>
      <c r="F145" s="167" t="s">
        <v>465</v>
      </c>
      <c r="G145" s="4">
        <v>23.7</v>
      </c>
      <c r="H145" t="s">
        <v>146</v>
      </c>
      <c r="I145" t="s">
        <v>466</v>
      </c>
      <c r="J145" t="s">
        <v>462</v>
      </c>
      <c r="L145" s="1"/>
      <c r="M145" s="1"/>
      <c r="N145" s="1"/>
      <c r="O145" s="1"/>
      <c r="P145" s="1"/>
      <c r="Q145" s="1"/>
      <c r="R145" s="1"/>
    </row>
    <row r="146" spans="1:18">
      <c r="A146" s="3"/>
      <c r="B146" s="3" t="s">
        <v>309</v>
      </c>
      <c r="D146" s="162" t="s">
        <v>995</v>
      </c>
      <c r="F146" s="153" t="s">
        <v>571</v>
      </c>
      <c r="G146" s="4">
        <v>11.4</v>
      </c>
      <c r="H146" t="s">
        <v>207</v>
      </c>
      <c r="I146" t="s">
        <v>147</v>
      </c>
      <c r="J146" s="1"/>
      <c r="L146" s="1"/>
      <c r="M146" s="1"/>
      <c r="N146" s="1"/>
      <c r="O146" s="1"/>
      <c r="P146" s="1"/>
      <c r="Q146" s="1"/>
      <c r="R146" s="1"/>
    </row>
    <row r="147" spans="1:18">
      <c r="A147" s="3"/>
      <c r="B147" s="3" t="s">
        <v>308</v>
      </c>
      <c r="D147" s="162" t="s">
        <v>996</v>
      </c>
      <c r="F147" s="153" t="s">
        <v>572</v>
      </c>
      <c r="G147" s="4">
        <v>13.9</v>
      </c>
      <c r="H147" t="s">
        <v>207</v>
      </c>
      <c r="I147" t="s">
        <v>147</v>
      </c>
      <c r="J147" s="1"/>
      <c r="L147" s="1"/>
      <c r="M147" s="1"/>
      <c r="N147" s="1"/>
      <c r="O147" s="1"/>
      <c r="P147" s="1"/>
      <c r="Q147" s="1"/>
      <c r="R147" s="1"/>
    </row>
    <row r="148" spans="1:18">
      <c r="A148" s="3"/>
      <c r="B148" s="160" t="s">
        <v>999</v>
      </c>
      <c r="D148" s="162" t="s">
        <v>997</v>
      </c>
      <c r="F148" s="153" t="s">
        <v>573</v>
      </c>
      <c r="G148" s="4">
        <v>16.5</v>
      </c>
      <c r="H148" t="s">
        <v>207</v>
      </c>
      <c r="I148" t="s">
        <v>147</v>
      </c>
      <c r="J148" s="1"/>
      <c r="L148" s="1"/>
      <c r="M148" s="1"/>
      <c r="N148" s="1"/>
      <c r="O148" s="1"/>
      <c r="P148" s="1"/>
      <c r="Q148" s="1"/>
      <c r="R148" s="1"/>
    </row>
    <row r="149" spans="1:18">
      <c r="A149" s="3"/>
      <c r="B149" s="3" t="s">
        <v>311</v>
      </c>
      <c r="D149" s="162" t="s">
        <v>998</v>
      </c>
      <c r="F149" s="153" t="s">
        <v>574</v>
      </c>
      <c r="G149" s="4">
        <v>20.9</v>
      </c>
      <c r="H149" t="s">
        <v>207</v>
      </c>
      <c r="I149" t="s">
        <v>147</v>
      </c>
      <c r="J149" s="1"/>
      <c r="L149" s="1"/>
      <c r="M149" s="1"/>
      <c r="N149" s="1"/>
      <c r="O149" s="1"/>
      <c r="P149" s="1"/>
      <c r="Q149" s="1"/>
      <c r="R149" s="1"/>
    </row>
    <row r="150" spans="1:18">
      <c r="A150" s="3"/>
      <c r="B150" s="3" t="s">
        <v>310</v>
      </c>
      <c r="D150" s="162" t="s">
        <v>943</v>
      </c>
      <c r="F150" t="s">
        <v>161</v>
      </c>
      <c r="G150" s="166">
        <v>15.9</v>
      </c>
      <c r="H150" t="s">
        <v>146</v>
      </c>
      <c r="I150" t="s">
        <v>214</v>
      </c>
      <c r="J150" t="s">
        <v>216</v>
      </c>
      <c r="L150" s="1"/>
      <c r="M150" s="1"/>
      <c r="N150" s="1"/>
      <c r="O150" s="1"/>
      <c r="P150" s="1"/>
      <c r="Q150" s="1"/>
      <c r="R150" s="1"/>
    </row>
    <row r="151" spans="1:18">
      <c r="A151" s="3"/>
      <c r="B151" s="160" t="s">
        <v>1000</v>
      </c>
      <c r="D151" s="162" t="s">
        <v>942</v>
      </c>
      <c r="F151" t="s">
        <v>162</v>
      </c>
      <c r="G151" s="166">
        <v>21.1</v>
      </c>
      <c r="H151" t="s">
        <v>146</v>
      </c>
      <c r="I151" t="s">
        <v>214</v>
      </c>
      <c r="J151" t="s">
        <v>216</v>
      </c>
      <c r="L151" s="1"/>
      <c r="M151" s="1"/>
      <c r="N151" s="1"/>
      <c r="O151" s="1"/>
      <c r="P151" s="1"/>
      <c r="Q151" s="1"/>
      <c r="R151" s="1"/>
    </row>
    <row r="152" spans="1:18">
      <c r="A152" s="3"/>
      <c r="B152" s="3" t="s">
        <v>313</v>
      </c>
      <c r="D152" s="162" t="s">
        <v>941</v>
      </c>
      <c r="F152" t="s">
        <v>163</v>
      </c>
      <c r="G152" s="166">
        <v>24.1</v>
      </c>
      <c r="H152" t="s">
        <v>146</v>
      </c>
      <c r="I152" t="s">
        <v>214</v>
      </c>
      <c r="J152" t="s">
        <v>216</v>
      </c>
      <c r="L152" s="1"/>
      <c r="M152" s="1"/>
      <c r="N152" s="1"/>
      <c r="O152" s="1"/>
      <c r="P152" s="1"/>
      <c r="Q152" s="1"/>
      <c r="R152" s="1"/>
    </row>
    <row r="153" spans="1:18">
      <c r="A153" s="3"/>
      <c r="B153" s="3" t="s">
        <v>312</v>
      </c>
      <c r="D153" s="162" t="s">
        <v>940</v>
      </c>
      <c r="F153" s="10" t="s">
        <v>838</v>
      </c>
      <c r="G153" s="166">
        <v>28.6</v>
      </c>
      <c r="H153" t="s">
        <v>146</v>
      </c>
      <c r="I153" t="s">
        <v>214</v>
      </c>
      <c r="J153" t="s">
        <v>216</v>
      </c>
      <c r="L153" s="1"/>
      <c r="M153" s="1"/>
      <c r="N153" s="1"/>
      <c r="O153" s="1"/>
      <c r="P153" s="1"/>
      <c r="Q153" s="1"/>
      <c r="R153" s="1"/>
    </row>
    <row r="154" spans="1:18">
      <c r="A154" s="3"/>
      <c r="B154" s="160" t="s">
        <v>910</v>
      </c>
      <c r="D154" s="162" t="s">
        <v>939</v>
      </c>
      <c r="F154" t="s">
        <v>473</v>
      </c>
      <c r="G154" s="166">
        <v>15.9</v>
      </c>
      <c r="H154" t="s">
        <v>146</v>
      </c>
      <c r="I154" t="s">
        <v>214</v>
      </c>
      <c r="J154" t="s">
        <v>479</v>
      </c>
      <c r="L154" s="1"/>
      <c r="M154" s="1"/>
      <c r="N154" s="1"/>
      <c r="O154" s="1"/>
      <c r="P154" s="1"/>
      <c r="Q154" s="1"/>
      <c r="R154" s="1"/>
    </row>
    <row r="155" spans="1:18">
      <c r="A155" s="3"/>
      <c r="B155" s="3" t="s">
        <v>324</v>
      </c>
      <c r="D155" s="162" t="s">
        <v>938</v>
      </c>
      <c r="F155" t="s">
        <v>474</v>
      </c>
      <c r="G155" s="166">
        <v>21.1</v>
      </c>
      <c r="H155" t="s">
        <v>146</v>
      </c>
      <c r="I155" t="s">
        <v>214</v>
      </c>
      <c r="J155" t="s">
        <v>479</v>
      </c>
      <c r="L155" s="1"/>
      <c r="M155" s="1"/>
      <c r="N155" s="1"/>
      <c r="O155" s="1"/>
      <c r="P155" s="1"/>
      <c r="Q155" s="1"/>
      <c r="R155" s="1"/>
    </row>
    <row r="156" spans="1:18">
      <c r="A156" s="3"/>
      <c r="B156" s="3" t="s">
        <v>325</v>
      </c>
      <c r="D156" s="152" t="s">
        <v>841</v>
      </c>
      <c r="F156" t="s">
        <v>475</v>
      </c>
      <c r="G156" s="166">
        <v>24.1</v>
      </c>
      <c r="H156" t="s">
        <v>146</v>
      </c>
      <c r="I156" t="s">
        <v>214</v>
      </c>
      <c r="J156" t="s">
        <v>479</v>
      </c>
      <c r="L156" s="1"/>
      <c r="M156" s="1"/>
      <c r="N156" s="1"/>
      <c r="O156" s="1"/>
      <c r="P156" s="1"/>
      <c r="Q156" s="1"/>
      <c r="R156" s="1"/>
    </row>
    <row r="157" spans="1:18">
      <c r="A157" s="3"/>
      <c r="B157" s="3" t="s">
        <v>326</v>
      </c>
      <c r="D157" s="152" t="s">
        <v>842</v>
      </c>
      <c r="F157" s="152" t="s">
        <v>839</v>
      </c>
      <c r="G157" s="166">
        <v>28.6</v>
      </c>
      <c r="H157" s="159" t="s">
        <v>146</v>
      </c>
      <c r="I157" s="159" t="s">
        <v>214</v>
      </c>
      <c r="J157" s="159" t="s">
        <v>479</v>
      </c>
      <c r="L157" s="1"/>
      <c r="M157" s="1"/>
      <c r="N157" s="1"/>
      <c r="O157" s="1"/>
      <c r="P157" s="1"/>
      <c r="Q157" s="1"/>
      <c r="R157" s="1"/>
    </row>
    <row r="158" spans="1:18">
      <c r="A158" s="3"/>
      <c r="B158" s="3" t="s">
        <v>327</v>
      </c>
      <c r="D158" s="152" t="s">
        <v>843</v>
      </c>
      <c r="F158" s="160" t="s">
        <v>903</v>
      </c>
      <c r="G158" s="155">
        <v>14.6</v>
      </c>
      <c r="H158" s="156" t="s">
        <v>207</v>
      </c>
      <c r="I158" s="156" t="s">
        <v>147</v>
      </c>
      <c r="J158" s="156" t="s">
        <v>165</v>
      </c>
      <c r="L158" s="1"/>
      <c r="M158" s="1"/>
      <c r="N158" s="1"/>
      <c r="O158" s="1"/>
      <c r="P158" s="1"/>
      <c r="Q158" s="1"/>
      <c r="R158" s="1"/>
    </row>
    <row r="159" spans="1:18">
      <c r="A159" s="3"/>
      <c r="B159" s="3" t="s">
        <v>328</v>
      </c>
      <c r="D159" s="152" t="s">
        <v>844</v>
      </c>
      <c r="F159" s="160" t="s">
        <v>904</v>
      </c>
      <c r="G159" s="155">
        <v>16.2</v>
      </c>
      <c r="H159" s="156" t="s">
        <v>207</v>
      </c>
      <c r="I159" s="156" t="s">
        <v>147</v>
      </c>
      <c r="J159" s="156" t="s">
        <v>165</v>
      </c>
      <c r="L159" s="1"/>
      <c r="M159" s="1"/>
      <c r="N159" s="1"/>
      <c r="O159" s="1"/>
      <c r="P159" s="1"/>
      <c r="Q159" s="1"/>
      <c r="R159" s="1"/>
    </row>
    <row r="160" spans="1:18">
      <c r="A160" s="3"/>
      <c r="B160" s="3" t="s">
        <v>329</v>
      </c>
      <c r="D160" s="152" t="s">
        <v>845</v>
      </c>
      <c r="F160" s="160" t="s">
        <v>905</v>
      </c>
      <c r="G160" s="155">
        <v>21.5</v>
      </c>
      <c r="H160" s="156" t="s">
        <v>207</v>
      </c>
      <c r="I160" s="156" t="s">
        <v>147</v>
      </c>
      <c r="J160" s="156" t="s">
        <v>165</v>
      </c>
      <c r="L160" s="1"/>
      <c r="M160" s="1"/>
      <c r="N160" s="1"/>
      <c r="O160" s="1"/>
      <c r="P160" s="1"/>
      <c r="Q160" s="1"/>
      <c r="R160" s="1"/>
    </row>
    <row r="161" spans="1:18">
      <c r="A161" s="3"/>
      <c r="B161" s="3" t="s">
        <v>330</v>
      </c>
      <c r="D161" s="152" t="s">
        <v>846</v>
      </c>
      <c r="F161" s="162" t="s">
        <v>906</v>
      </c>
      <c r="G161" s="155">
        <v>20</v>
      </c>
      <c r="H161" s="156" t="s">
        <v>146</v>
      </c>
      <c r="I161" s="156" t="s">
        <v>147</v>
      </c>
      <c r="J161" s="156" t="s">
        <v>169</v>
      </c>
      <c r="L161" s="1"/>
      <c r="M161" s="1"/>
      <c r="N161" s="1"/>
      <c r="O161" s="1"/>
      <c r="P161" s="1"/>
      <c r="Q161" s="1"/>
      <c r="R161" s="1"/>
    </row>
    <row r="162" spans="1:18">
      <c r="A162" s="3"/>
      <c r="B162" s="3" t="s">
        <v>331</v>
      </c>
      <c r="D162" s="152" t="s">
        <v>847</v>
      </c>
      <c r="F162" s="162" t="s">
        <v>907</v>
      </c>
      <c r="G162" s="161">
        <v>10.9</v>
      </c>
      <c r="H162" s="162" t="s">
        <v>146</v>
      </c>
      <c r="I162" s="162" t="s">
        <v>156</v>
      </c>
      <c r="J162" s="162" t="s">
        <v>467</v>
      </c>
      <c r="L162" s="1"/>
      <c r="M162" s="1"/>
      <c r="N162" s="1"/>
      <c r="O162" s="1"/>
      <c r="P162" s="1"/>
      <c r="Q162" s="1"/>
      <c r="R162" s="1"/>
    </row>
    <row r="163" spans="1:18">
      <c r="A163" s="3"/>
      <c r="B163" s="3" t="s">
        <v>332</v>
      </c>
      <c r="D163" s="152" t="s">
        <v>848</v>
      </c>
      <c r="F163" s="162" t="s">
        <v>908</v>
      </c>
      <c r="G163" s="161">
        <v>10.6</v>
      </c>
      <c r="H163" s="162" t="s">
        <v>146</v>
      </c>
      <c r="I163" s="162" t="s">
        <v>156</v>
      </c>
      <c r="J163" s="162" t="s">
        <v>467</v>
      </c>
      <c r="L163" s="1"/>
      <c r="M163" s="1"/>
      <c r="N163" s="1"/>
      <c r="O163" s="1"/>
      <c r="P163" s="1"/>
      <c r="Q163" s="1"/>
      <c r="R163" s="1"/>
    </row>
    <row r="164" spans="1:18">
      <c r="A164" s="3"/>
      <c r="B164" s="3" t="s">
        <v>333</v>
      </c>
      <c r="D164" s="152" t="s">
        <v>849</v>
      </c>
      <c r="F164" s="162" t="s">
        <v>909</v>
      </c>
      <c r="G164" s="161">
        <v>10.9</v>
      </c>
      <c r="H164" s="162" t="s">
        <v>146</v>
      </c>
      <c r="I164" s="162" t="s">
        <v>156</v>
      </c>
      <c r="J164" s="162" t="s">
        <v>467</v>
      </c>
      <c r="L164" s="1"/>
      <c r="M164" s="1"/>
      <c r="N164" s="1"/>
      <c r="O164" s="1"/>
      <c r="P164" s="1"/>
      <c r="Q164" s="1"/>
      <c r="R164" s="1"/>
    </row>
    <row r="165" spans="1:18">
      <c r="A165" s="3"/>
      <c r="B165" s="3" t="s">
        <v>334</v>
      </c>
      <c r="D165" s="152" t="s">
        <v>850</v>
      </c>
      <c r="E165" s="10"/>
      <c r="F165" s="162" t="s">
        <v>944</v>
      </c>
      <c r="G165" s="161">
        <v>9.9</v>
      </c>
      <c r="H165" s="162" t="s">
        <v>146</v>
      </c>
      <c r="I165" s="162" t="s">
        <v>156</v>
      </c>
      <c r="J165" s="162" t="s">
        <v>467</v>
      </c>
      <c r="L165" s="1"/>
      <c r="M165" s="1"/>
      <c r="N165" s="1"/>
      <c r="O165" s="1"/>
      <c r="P165" s="1"/>
      <c r="Q165" s="1"/>
      <c r="R165" s="1"/>
    </row>
    <row r="166" spans="1:18">
      <c r="A166" s="3"/>
      <c r="B166" s="3" t="s">
        <v>335</v>
      </c>
      <c r="D166" s="152" t="s">
        <v>851</v>
      </c>
      <c r="E166" s="10"/>
      <c r="F166" s="162" t="s">
        <v>945</v>
      </c>
      <c r="G166" s="161">
        <v>16.5</v>
      </c>
      <c r="H166" s="162" t="s">
        <v>146</v>
      </c>
      <c r="I166" s="162" t="s">
        <v>156</v>
      </c>
      <c r="J166" s="162" t="s">
        <v>467</v>
      </c>
      <c r="L166" s="1"/>
      <c r="M166" s="1"/>
      <c r="N166" s="1"/>
      <c r="O166" s="1"/>
      <c r="P166" s="1"/>
      <c r="Q166" s="1"/>
      <c r="R166" s="1"/>
    </row>
    <row r="167" spans="1:18">
      <c r="A167" s="3"/>
      <c r="B167" s="101" t="s">
        <v>784</v>
      </c>
      <c r="D167" s="152" t="s">
        <v>852</v>
      </c>
      <c r="E167" s="10"/>
      <c r="F167" s="162" t="s">
        <v>946</v>
      </c>
      <c r="G167" s="161">
        <v>15</v>
      </c>
      <c r="H167" s="162" t="s">
        <v>146</v>
      </c>
      <c r="I167" s="162" t="s">
        <v>156</v>
      </c>
      <c r="J167" s="162" t="s">
        <v>467</v>
      </c>
      <c r="L167" s="1"/>
      <c r="M167" s="1"/>
      <c r="N167" s="1"/>
      <c r="O167" s="1"/>
      <c r="P167" s="1"/>
      <c r="Q167" s="1"/>
      <c r="R167" s="1"/>
    </row>
    <row r="168" spans="1:18">
      <c r="A168" s="3"/>
      <c r="B168" s="101" t="s">
        <v>785</v>
      </c>
      <c r="D168" s="152" t="s">
        <v>853</v>
      </c>
      <c r="E168" s="10"/>
      <c r="F168" s="162" t="s">
        <v>947</v>
      </c>
      <c r="G168" s="161">
        <v>16.899999999999999</v>
      </c>
      <c r="H168" s="162" t="s">
        <v>146</v>
      </c>
      <c r="I168" s="162" t="s">
        <v>156</v>
      </c>
      <c r="J168" s="162" t="s">
        <v>467</v>
      </c>
      <c r="L168" s="1"/>
      <c r="M168" s="1"/>
      <c r="N168" s="1"/>
      <c r="O168" s="1"/>
      <c r="P168" s="1"/>
      <c r="Q168" s="1"/>
      <c r="R168" s="1"/>
    </row>
    <row r="169" spans="1:18">
      <c r="A169" s="3"/>
      <c r="B169" s="101" t="s">
        <v>786</v>
      </c>
      <c r="D169" s="152" t="s">
        <v>854</v>
      </c>
      <c r="E169" s="10"/>
      <c r="F169" s="162" t="s">
        <v>948</v>
      </c>
      <c r="G169" s="161">
        <v>15.9</v>
      </c>
      <c r="H169" s="162" t="s">
        <v>146</v>
      </c>
      <c r="I169" s="162" t="s">
        <v>156</v>
      </c>
      <c r="J169" s="162" t="s">
        <v>467</v>
      </c>
      <c r="L169" s="1"/>
      <c r="M169" s="1"/>
      <c r="N169" s="1"/>
      <c r="O169" s="1"/>
      <c r="P169" s="1"/>
      <c r="Q169" s="1"/>
      <c r="R169" s="1"/>
    </row>
    <row r="170" spans="1:18">
      <c r="A170" s="3"/>
      <c r="B170" s="101" t="s">
        <v>787</v>
      </c>
      <c r="D170" s="152" t="s">
        <v>855</v>
      </c>
      <c r="E170" s="10"/>
      <c r="F170" s="162" t="s">
        <v>949</v>
      </c>
      <c r="G170" s="161">
        <v>25.1</v>
      </c>
      <c r="H170" s="162" t="s">
        <v>146</v>
      </c>
      <c r="I170" s="162" t="s">
        <v>156</v>
      </c>
      <c r="J170" s="162" t="s">
        <v>467</v>
      </c>
      <c r="L170" s="1"/>
      <c r="M170" s="1"/>
      <c r="N170" s="1"/>
      <c r="O170" s="1"/>
      <c r="P170" s="1"/>
      <c r="Q170" s="1"/>
      <c r="R170" s="1"/>
    </row>
    <row r="171" spans="1:18">
      <c r="A171" s="3"/>
      <c r="B171" s="3" t="s">
        <v>340</v>
      </c>
      <c r="D171" s="152" t="s">
        <v>856</v>
      </c>
      <c r="E171" s="10"/>
      <c r="F171" s="162" t="s">
        <v>950</v>
      </c>
      <c r="G171" s="161">
        <v>21.5</v>
      </c>
      <c r="H171" s="162" t="s">
        <v>146</v>
      </c>
      <c r="I171" s="162" t="s">
        <v>156</v>
      </c>
      <c r="J171" s="162"/>
      <c r="L171" s="1"/>
      <c r="M171" s="1"/>
      <c r="N171" s="1"/>
      <c r="O171" s="1"/>
      <c r="P171" s="1"/>
      <c r="Q171" s="1"/>
      <c r="R171" s="1"/>
    </row>
    <row r="172" spans="1:18">
      <c r="A172" s="3"/>
      <c r="B172" s="3" t="s">
        <v>341</v>
      </c>
      <c r="D172" t="s">
        <v>171</v>
      </c>
      <c r="E172" s="10"/>
      <c r="F172" s="162" t="s">
        <v>951</v>
      </c>
      <c r="G172" s="161">
        <v>26.3</v>
      </c>
      <c r="H172" s="162" t="s">
        <v>146</v>
      </c>
      <c r="I172" s="162" t="s">
        <v>156</v>
      </c>
      <c r="J172" s="162"/>
      <c r="L172" s="1"/>
      <c r="M172" s="1"/>
      <c r="N172" s="1"/>
      <c r="O172" s="1"/>
      <c r="P172" s="1"/>
      <c r="Q172" s="1"/>
      <c r="R172" s="1"/>
    </row>
    <row r="173" spans="1:18">
      <c r="A173" s="3"/>
      <c r="B173" s="3" t="s">
        <v>342</v>
      </c>
      <c r="D173" t="s">
        <v>172</v>
      </c>
      <c r="E173" s="10"/>
      <c r="F173" s="162" t="s">
        <v>952</v>
      </c>
      <c r="G173" s="161">
        <v>23.9</v>
      </c>
      <c r="H173" s="162" t="s">
        <v>146</v>
      </c>
      <c r="I173" s="162" t="s">
        <v>156</v>
      </c>
      <c r="J173" s="162" t="s">
        <v>467</v>
      </c>
      <c r="L173" s="1"/>
      <c r="M173" s="1"/>
      <c r="N173" s="1"/>
      <c r="O173" s="1"/>
      <c r="P173" s="1"/>
      <c r="Q173" s="1"/>
      <c r="R173" s="1"/>
    </row>
    <row r="174" spans="1:18">
      <c r="B174" s="3" t="s">
        <v>343</v>
      </c>
      <c r="D174" t="s">
        <v>173</v>
      </c>
      <c r="E174" s="10"/>
      <c r="F174" s="162" t="s">
        <v>953</v>
      </c>
      <c r="G174" s="161">
        <v>28.7</v>
      </c>
      <c r="H174" s="162" t="s">
        <v>146</v>
      </c>
      <c r="I174" s="162" t="s">
        <v>156</v>
      </c>
      <c r="J174" s="162"/>
      <c r="L174" s="1"/>
      <c r="M174" s="1"/>
      <c r="N174" s="1"/>
      <c r="O174" s="1"/>
      <c r="P174" s="1"/>
      <c r="Q174" s="1"/>
      <c r="R174" s="1"/>
    </row>
    <row r="175" spans="1:18">
      <c r="B175" s="152" t="s">
        <v>770</v>
      </c>
      <c r="D175" t="s">
        <v>476</v>
      </c>
      <c r="E175" s="10"/>
      <c r="F175" s="162" t="s">
        <v>954</v>
      </c>
      <c r="G175" s="161">
        <v>23.7</v>
      </c>
      <c r="H175" s="162" t="s">
        <v>146</v>
      </c>
      <c r="I175" s="162" t="s">
        <v>156</v>
      </c>
      <c r="J175" s="162"/>
      <c r="L175" s="1"/>
      <c r="M175" s="1"/>
      <c r="N175" s="1"/>
      <c r="O175" s="1"/>
      <c r="P175" s="1"/>
      <c r="Q175" s="1"/>
      <c r="R175" s="1"/>
    </row>
    <row r="176" spans="1:18">
      <c r="B176" s="152" t="s">
        <v>771</v>
      </c>
      <c r="D176" t="s">
        <v>477</v>
      </c>
      <c r="E176" s="10"/>
      <c r="F176" s="162" t="s">
        <v>955</v>
      </c>
      <c r="G176" s="161">
        <v>29.2</v>
      </c>
      <c r="H176" s="162" t="s">
        <v>146</v>
      </c>
      <c r="I176" s="162" t="s">
        <v>156</v>
      </c>
      <c r="J176" s="162"/>
      <c r="L176" s="1"/>
      <c r="M176" s="1"/>
      <c r="N176" s="1"/>
      <c r="O176" s="1"/>
      <c r="P176" s="1"/>
      <c r="Q176" s="1"/>
      <c r="R176" s="1"/>
    </row>
    <row r="177" spans="2:18">
      <c r="B177" s="154" t="s">
        <v>749</v>
      </c>
      <c r="D177" t="s">
        <v>478</v>
      </c>
      <c r="E177" s="10"/>
      <c r="F177" s="162" t="s">
        <v>956</v>
      </c>
      <c r="G177" s="161">
        <v>26.5</v>
      </c>
      <c r="H177" s="162" t="s">
        <v>146</v>
      </c>
      <c r="I177" s="162" t="s">
        <v>156</v>
      </c>
      <c r="J177" s="162"/>
      <c r="L177" s="1"/>
      <c r="M177" s="1"/>
      <c r="N177" s="1"/>
      <c r="O177" s="1"/>
      <c r="P177" s="1"/>
      <c r="Q177" s="1"/>
      <c r="R177" s="1"/>
    </row>
    <row r="178" spans="2:18">
      <c r="B178" s="150" t="s">
        <v>750</v>
      </c>
      <c r="D178" t="s">
        <v>174</v>
      </c>
      <c r="E178" s="10"/>
      <c r="F178" s="162" t="s">
        <v>957</v>
      </c>
      <c r="G178" s="161">
        <v>12</v>
      </c>
      <c r="H178" s="162" t="s">
        <v>146</v>
      </c>
      <c r="I178" s="162" t="s">
        <v>156</v>
      </c>
      <c r="J178" s="162" t="s">
        <v>467</v>
      </c>
      <c r="L178" s="1"/>
      <c r="M178" s="1"/>
      <c r="N178" s="1"/>
      <c r="O178" s="1"/>
      <c r="P178" s="1"/>
      <c r="Q178" s="1"/>
      <c r="R178" s="1"/>
    </row>
    <row r="179" spans="2:18">
      <c r="B179" s="150" t="s">
        <v>751</v>
      </c>
      <c r="D179" s="152" t="s">
        <v>868</v>
      </c>
      <c r="E179" s="10"/>
      <c r="F179" s="162" t="s">
        <v>958</v>
      </c>
      <c r="G179" s="161">
        <v>11.7</v>
      </c>
      <c r="H179" s="162" t="s">
        <v>146</v>
      </c>
      <c r="I179" s="162" t="s">
        <v>156</v>
      </c>
      <c r="J179" s="162"/>
      <c r="L179" s="1"/>
      <c r="M179" s="1"/>
      <c r="N179" s="1"/>
      <c r="O179" s="1"/>
      <c r="P179" s="1"/>
      <c r="Q179" s="1"/>
      <c r="R179" s="1"/>
    </row>
    <row r="180" spans="2:18">
      <c r="B180" s="150" t="s">
        <v>772</v>
      </c>
      <c r="D180" s="152" t="s">
        <v>869</v>
      </c>
      <c r="E180" s="10"/>
      <c r="F180" s="162" t="s">
        <v>959</v>
      </c>
      <c r="G180" s="161">
        <v>12</v>
      </c>
      <c r="H180" s="162" t="s">
        <v>146</v>
      </c>
      <c r="I180" s="162" t="s">
        <v>156</v>
      </c>
      <c r="J180" s="162"/>
      <c r="L180" s="1"/>
      <c r="M180" s="1"/>
      <c r="N180" s="1"/>
      <c r="O180" s="1"/>
      <c r="P180" s="1"/>
      <c r="Q180" s="1"/>
      <c r="R180" s="1"/>
    </row>
    <row r="181" spans="2:18">
      <c r="B181" s="150" t="s">
        <v>773</v>
      </c>
      <c r="D181" s="162" t="s">
        <v>918</v>
      </c>
      <c r="E181" s="10"/>
      <c r="F181" s="162" t="s">
        <v>960</v>
      </c>
      <c r="G181" s="161">
        <v>11.2</v>
      </c>
      <c r="H181" s="162" t="s">
        <v>146</v>
      </c>
      <c r="I181" s="162" t="s">
        <v>156</v>
      </c>
      <c r="J181" s="162"/>
      <c r="L181" s="1"/>
      <c r="M181" s="1"/>
      <c r="N181" s="1"/>
      <c r="O181" s="1"/>
      <c r="P181" s="1"/>
      <c r="Q181" s="1"/>
      <c r="R181" s="1"/>
    </row>
    <row r="182" spans="2:18">
      <c r="B182" s="150" t="s">
        <v>774</v>
      </c>
      <c r="D182" s="162" t="s">
        <v>917</v>
      </c>
      <c r="E182" s="10"/>
      <c r="F182" s="162" t="s">
        <v>961</v>
      </c>
      <c r="G182" s="161">
        <v>19.7</v>
      </c>
      <c r="H182" s="162" t="s">
        <v>146</v>
      </c>
      <c r="I182" s="162" t="s">
        <v>156</v>
      </c>
      <c r="J182" s="162" t="s">
        <v>467</v>
      </c>
      <c r="L182" s="1"/>
      <c r="M182" s="1"/>
      <c r="N182" s="1"/>
      <c r="O182" s="1"/>
      <c r="P182" s="1"/>
      <c r="Q182" s="1"/>
      <c r="R182" s="1"/>
    </row>
    <row r="183" spans="2:18">
      <c r="B183" s="150" t="s">
        <v>775</v>
      </c>
      <c r="D183" s="162" t="s">
        <v>916</v>
      </c>
      <c r="E183" s="10"/>
      <c r="F183" s="162" t="s">
        <v>962</v>
      </c>
      <c r="G183" s="161">
        <v>17.2</v>
      </c>
      <c r="H183" s="162" t="s">
        <v>146</v>
      </c>
      <c r="I183" s="162" t="s">
        <v>156</v>
      </c>
      <c r="J183" s="162"/>
      <c r="L183" s="1"/>
      <c r="M183" s="1"/>
      <c r="N183" s="1"/>
      <c r="O183" s="1"/>
      <c r="P183" s="1"/>
      <c r="Q183" s="1"/>
      <c r="R183" s="1"/>
    </row>
    <row r="184" spans="2:18">
      <c r="B184" s="150" t="s">
        <v>776</v>
      </c>
      <c r="D184" s="162" t="s">
        <v>915</v>
      </c>
      <c r="E184" s="10"/>
      <c r="F184" s="162" t="s">
        <v>963</v>
      </c>
      <c r="G184" s="161">
        <v>20.5</v>
      </c>
      <c r="H184" s="162" t="s">
        <v>146</v>
      </c>
      <c r="I184" s="162" t="s">
        <v>156</v>
      </c>
      <c r="J184" s="162"/>
      <c r="L184" s="1"/>
      <c r="M184" s="1"/>
      <c r="N184" s="1"/>
      <c r="O184" s="1"/>
      <c r="P184" s="1"/>
      <c r="Q184" s="1"/>
      <c r="R184" s="1"/>
    </row>
    <row r="185" spans="2:18">
      <c r="B185" s="150" t="s">
        <v>777</v>
      </c>
      <c r="D185" s="162" t="s">
        <v>914</v>
      </c>
      <c r="E185" s="10"/>
      <c r="F185" s="162" t="s">
        <v>964</v>
      </c>
      <c r="G185" s="161">
        <v>19</v>
      </c>
      <c r="H185" s="162" t="s">
        <v>146</v>
      </c>
      <c r="I185" s="162" t="s">
        <v>156</v>
      </c>
      <c r="J185" s="162"/>
      <c r="L185" s="1"/>
      <c r="M185" s="1"/>
      <c r="N185" s="1"/>
      <c r="O185" s="1"/>
      <c r="P185" s="1"/>
      <c r="Q185" s="1"/>
      <c r="R185" s="1"/>
    </row>
    <row r="186" spans="2:18">
      <c r="B186" s="150" t="s">
        <v>778</v>
      </c>
      <c r="D186" s="162" t="s">
        <v>913</v>
      </c>
      <c r="E186" s="10"/>
      <c r="F186" s="162" t="s">
        <v>965</v>
      </c>
      <c r="G186" s="161">
        <v>23.9</v>
      </c>
      <c r="H186" s="162" t="s">
        <v>146</v>
      </c>
      <c r="I186" s="162" t="s">
        <v>156</v>
      </c>
      <c r="J186" s="162"/>
      <c r="L186" s="1"/>
      <c r="M186" s="1"/>
      <c r="N186" s="1"/>
      <c r="O186" s="1"/>
      <c r="P186" s="1"/>
      <c r="Q186" s="1"/>
      <c r="R186" s="1"/>
    </row>
    <row r="187" spans="2:18">
      <c r="B187" s="150" t="s">
        <v>779</v>
      </c>
      <c r="D187" s="162" t="s">
        <v>912</v>
      </c>
      <c r="E187" s="10"/>
      <c r="F187" s="162" t="s">
        <v>966</v>
      </c>
      <c r="G187" s="161">
        <v>20.9</v>
      </c>
      <c r="H187" s="162" t="s">
        <v>146</v>
      </c>
      <c r="I187" s="162" t="s">
        <v>156</v>
      </c>
      <c r="J187" s="162"/>
      <c r="L187" s="1"/>
      <c r="M187" s="1"/>
      <c r="N187" s="1"/>
      <c r="O187" s="1"/>
      <c r="P187" s="1"/>
      <c r="Q187" s="1"/>
      <c r="R187" s="1"/>
    </row>
    <row r="188" spans="2:18">
      <c r="B188" s="150" t="s">
        <v>780</v>
      </c>
      <c r="D188" s="162" t="s">
        <v>911</v>
      </c>
      <c r="E188" s="10"/>
      <c r="F188" s="162" t="s">
        <v>967</v>
      </c>
      <c r="G188" s="161">
        <v>26.9</v>
      </c>
      <c r="H188" s="162" t="s">
        <v>146</v>
      </c>
      <c r="I188" s="162" t="s">
        <v>156</v>
      </c>
      <c r="J188" s="162"/>
      <c r="L188" s="1"/>
      <c r="M188" s="1"/>
      <c r="N188" s="1"/>
      <c r="O188" s="1"/>
      <c r="P188" s="1"/>
      <c r="Q188" s="1"/>
      <c r="R188" s="1"/>
    </row>
    <row r="189" spans="2:18">
      <c r="B189" s="150" t="s">
        <v>781</v>
      </c>
      <c r="D189" t="s">
        <v>188</v>
      </c>
      <c r="E189" s="10"/>
      <c r="F189" s="162" t="s">
        <v>968</v>
      </c>
      <c r="G189" s="161">
        <v>23.1</v>
      </c>
      <c r="H189" s="162" t="s">
        <v>146</v>
      </c>
      <c r="I189" s="162" t="s">
        <v>156</v>
      </c>
      <c r="J189" s="162"/>
      <c r="L189" s="1"/>
      <c r="M189" s="1"/>
      <c r="N189" s="1"/>
      <c r="O189" s="1"/>
      <c r="P189" s="1"/>
      <c r="Q189" s="1"/>
      <c r="R189" s="1"/>
    </row>
    <row r="190" spans="2:18">
      <c r="B190" s="150" t="s">
        <v>782</v>
      </c>
      <c r="D190" t="s">
        <v>471</v>
      </c>
      <c r="E190" s="10"/>
      <c r="F190" s="162" t="s">
        <v>969</v>
      </c>
      <c r="G190" s="161">
        <v>31</v>
      </c>
      <c r="H190" s="162" t="s">
        <v>146</v>
      </c>
      <c r="I190" s="162" t="s">
        <v>156</v>
      </c>
      <c r="J190" s="162" t="s">
        <v>467</v>
      </c>
      <c r="L190" s="1"/>
      <c r="M190" s="1"/>
      <c r="N190" s="1"/>
      <c r="O190" s="1"/>
      <c r="P190" s="1"/>
      <c r="Q190" s="1"/>
      <c r="R190" s="1"/>
    </row>
    <row r="191" spans="2:18">
      <c r="B191" s="150" t="s">
        <v>783</v>
      </c>
      <c r="D191" s="152" t="s">
        <v>857</v>
      </c>
      <c r="E191" s="10"/>
      <c r="F191" s="162" t="s">
        <v>970</v>
      </c>
      <c r="G191" s="161">
        <v>26</v>
      </c>
      <c r="H191" s="162" t="s">
        <v>146</v>
      </c>
      <c r="I191" s="162" t="s">
        <v>156</v>
      </c>
      <c r="J191" s="162"/>
      <c r="L191" s="1"/>
      <c r="M191" s="1"/>
      <c r="N191" s="1"/>
      <c r="O191" s="1"/>
      <c r="P191" s="1"/>
      <c r="Q191" s="1"/>
      <c r="R191" s="1"/>
    </row>
    <row r="192" spans="2:18">
      <c r="B192" s="150" t="s">
        <v>788</v>
      </c>
      <c r="D192" t="s">
        <v>469</v>
      </c>
      <c r="E192" s="10"/>
      <c r="F192" s="162" t="s">
        <v>971</v>
      </c>
      <c r="G192" s="161">
        <v>31.5</v>
      </c>
      <c r="H192" s="162" t="s">
        <v>146</v>
      </c>
      <c r="I192" s="162" t="s">
        <v>156</v>
      </c>
      <c r="J192" s="162"/>
      <c r="L192" s="1"/>
      <c r="M192" s="1"/>
      <c r="N192" s="1"/>
      <c r="O192" s="1"/>
      <c r="P192" s="1"/>
      <c r="Q192" s="1"/>
      <c r="R192" s="1"/>
    </row>
    <row r="193" spans="2:18">
      <c r="B193" s="150" t="s">
        <v>789</v>
      </c>
      <c r="D193" s="152" t="s">
        <v>858</v>
      </c>
      <c r="E193" s="10"/>
      <c r="F193" s="162" t="s">
        <v>972</v>
      </c>
      <c r="G193" s="161">
        <v>28.8</v>
      </c>
      <c r="H193" s="162" t="s">
        <v>146</v>
      </c>
      <c r="I193" s="162" t="s">
        <v>156</v>
      </c>
      <c r="J193" s="162"/>
      <c r="L193" s="1"/>
      <c r="M193" s="1"/>
      <c r="N193" s="1"/>
      <c r="O193" s="1"/>
      <c r="P193" s="1"/>
      <c r="Q193" s="1"/>
      <c r="R193" s="1"/>
    </row>
    <row r="194" spans="2:18">
      <c r="B194" s="150" t="s">
        <v>790</v>
      </c>
      <c r="D194" t="s">
        <v>468</v>
      </c>
      <c r="E194" s="10"/>
      <c r="F194" s="162" t="s">
        <v>973</v>
      </c>
      <c r="G194" s="161">
        <v>10.9</v>
      </c>
      <c r="H194" s="162" t="s">
        <v>146</v>
      </c>
      <c r="I194" s="162" t="s">
        <v>156</v>
      </c>
      <c r="J194" s="162" t="s">
        <v>467</v>
      </c>
      <c r="L194" s="1"/>
      <c r="M194" s="1"/>
      <c r="N194" s="1"/>
      <c r="O194" s="1"/>
      <c r="P194" s="1"/>
      <c r="Q194" s="1"/>
      <c r="R194" s="1"/>
    </row>
    <row r="195" spans="2:18">
      <c r="B195" s="150" t="s">
        <v>791</v>
      </c>
      <c r="D195" s="152" t="s">
        <v>840</v>
      </c>
      <c r="E195" s="10"/>
      <c r="F195" s="162" t="s">
        <v>974</v>
      </c>
      <c r="G195" s="161">
        <v>10.6</v>
      </c>
      <c r="H195" s="162" t="s">
        <v>146</v>
      </c>
      <c r="I195" s="162" t="s">
        <v>156</v>
      </c>
      <c r="J195" s="162"/>
      <c r="L195" s="1"/>
      <c r="M195" s="1"/>
      <c r="N195" s="1"/>
      <c r="O195" s="1"/>
      <c r="P195" s="1"/>
      <c r="Q195" s="1"/>
      <c r="R195" s="1"/>
    </row>
    <row r="196" spans="2:18">
      <c r="B196" s="150" t="s">
        <v>792</v>
      </c>
      <c r="D196" t="s">
        <v>472</v>
      </c>
      <c r="E196" s="10"/>
      <c r="F196" s="162" t="s">
        <v>975</v>
      </c>
      <c r="G196" s="161">
        <v>10.9</v>
      </c>
      <c r="H196" s="162" t="s">
        <v>146</v>
      </c>
      <c r="I196" s="162" t="s">
        <v>156</v>
      </c>
      <c r="J196" s="162"/>
      <c r="L196" s="1"/>
      <c r="M196" s="1"/>
      <c r="N196" s="1"/>
      <c r="O196" s="1"/>
      <c r="P196" s="1"/>
      <c r="Q196" s="1"/>
      <c r="R196" s="1"/>
    </row>
    <row r="197" spans="2:18">
      <c r="B197" s="150" t="s">
        <v>793</v>
      </c>
      <c r="D197" s="152" t="s">
        <v>859</v>
      </c>
      <c r="E197" s="10"/>
      <c r="F197" s="162" t="s">
        <v>976</v>
      </c>
      <c r="G197" s="161">
        <v>10</v>
      </c>
      <c r="H197" s="162" t="s">
        <v>146</v>
      </c>
      <c r="I197" s="162" t="s">
        <v>156</v>
      </c>
      <c r="J197" s="162"/>
      <c r="L197" s="1"/>
      <c r="M197" s="1"/>
      <c r="N197" s="1"/>
      <c r="O197" s="1"/>
      <c r="P197" s="1"/>
      <c r="Q197" s="1"/>
      <c r="R197" s="1"/>
    </row>
    <row r="198" spans="2:18">
      <c r="B198" s="150" t="s">
        <v>794</v>
      </c>
      <c r="D198" t="s">
        <v>470</v>
      </c>
      <c r="E198" s="10"/>
      <c r="F198" s="162" t="s">
        <v>977</v>
      </c>
      <c r="G198" s="161">
        <v>16.899999999999999</v>
      </c>
      <c r="H198" s="162" t="s">
        <v>146</v>
      </c>
      <c r="I198" s="162" t="s">
        <v>156</v>
      </c>
      <c r="J198" s="162" t="s">
        <v>467</v>
      </c>
      <c r="L198" s="1"/>
      <c r="M198" s="1"/>
      <c r="N198" s="1"/>
      <c r="O198" s="1"/>
      <c r="P198" s="1"/>
      <c r="Q198" s="1"/>
      <c r="R198" s="1"/>
    </row>
    <row r="199" spans="2:18">
      <c r="B199" s="150" t="s">
        <v>795</v>
      </c>
      <c r="D199" s="152" t="s">
        <v>860</v>
      </c>
      <c r="E199" s="10"/>
      <c r="F199" s="162" t="s">
        <v>978</v>
      </c>
      <c r="G199" s="161">
        <v>15.4</v>
      </c>
      <c r="H199" s="162" t="s">
        <v>146</v>
      </c>
      <c r="I199" s="162" t="s">
        <v>156</v>
      </c>
      <c r="J199" s="162"/>
      <c r="L199" s="1"/>
      <c r="M199" s="1"/>
      <c r="N199" s="1"/>
      <c r="O199" s="1"/>
      <c r="P199" s="1"/>
      <c r="Q199" s="1"/>
      <c r="R199" s="1"/>
    </row>
    <row r="200" spans="2:18">
      <c r="B200" s="150" t="s">
        <v>796</v>
      </c>
      <c r="D200" s="159" t="s">
        <v>863</v>
      </c>
      <c r="E200" s="10"/>
      <c r="F200" s="162" t="s">
        <v>979</v>
      </c>
      <c r="G200" s="161">
        <v>17.3</v>
      </c>
      <c r="H200" s="162" t="s">
        <v>146</v>
      </c>
      <c r="I200" s="162" t="s">
        <v>156</v>
      </c>
      <c r="J200" s="162"/>
      <c r="L200" s="1"/>
      <c r="M200" s="1"/>
      <c r="N200" s="1"/>
      <c r="O200" s="1"/>
      <c r="P200" s="1"/>
      <c r="Q200" s="1"/>
      <c r="R200" s="1"/>
    </row>
    <row r="201" spans="2:18">
      <c r="B201" s="150" t="s">
        <v>797</v>
      </c>
      <c r="D201" s="159" t="s">
        <v>865</v>
      </c>
      <c r="E201" s="10"/>
      <c r="F201" s="162" t="s">
        <v>980</v>
      </c>
      <c r="G201" s="161">
        <v>16.3</v>
      </c>
      <c r="H201" s="162" t="s">
        <v>146</v>
      </c>
      <c r="I201" s="162" t="s">
        <v>156</v>
      </c>
      <c r="J201" s="162"/>
      <c r="L201" s="1"/>
      <c r="M201" s="1"/>
      <c r="N201" s="1"/>
      <c r="O201" s="1"/>
      <c r="P201" s="1"/>
      <c r="Q201" s="1"/>
      <c r="R201" s="1"/>
    </row>
    <row r="202" spans="2:18">
      <c r="B202" s="150" t="s">
        <v>798</v>
      </c>
      <c r="D202" s="152" t="s">
        <v>866</v>
      </c>
      <c r="E202" s="10"/>
      <c r="F202" s="162" t="s">
        <v>981</v>
      </c>
      <c r="G202" s="161">
        <v>23.9</v>
      </c>
      <c r="H202" s="162" t="s">
        <v>146</v>
      </c>
      <c r="I202" s="162" t="s">
        <v>156</v>
      </c>
      <c r="J202" s="162" t="s">
        <v>467</v>
      </c>
      <c r="L202" s="1"/>
      <c r="M202" s="1"/>
      <c r="N202" s="1"/>
      <c r="O202" s="1"/>
      <c r="P202" s="1"/>
      <c r="Q202" s="1"/>
      <c r="R202" s="1"/>
    </row>
    <row r="203" spans="2:18">
      <c r="B203" s="150" t="s">
        <v>800</v>
      </c>
      <c r="D203" s="152" t="s">
        <v>870</v>
      </c>
      <c r="E203" s="10"/>
      <c r="F203" s="162" t="s">
        <v>982</v>
      </c>
      <c r="G203" s="161">
        <v>20.9</v>
      </c>
      <c r="H203" s="162" t="s">
        <v>146</v>
      </c>
      <c r="I203" s="162" t="s">
        <v>156</v>
      </c>
      <c r="J203" s="162"/>
      <c r="L203" s="1"/>
      <c r="M203" s="1"/>
      <c r="N203" s="1"/>
      <c r="O203" s="1"/>
      <c r="P203" s="1"/>
      <c r="Q203" s="1"/>
      <c r="R203" s="1"/>
    </row>
    <row r="204" spans="2:18">
      <c r="B204" s="150" t="s">
        <v>801</v>
      </c>
      <c r="D204" s="152" t="s">
        <v>872</v>
      </c>
      <c r="E204" s="10"/>
      <c r="F204" s="162" t="s">
        <v>983</v>
      </c>
      <c r="G204" s="161">
        <v>26.9</v>
      </c>
      <c r="H204" s="162" t="s">
        <v>146</v>
      </c>
      <c r="I204" s="162" t="s">
        <v>156</v>
      </c>
      <c r="J204" s="162"/>
      <c r="L204" s="1"/>
      <c r="M204" s="1"/>
      <c r="N204" s="1"/>
      <c r="O204" s="1"/>
      <c r="P204" s="1"/>
      <c r="Q204" s="1"/>
      <c r="R204" s="1"/>
    </row>
    <row r="205" spans="2:18">
      <c r="B205" s="150" t="s">
        <v>802</v>
      </c>
      <c r="D205" s="152" t="s">
        <v>873</v>
      </c>
      <c r="E205" s="10"/>
      <c r="F205" s="162" t="s">
        <v>984</v>
      </c>
      <c r="G205" s="161">
        <v>23.1</v>
      </c>
      <c r="H205" s="162" t="s">
        <v>146</v>
      </c>
      <c r="I205" s="162" t="s">
        <v>156</v>
      </c>
      <c r="J205" s="168"/>
      <c r="L205" s="1"/>
      <c r="M205" s="1"/>
      <c r="N205" s="1"/>
      <c r="O205" s="1"/>
      <c r="P205" s="1"/>
      <c r="Q205" s="1"/>
      <c r="R205" s="1"/>
    </row>
    <row r="206" spans="2:18">
      <c r="B206" s="101"/>
      <c r="D206" s="152" t="s">
        <v>874</v>
      </c>
      <c r="E206" s="10"/>
      <c r="F206" s="162" t="s">
        <v>985</v>
      </c>
      <c r="G206" s="161">
        <v>26.9</v>
      </c>
      <c r="H206" s="162" t="s">
        <v>146</v>
      </c>
      <c r="I206" s="162" t="s">
        <v>156</v>
      </c>
      <c r="J206" s="162" t="s">
        <v>467</v>
      </c>
      <c r="L206" s="1"/>
      <c r="M206" s="1"/>
      <c r="N206" s="1"/>
      <c r="O206" s="1"/>
      <c r="P206" s="1"/>
      <c r="Q206" s="1"/>
      <c r="R206" s="1"/>
    </row>
    <row r="207" spans="2:18">
      <c r="B207" s="101"/>
      <c r="D207" s="152" t="s">
        <v>875</v>
      </c>
      <c r="E207" s="10"/>
      <c r="F207" s="162" t="s">
        <v>986</v>
      </c>
      <c r="G207" s="161">
        <v>22.9</v>
      </c>
      <c r="H207" s="162" t="s">
        <v>146</v>
      </c>
      <c r="I207" s="162" t="s">
        <v>156</v>
      </c>
      <c r="J207" s="168"/>
      <c r="L207" s="1"/>
      <c r="M207" s="1"/>
      <c r="N207" s="1"/>
      <c r="O207" s="1"/>
      <c r="P207" s="1"/>
      <c r="Q207" s="1"/>
      <c r="R207" s="1"/>
    </row>
    <row r="208" spans="2:18">
      <c r="B208" s="101"/>
      <c r="D208" s="152" t="s">
        <v>876</v>
      </c>
      <c r="E208" s="10"/>
      <c r="F208" s="162" t="s">
        <v>987</v>
      </c>
      <c r="G208" s="161">
        <v>28.4</v>
      </c>
      <c r="H208" s="162" t="s">
        <v>146</v>
      </c>
      <c r="I208" s="162" t="s">
        <v>156</v>
      </c>
      <c r="J208" s="168"/>
      <c r="L208" s="1"/>
      <c r="M208" s="1"/>
      <c r="N208" s="1"/>
      <c r="O208" s="1"/>
      <c r="P208" s="1"/>
      <c r="Q208" s="1"/>
      <c r="R208" s="1"/>
    </row>
    <row r="209" spans="2:18">
      <c r="B209" s="101"/>
      <c r="D209" s="152" t="s">
        <v>877</v>
      </c>
      <c r="E209" s="10"/>
      <c r="F209" s="162" t="s">
        <v>988</v>
      </c>
      <c r="G209" s="161">
        <v>25.7</v>
      </c>
      <c r="H209" s="162" t="s">
        <v>146</v>
      </c>
      <c r="I209" s="162" t="s">
        <v>156</v>
      </c>
      <c r="J209" s="168"/>
      <c r="L209" s="1"/>
      <c r="M209" s="1"/>
      <c r="N209" s="1"/>
      <c r="O209" s="1"/>
      <c r="P209" s="1"/>
      <c r="Q209" s="1"/>
      <c r="R209" s="1"/>
    </row>
    <row r="210" spans="2:18">
      <c r="B210" s="101"/>
      <c r="D210" s="152" t="s">
        <v>878</v>
      </c>
      <c r="E210" s="10"/>
      <c r="F210" s="162" t="s">
        <v>989</v>
      </c>
      <c r="G210" s="161">
        <v>11.2</v>
      </c>
      <c r="H210" s="162" t="s">
        <v>146</v>
      </c>
      <c r="I210" s="162" t="s">
        <v>156</v>
      </c>
      <c r="J210" s="162" t="s">
        <v>467</v>
      </c>
      <c r="L210" s="1"/>
      <c r="M210" s="1"/>
      <c r="N210" s="1"/>
      <c r="O210" s="1"/>
      <c r="P210" s="1"/>
      <c r="Q210" s="1"/>
      <c r="R210" s="1"/>
    </row>
    <row r="211" spans="2:18">
      <c r="B211" s="101"/>
      <c r="D211" s="152" t="s">
        <v>879</v>
      </c>
      <c r="E211" s="10"/>
      <c r="F211" s="162" t="s">
        <v>990</v>
      </c>
      <c r="G211" s="161">
        <v>9.9</v>
      </c>
      <c r="H211" s="162" t="s">
        <v>146</v>
      </c>
      <c r="I211" s="162" t="s">
        <v>156</v>
      </c>
      <c r="J211" s="168"/>
      <c r="L211" s="1"/>
      <c r="M211" s="1"/>
      <c r="N211" s="1"/>
      <c r="O211" s="1"/>
      <c r="P211" s="1"/>
      <c r="Q211" s="1"/>
      <c r="R211" s="1"/>
    </row>
    <row r="212" spans="2:18">
      <c r="B212" s="101"/>
      <c r="D212" s="152" t="s">
        <v>880</v>
      </c>
      <c r="E212" s="10"/>
      <c r="F212" s="162" t="s">
        <v>991</v>
      </c>
      <c r="G212" s="161">
        <v>10.199999999999999</v>
      </c>
      <c r="H212" s="162" t="s">
        <v>146</v>
      </c>
      <c r="I212" s="162" t="s">
        <v>156</v>
      </c>
      <c r="J212" s="168"/>
      <c r="L212" s="1"/>
      <c r="M212" s="1"/>
      <c r="N212" s="1"/>
      <c r="O212" s="1"/>
      <c r="P212" s="1"/>
      <c r="Q212" s="1"/>
      <c r="R212" s="1"/>
    </row>
    <row r="213" spans="2:18">
      <c r="B213" s="101"/>
      <c r="D213" s="152" t="s">
        <v>881</v>
      </c>
      <c r="E213" s="10"/>
      <c r="F213" s="162" t="s">
        <v>992</v>
      </c>
      <c r="G213" s="161">
        <v>9.1999999999999993</v>
      </c>
      <c r="H213" s="162" t="s">
        <v>146</v>
      </c>
      <c r="I213" s="162" t="s">
        <v>156</v>
      </c>
      <c r="J213" s="168"/>
      <c r="L213" s="1"/>
      <c r="M213" s="1"/>
      <c r="N213" s="1"/>
      <c r="O213" s="1"/>
      <c r="P213" s="1"/>
      <c r="Q213" s="1"/>
      <c r="R213" s="1"/>
    </row>
    <row r="214" spans="2:18">
      <c r="B214" s="101"/>
      <c r="D214" s="150" t="s">
        <v>883</v>
      </c>
      <c r="E214" s="10"/>
      <c r="F214" s="162" t="s">
        <v>993</v>
      </c>
      <c r="G214" s="161">
        <v>16.7</v>
      </c>
      <c r="H214" s="162" t="s">
        <v>146</v>
      </c>
      <c r="I214" s="162" t="s">
        <v>156</v>
      </c>
      <c r="J214" s="162" t="s">
        <v>467</v>
      </c>
      <c r="L214" s="1"/>
      <c r="M214" s="1"/>
      <c r="N214" s="1"/>
      <c r="O214" s="1"/>
      <c r="P214" s="1"/>
      <c r="Q214" s="1"/>
      <c r="R214" s="1"/>
    </row>
    <row r="215" spans="2:18">
      <c r="B215" s="101"/>
      <c r="D215" s="150" t="s">
        <v>884</v>
      </c>
      <c r="E215" s="10"/>
      <c r="F215" s="162" t="s">
        <v>994</v>
      </c>
      <c r="G215" s="161">
        <v>15.2</v>
      </c>
      <c r="H215" s="162" t="s">
        <v>146</v>
      </c>
      <c r="I215" s="162" t="s">
        <v>156</v>
      </c>
      <c r="J215" s="168"/>
      <c r="L215" s="1"/>
      <c r="M215" s="1"/>
      <c r="N215" s="1"/>
      <c r="O215" s="1"/>
      <c r="P215" s="1"/>
      <c r="Q215" s="1"/>
      <c r="R215" s="1"/>
    </row>
    <row r="216" spans="2:18">
      <c r="B216" s="101"/>
      <c r="E216" s="10"/>
      <c r="F216" s="162" t="s">
        <v>995</v>
      </c>
      <c r="G216" s="161">
        <v>17.3</v>
      </c>
      <c r="H216" s="162" t="s">
        <v>146</v>
      </c>
      <c r="I216" s="162" t="s">
        <v>156</v>
      </c>
      <c r="J216" s="168"/>
      <c r="L216" s="1"/>
      <c r="M216" s="1"/>
      <c r="N216" s="1"/>
      <c r="O216" s="1"/>
      <c r="P216" s="1"/>
      <c r="Q216" s="1"/>
      <c r="R216" s="1"/>
    </row>
    <row r="217" spans="2:18">
      <c r="B217" s="101"/>
      <c r="E217" s="10"/>
      <c r="F217" s="162" t="s">
        <v>996</v>
      </c>
      <c r="G217" s="161">
        <v>16.100000000000001</v>
      </c>
      <c r="H217" s="162" t="s">
        <v>146</v>
      </c>
      <c r="I217" s="162" t="s">
        <v>156</v>
      </c>
      <c r="J217" s="168"/>
      <c r="L217" s="1"/>
      <c r="M217" s="1"/>
      <c r="N217" s="1"/>
      <c r="O217" s="1"/>
      <c r="P217" s="1"/>
      <c r="Q217" s="1"/>
      <c r="R217" s="1"/>
    </row>
    <row r="218" spans="2:18">
      <c r="B218" s="101"/>
      <c r="E218" s="10"/>
      <c r="F218" s="162" t="s">
        <v>997</v>
      </c>
      <c r="G218" s="161">
        <v>24.4</v>
      </c>
      <c r="H218" s="162" t="s">
        <v>146</v>
      </c>
      <c r="I218" s="162" t="s">
        <v>156</v>
      </c>
      <c r="J218" s="162" t="s">
        <v>467</v>
      </c>
      <c r="L218" s="1"/>
      <c r="M218" s="1"/>
      <c r="N218" s="1"/>
      <c r="O218" s="1"/>
      <c r="P218" s="1"/>
      <c r="Q218" s="1"/>
      <c r="R218" s="1"/>
    </row>
    <row r="219" spans="2:18">
      <c r="B219" s="101"/>
      <c r="C219" s="10"/>
      <c r="E219" s="10"/>
      <c r="F219" s="162" t="s">
        <v>998</v>
      </c>
      <c r="G219" s="161">
        <v>20.8</v>
      </c>
      <c r="H219" s="162" t="s">
        <v>146</v>
      </c>
      <c r="I219" s="162" t="s">
        <v>156</v>
      </c>
      <c r="J219" s="168"/>
      <c r="L219" s="1"/>
      <c r="M219" s="1"/>
      <c r="N219" s="1"/>
      <c r="O219" s="1"/>
      <c r="P219" s="1"/>
      <c r="Q219" s="1"/>
      <c r="R219" s="1"/>
    </row>
    <row r="220" spans="2:18">
      <c r="B220" s="101"/>
      <c r="C220" s="10"/>
      <c r="F220" s="162" t="s">
        <v>943</v>
      </c>
      <c r="G220" s="161">
        <v>25.6</v>
      </c>
      <c r="H220" s="162" t="s">
        <v>146</v>
      </c>
      <c r="I220" s="162" t="s">
        <v>156</v>
      </c>
      <c r="J220" s="168"/>
      <c r="L220" s="1"/>
      <c r="M220" s="1"/>
      <c r="N220" s="1"/>
      <c r="O220" s="1"/>
      <c r="P220" s="1"/>
      <c r="Q220" s="1"/>
      <c r="R220" s="1"/>
    </row>
    <row r="221" spans="2:18">
      <c r="B221" s="101"/>
      <c r="C221" s="10"/>
      <c r="F221" s="162" t="s">
        <v>942</v>
      </c>
      <c r="G221" s="161">
        <v>23.1</v>
      </c>
      <c r="H221" s="162" t="s">
        <v>146</v>
      </c>
      <c r="I221" s="162" t="s">
        <v>156</v>
      </c>
      <c r="J221" s="168"/>
      <c r="L221" s="1"/>
      <c r="M221" s="1"/>
      <c r="N221" s="1"/>
      <c r="O221" s="1"/>
      <c r="P221" s="1"/>
      <c r="Q221" s="1"/>
      <c r="R221" s="1"/>
    </row>
    <row r="222" spans="2:18">
      <c r="B222" s="10"/>
      <c r="C222" s="10"/>
      <c r="F222" s="162" t="s">
        <v>941</v>
      </c>
      <c r="G222" s="161">
        <v>29.8</v>
      </c>
      <c r="H222" s="162" t="s">
        <v>146</v>
      </c>
      <c r="I222" s="162" t="s">
        <v>156</v>
      </c>
      <c r="J222" s="162" t="s">
        <v>467</v>
      </c>
      <c r="L222" s="1"/>
      <c r="M222" s="1"/>
      <c r="N222" s="1"/>
      <c r="O222" s="1"/>
      <c r="P222" s="1"/>
      <c r="Q222" s="1"/>
      <c r="R222" s="1"/>
    </row>
    <row r="223" spans="2:18">
      <c r="B223" s="10"/>
      <c r="C223" s="10"/>
      <c r="F223" s="162" t="s">
        <v>940</v>
      </c>
      <c r="G223" s="161">
        <v>24.8</v>
      </c>
      <c r="H223" s="162" t="s">
        <v>146</v>
      </c>
      <c r="I223" s="162" t="s">
        <v>156</v>
      </c>
      <c r="J223" s="168"/>
      <c r="L223" s="1"/>
      <c r="M223" s="1"/>
      <c r="N223" s="1"/>
      <c r="O223" s="1"/>
      <c r="P223" s="1"/>
      <c r="Q223" s="1"/>
      <c r="R223" s="1"/>
    </row>
    <row r="224" spans="2:18">
      <c r="B224" s="10"/>
      <c r="C224" s="10"/>
      <c r="F224" s="162" t="s">
        <v>939</v>
      </c>
      <c r="G224" s="161">
        <v>30.3</v>
      </c>
      <c r="H224" s="162" t="s">
        <v>146</v>
      </c>
      <c r="I224" s="162" t="s">
        <v>156</v>
      </c>
      <c r="J224" s="168"/>
      <c r="L224" s="1"/>
      <c r="M224" s="1"/>
      <c r="N224" s="1"/>
      <c r="O224" s="1"/>
      <c r="P224" s="1"/>
      <c r="Q224" s="1"/>
      <c r="R224" s="1"/>
    </row>
    <row r="225" spans="2:18">
      <c r="B225" s="10"/>
      <c r="C225" s="10"/>
      <c r="F225" s="162" t="s">
        <v>938</v>
      </c>
      <c r="G225" s="161">
        <v>27.6</v>
      </c>
      <c r="H225" s="162" t="s">
        <v>146</v>
      </c>
      <c r="I225" s="162" t="s">
        <v>156</v>
      </c>
      <c r="J225" s="168"/>
      <c r="L225" s="1"/>
      <c r="M225" s="1"/>
      <c r="N225" s="1"/>
      <c r="O225" s="1"/>
      <c r="P225" s="1"/>
      <c r="Q225" s="1"/>
      <c r="R225" s="1"/>
    </row>
    <row r="226" spans="2:18">
      <c r="B226" s="10"/>
      <c r="C226" s="10"/>
      <c r="F226" s="152" t="s">
        <v>841</v>
      </c>
      <c r="G226" s="151">
        <v>11.9</v>
      </c>
      <c r="H226" s="159" t="s">
        <v>146</v>
      </c>
      <c r="I226" s="159" t="s">
        <v>156</v>
      </c>
      <c r="J226" s="98"/>
      <c r="L226" s="1"/>
      <c r="M226" s="1"/>
      <c r="N226" s="1"/>
      <c r="O226" s="1"/>
      <c r="P226" s="1"/>
      <c r="Q226" s="1"/>
      <c r="R226" s="1"/>
    </row>
    <row r="227" spans="2:18">
      <c r="B227" s="10"/>
      <c r="F227" s="152" t="s">
        <v>842</v>
      </c>
      <c r="G227" s="151">
        <v>17.5</v>
      </c>
      <c r="H227" s="159" t="s">
        <v>146</v>
      </c>
      <c r="I227" s="159" t="s">
        <v>156</v>
      </c>
      <c r="J227" s="98"/>
      <c r="L227" s="1"/>
      <c r="M227" s="1"/>
      <c r="N227" s="1"/>
      <c r="O227" s="1"/>
      <c r="P227" s="1"/>
      <c r="Q227" s="1"/>
      <c r="R227" s="1"/>
    </row>
    <row r="228" spans="2:18">
      <c r="B228" s="10"/>
      <c r="F228" s="152" t="s">
        <v>843</v>
      </c>
      <c r="G228" s="151">
        <v>26.3</v>
      </c>
      <c r="H228" s="159" t="s">
        <v>146</v>
      </c>
      <c r="I228" s="159" t="s">
        <v>156</v>
      </c>
      <c r="J228" s="98"/>
      <c r="L228" s="1"/>
      <c r="M228" s="1"/>
      <c r="N228" s="1"/>
      <c r="O228" s="1"/>
      <c r="P228" s="1"/>
      <c r="Q228" s="1"/>
      <c r="R228" s="1"/>
    </row>
    <row r="229" spans="2:18">
      <c r="B229" s="10"/>
      <c r="F229" s="152" t="s">
        <v>844</v>
      </c>
      <c r="G229" s="151">
        <v>29.7</v>
      </c>
      <c r="H229" s="159" t="s">
        <v>146</v>
      </c>
      <c r="I229" s="159" t="s">
        <v>156</v>
      </c>
      <c r="J229" s="98"/>
      <c r="L229" s="1"/>
      <c r="M229" s="1"/>
      <c r="N229" s="1"/>
      <c r="O229" s="1"/>
      <c r="P229" s="1"/>
      <c r="Q229" s="1"/>
      <c r="R229" s="1"/>
    </row>
    <row r="230" spans="2:18">
      <c r="B230" s="10"/>
      <c r="F230" s="152" t="s">
        <v>845</v>
      </c>
      <c r="G230" s="151">
        <v>13</v>
      </c>
      <c r="H230" s="159" t="s">
        <v>146</v>
      </c>
      <c r="I230" s="159" t="s">
        <v>156</v>
      </c>
      <c r="J230" s="98"/>
      <c r="L230" s="1"/>
      <c r="M230" s="1"/>
      <c r="N230" s="1"/>
      <c r="O230" s="1"/>
      <c r="P230" s="1"/>
      <c r="Q230" s="1"/>
      <c r="R230" s="1"/>
    </row>
    <row r="231" spans="2:18">
      <c r="F231" s="152" t="s">
        <v>846</v>
      </c>
      <c r="G231" s="151">
        <v>20.7</v>
      </c>
      <c r="H231" s="159" t="s">
        <v>146</v>
      </c>
      <c r="I231" s="159" t="s">
        <v>156</v>
      </c>
      <c r="J231" s="159"/>
      <c r="L231" s="1"/>
      <c r="M231" s="1"/>
      <c r="N231" s="1"/>
      <c r="O231" s="1"/>
      <c r="P231" s="1"/>
      <c r="Q231" s="1"/>
      <c r="R231" s="1"/>
    </row>
    <row r="232" spans="2:18">
      <c r="F232" s="152" t="s">
        <v>847</v>
      </c>
      <c r="G232" s="151">
        <v>26.9</v>
      </c>
      <c r="H232" s="159" t="s">
        <v>146</v>
      </c>
      <c r="I232" s="159" t="s">
        <v>156</v>
      </c>
      <c r="J232" s="98"/>
      <c r="L232" s="1"/>
      <c r="M232" s="1"/>
      <c r="N232" s="1"/>
      <c r="O232" s="1"/>
      <c r="P232" s="1"/>
      <c r="Q232" s="1"/>
      <c r="R232" s="1"/>
    </row>
    <row r="233" spans="2:18">
      <c r="F233" s="152" t="s">
        <v>848</v>
      </c>
      <c r="G233" s="151">
        <v>32</v>
      </c>
      <c r="H233" s="159" t="s">
        <v>146</v>
      </c>
      <c r="I233" s="159" t="s">
        <v>156</v>
      </c>
      <c r="J233" s="98"/>
      <c r="L233" s="1"/>
      <c r="M233" s="1"/>
      <c r="N233" s="1"/>
      <c r="O233" s="1"/>
      <c r="P233" s="1"/>
      <c r="Q233" s="1"/>
      <c r="R233" s="1"/>
    </row>
    <row r="234" spans="2:18">
      <c r="F234" s="152" t="s">
        <v>849</v>
      </c>
      <c r="G234" s="151">
        <v>11.9</v>
      </c>
      <c r="H234" s="159" t="s">
        <v>146</v>
      </c>
      <c r="I234" s="159" t="s">
        <v>156</v>
      </c>
      <c r="J234" s="98"/>
      <c r="L234" s="1"/>
      <c r="M234" s="1"/>
      <c r="N234" s="1"/>
      <c r="O234" s="1"/>
      <c r="P234" s="1"/>
      <c r="Q234" s="1"/>
      <c r="R234" s="1"/>
    </row>
    <row r="235" spans="2:18">
      <c r="F235" s="152" t="s">
        <v>850</v>
      </c>
      <c r="G235" s="151">
        <v>17.899999999999999</v>
      </c>
      <c r="H235" s="159" t="s">
        <v>146</v>
      </c>
      <c r="I235" s="159" t="s">
        <v>156</v>
      </c>
      <c r="J235" s="98"/>
      <c r="L235" s="1"/>
      <c r="M235" s="1"/>
      <c r="N235" s="1"/>
      <c r="O235" s="1"/>
      <c r="P235" s="1"/>
      <c r="Q235" s="1"/>
      <c r="R235" s="1"/>
    </row>
    <row r="236" spans="2:18">
      <c r="F236" s="152" t="s">
        <v>851</v>
      </c>
      <c r="G236" s="151">
        <v>26.9</v>
      </c>
      <c r="H236" s="159" t="s">
        <v>146</v>
      </c>
      <c r="I236" s="159" t="s">
        <v>156</v>
      </c>
      <c r="J236" s="98"/>
      <c r="L236" s="1"/>
      <c r="M236" s="1"/>
      <c r="N236" s="1"/>
      <c r="O236" s="1"/>
      <c r="P236" s="1"/>
      <c r="Q236" s="1"/>
      <c r="R236" s="1"/>
    </row>
    <row r="237" spans="2:18">
      <c r="F237" s="152" t="s">
        <v>852</v>
      </c>
      <c r="G237" s="151">
        <v>28.9</v>
      </c>
      <c r="H237" s="159" t="s">
        <v>146</v>
      </c>
      <c r="I237" s="159" t="s">
        <v>156</v>
      </c>
      <c r="J237" s="98"/>
      <c r="L237" s="1"/>
      <c r="M237" s="1"/>
      <c r="N237" s="1"/>
      <c r="O237" s="1"/>
      <c r="P237" s="1"/>
      <c r="Q237" s="1"/>
      <c r="R237" s="1"/>
    </row>
    <row r="238" spans="2:18">
      <c r="F238" s="152" t="s">
        <v>853</v>
      </c>
      <c r="G238" s="151">
        <v>11.2</v>
      </c>
      <c r="H238" s="159" t="s">
        <v>146</v>
      </c>
      <c r="I238" s="159" t="s">
        <v>156</v>
      </c>
      <c r="J238" s="98"/>
      <c r="L238" s="1"/>
      <c r="M238" s="1"/>
      <c r="N238" s="1"/>
      <c r="O238" s="1"/>
      <c r="P238" s="1"/>
      <c r="Q238" s="1"/>
      <c r="R238" s="1"/>
    </row>
    <row r="239" spans="2:18">
      <c r="F239" s="152" t="s">
        <v>854</v>
      </c>
      <c r="G239" s="151">
        <v>17.7</v>
      </c>
      <c r="H239" s="159" t="s">
        <v>146</v>
      </c>
      <c r="I239" s="159" t="s">
        <v>156</v>
      </c>
      <c r="J239" s="98"/>
      <c r="L239" s="1"/>
      <c r="M239" s="1"/>
      <c r="N239" s="1"/>
      <c r="O239" s="1"/>
      <c r="P239" s="1"/>
      <c r="Q239" s="1"/>
      <c r="R239" s="1"/>
    </row>
    <row r="240" spans="2:18">
      <c r="F240" s="152" t="s">
        <v>855</v>
      </c>
      <c r="G240" s="151">
        <v>25.6</v>
      </c>
      <c r="H240" s="159" t="s">
        <v>146</v>
      </c>
      <c r="I240" s="159" t="s">
        <v>156</v>
      </c>
      <c r="J240" s="98"/>
      <c r="L240" s="1"/>
      <c r="M240" s="1"/>
      <c r="N240" s="1"/>
      <c r="O240" s="1"/>
      <c r="P240" s="1"/>
      <c r="Q240" s="1"/>
      <c r="R240" s="1"/>
    </row>
    <row r="241" spans="6:18">
      <c r="F241" s="152" t="s">
        <v>856</v>
      </c>
      <c r="G241" s="151">
        <v>30.8</v>
      </c>
      <c r="H241" s="159" t="s">
        <v>146</v>
      </c>
      <c r="I241" s="159" t="s">
        <v>156</v>
      </c>
      <c r="J241" s="98"/>
      <c r="L241" s="1"/>
      <c r="M241" s="1"/>
      <c r="N241" s="1"/>
      <c r="O241" s="1"/>
      <c r="P241" s="1"/>
      <c r="Q241" s="1"/>
      <c r="R241" s="1"/>
    </row>
    <row r="242" spans="6:18">
      <c r="F242" s="152" t="s">
        <v>754</v>
      </c>
      <c r="G242" s="158">
        <v>7</v>
      </c>
      <c r="H242" t="s">
        <v>208</v>
      </c>
      <c r="I242" t="s">
        <v>170</v>
      </c>
      <c r="J242" t="s">
        <v>550</v>
      </c>
      <c r="L242" s="1"/>
      <c r="M242" s="1"/>
      <c r="N242" s="1"/>
      <c r="O242" s="1"/>
      <c r="P242" s="1"/>
      <c r="Q242" s="1"/>
      <c r="R242" s="1"/>
    </row>
    <row r="243" spans="6:18">
      <c r="F243" s="152" t="s">
        <v>755</v>
      </c>
      <c r="G243" s="158">
        <v>13.3</v>
      </c>
      <c r="H243" t="s">
        <v>208</v>
      </c>
      <c r="I243" t="s">
        <v>170</v>
      </c>
      <c r="J243" t="s">
        <v>550</v>
      </c>
      <c r="L243" s="1"/>
      <c r="M243" s="1"/>
      <c r="N243" s="1"/>
      <c r="O243" s="1"/>
      <c r="P243" s="1"/>
      <c r="Q243" s="1"/>
      <c r="R243" s="1"/>
    </row>
    <row r="244" spans="6:18">
      <c r="F244" s="152" t="s">
        <v>756</v>
      </c>
      <c r="G244" s="158">
        <v>8.6</v>
      </c>
      <c r="H244" t="s">
        <v>208</v>
      </c>
      <c r="I244" t="s">
        <v>170</v>
      </c>
      <c r="J244" t="s">
        <v>550</v>
      </c>
      <c r="L244" s="1"/>
      <c r="M244" s="1"/>
      <c r="N244" s="1"/>
      <c r="O244" s="1"/>
      <c r="P244" s="1"/>
      <c r="Q244" s="1"/>
      <c r="R244" s="1"/>
    </row>
    <row r="245" spans="6:18">
      <c r="F245" s="152" t="s">
        <v>757</v>
      </c>
      <c r="G245" s="158">
        <v>15.9</v>
      </c>
      <c r="H245" t="s">
        <v>208</v>
      </c>
      <c r="I245" t="s">
        <v>170</v>
      </c>
      <c r="J245" t="s">
        <v>550</v>
      </c>
      <c r="L245" s="1"/>
      <c r="M245" s="1"/>
      <c r="N245" s="1"/>
      <c r="O245" s="1"/>
      <c r="P245" s="1"/>
      <c r="Q245" s="1"/>
      <c r="R245" s="1"/>
    </row>
    <row r="246" spans="6:18">
      <c r="F246" s="152" t="s">
        <v>758</v>
      </c>
      <c r="G246" s="8">
        <v>13</v>
      </c>
      <c r="H246" t="s">
        <v>208</v>
      </c>
      <c r="I246" t="s">
        <v>170</v>
      </c>
      <c r="J246" t="s">
        <v>550</v>
      </c>
      <c r="L246" s="1"/>
      <c r="M246" s="1"/>
      <c r="N246" s="1"/>
      <c r="O246" s="1"/>
      <c r="P246" s="1"/>
      <c r="Q246" s="1"/>
      <c r="R246" s="1"/>
    </row>
    <row r="247" spans="6:18">
      <c r="F247" s="152" t="s">
        <v>759</v>
      </c>
      <c r="G247" s="158">
        <v>18.8</v>
      </c>
      <c r="H247" t="s">
        <v>208</v>
      </c>
      <c r="I247" t="s">
        <v>170</v>
      </c>
      <c r="J247" t="s">
        <v>550</v>
      </c>
      <c r="L247" s="1"/>
      <c r="M247" s="1"/>
      <c r="N247" s="1"/>
      <c r="O247" s="1"/>
      <c r="P247" s="1"/>
      <c r="Q247" s="1"/>
      <c r="R247" s="1"/>
    </row>
    <row r="248" spans="6:18">
      <c r="F248" s="152" t="s">
        <v>760</v>
      </c>
      <c r="G248" s="158">
        <v>17.600000000000001</v>
      </c>
      <c r="H248" t="s">
        <v>208</v>
      </c>
      <c r="I248" t="s">
        <v>170</v>
      </c>
      <c r="J248" t="s">
        <v>550</v>
      </c>
      <c r="L248" s="1"/>
      <c r="M248" s="1"/>
      <c r="N248" s="1"/>
      <c r="O248" s="1"/>
      <c r="P248" s="1"/>
      <c r="Q248" s="1"/>
      <c r="R248" s="1"/>
    </row>
    <row r="249" spans="6:18">
      <c r="F249" s="152" t="s">
        <v>761</v>
      </c>
      <c r="G249" s="8">
        <v>15</v>
      </c>
      <c r="H249" t="s">
        <v>208</v>
      </c>
      <c r="I249" t="s">
        <v>170</v>
      </c>
      <c r="J249" t="s">
        <v>550</v>
      </c>
      <c r="L249" s="1"/>
      <c r="M249" s="1"/>
      <c r="N249" s="1"/>
      <c r="O249" s="1"/>
      <c r="P249" s="1"/>
      <c r="Q249" s="1"/>
      <c r="R249" s="1"/>
    </row>
    <row r="250" spans="6:18">
      <c r="F250" s="152" t="s">
        <v>762</v>
      </c>
      <c r="G250" s="8">
        <v>8</v>
      </c>
      <c r="H250" t="s">
        <v>208</v>
      </c>
      <c r="I250" t="s">
        <v>170</v>
      </c>
      <c r="J250" t="s">
        <v>550</v>
      </c>
      <c r="L250" s="1"/>
      <c r="M250" s="1"/>
      <c r="N250" s="1"/>
      <c r="O250" s="1"/>
      <c r="P250" s="1"/>
      <c r="Q250" s="1"/>
      <c r="R250" s="1"/>
    </row>
    <row r="251" spans="6:18">
      <c r="F251" s="167" t="s">
        <v>171</v>
      </c>
      <c r="G251" s="4">
        <v>14.7</v>
      </c>
      <c r="H251" t="s">
        <v>146</v>
      </c>
      <c r="I251" t="s">
        <v>156</v>
      </c>
      <c r="J251" t="s">
        <v>217</v>
      </c>
      <c r="L251" s="1"/>
      <c r="M251" s="1"/>
      <c r="N251" s="1"/>
      <c r="O251" s="1"/>
      <c r="P251" s="1"/>
      <c r="Q251" s="1"/>
      <c r="R251" s="1"/>
    </row>
    <row r="252" spans="6:18">
      <c r="F252" s="167" t="s">
        <v>172</v>
      </c>
      <c r="G252" s="4">
        <v>19.600000000000001</v>
      </c>
      <c r="H252" t="s">
        <v>146</v>
      </c>
      <c r="I252" t="s">
        <v>156</v>
      </c>
      <c r="J252" t="s">
        <v>217</v>
      </c>
      <c r="L252" s="1"/>
      <c r="M252" s="1"/>
      <c r="N252" s="1"/>
      <c r="O252" s="1"/>
      <c r="P252" s="1"/>
      <c r="Q252" s="1"/>
      <c r="R252" s="1"/>
    </row>
    <row r="253" spans="6:18">
      <c r="F253" s="167" t="s">
        <v>173</v>
      </c>
      <c r="G253" s="4">
        <v>23.7</v>
      </c>
      <c r="H253" t="s">
        <v>146</v>
      </c>
      <c r="I253" t="s">
        <v>156</v>
      </c>
      <c r="J253" t="s">
        <v>217</v>
      </c>
      <c r="K253" s="6"/>
      <c r="L253" s="7"/>
      <c r="M253" s="7"/>
      <c r="N253" s="5"/>
      <c r="O253" s="1"/>
      <c r="P253" s="1"/>
      <c r="Q253" s="1"/>
      <c r="R253" s="1"/>
    </row>
    <row r="254" spans="6:18">
      <c r="F254" s="167" t="s">
        <v>476</v>
      </c>
      <c r="G254" s="4">
        <v>14.7</v>
      </c>
      <c r="H254" t="s">
        <v>146</v>
      </c>
      <c r="I254" t="s">
        <v>156</v>
      </c>
      <c r="J254" t="s">
        <v>217</v>
      </c>
      <c r="L254" s="1"/>
      <c r="M254" s="1"/>
      <c r="N254" s="1"/>
      <c r="O254" s="1"/>
      <c r="P254" s="1"/>
      <c r="Q254" s="1"/>
      <c r="R254" s="1"/>
    </row>
    <row r="255" spans="6:18">
      <c r="F255" s="167" t="s">
        <v>477</v>
      </c>
      <c r="G255" s="4">
        <v>19.600000000000001</v>
      </c>
      <c r="H255" t="s">
        <v>146</v>
      </c>
      <c r="I255" t="s">
        <v>156</v>
      </c>
      <c r="J255" t="s">
        <v>217</v>
      </c>
      <c r="L255" s="1"/>
      <c r="M255" s="1"/>
      <c r="N255" s="1"/>
      <c r="O255" s="5"/>
      <c r="P255" s="5"/>
      <c r="Q255" s="5"/>
      <c r="R255" s="5"/>
    </row>
    <row r="256" spans="6:18">
      <c r="F256" s="167" t="s">
        <v>478</v>
      </c>
      <c r="G256" s="4">
        <v>23.7</v>
      </c>
      <c r="H256" t="s">
        <v>146</v>
      </c>
      <c r="I256" t="s">
        <v>156</v>
      </c>
      <c r="J256" t="s">
        <v>217</v>
      </c>
      <c r="L256" s="1"/>
      <c r="M256" s="1"/>
      <c r="N256" s="1"/>
      <c r="O256" s="1"/>
      <c r="P256" s="1"/>
      <c r="Q256" s="1"/>
      <c r="R256" s="1"/>
    </row>
    <row r="257" spans="6:18">
      <c r="F257" s="152" t="s">
        <v>763</v>
      </c>
      <c r="G257" s="8">
        <v>11</v>
      </c>
      <c r="H257" t="s">
        <v>208</v>
      </c>
      <c r="I257" t="s">
        <v>170</v>
      </c>
      <c r="J257" t="s">
        <v>550</v>
      </c>
      <c r="L257" s="1"/>
      <c r="M257" s="1"/>
      <c r="N257" s="1"/>
      <c r="O257" s="1"/>
      <c r="P257" s="1"/>
      <c r="Q257" s="1"/>
      <c r="R257" s="1"/>
    </row>
    <row r="258" spans="6:18">
      <c r="F258" s="167" t="s">
        <v>174</v>
      </c>
      <c r="G258" s="4" t="s">
        <v>175</v>
      </c>
      <c r="H258" t="s">
        <v>146</v>
      </c>
      <c r="I258" t="s">
        <v>176</v>
      </c>
      <c r="J258" t="s">
        <v>169</v>
      </c>
      <c r="L258" s="1"/>
      <c r="M258" s="1"/>
      <c r="N258" s="1"/>
      <c r="O258" s="1"/>
      <c r="P258" s="1"/>
      <c r="Q258" s="1"/>
      <c r="R258" s="1"/>
    </row>
    <row r="259" spans="6:18">
      <c r="F259" s="160" t="s">
        <v>937</v>
      </c>
      <c r="G259" s="155">
        <v>9.6</v>
      </c>
      <c r="H259" s="156" t="s">
        <v>208</v>
      </c>
      <c r="I259" s="156" t="s">
        <v>156</v>
      </c>
      <c r="L259" s="1"/>
      <c r="M259" s="1"/>
      <c r="N259" s="1"/>
      <c r="O259" s="1"/>
      <c r="P259" s="1"/>
      <c r="Q259" s="1"/>
      <c r="R259" s="1"/>
    </row>
    <row r="260" spans="6:18">
      <c r="F260" s="160" t="s">
        <v>936</v>
      </c>
      <c r="G260" s="155">
        <v>13.5</v>
      </c>
      <c r="H260" s="156" t="s">
        <v>208</v>
      </c>
      <c r="I260" s="156" t="s">
        <v>156</v>
      </c>
      <c r="L260" s="1"/>
      <c r="M260" s="1"/>
      <c r="N260" s="1"/>
      <c r="O260" s="1"/>
      <c r="P260" s="1"/>
      <c r="Q260" s="1"/>
      <c r="R260" s="1"/>
    </row>
    <row r="261" spans="6:18">
      <c r="F261" s="160" t="s">
        <v>935</v>
      </c>
      <c r="G261" s="155">
        <v>15.5</v>
      </c>
      <c r="H261" s="156" t="s">
        <v>208</v>
      </c>
      <c r="I261" s="156" t="s">
        <v>156</v>
      </c>
      <c r="L261" s="1"/>
      <c r="M261" s="1"/>
      <c r="N261" s="1"/>
      <c r="O261" s="1"/>
      <c r="P261" s="1"/>
      <c r="Q261" s="1"/>
      <c r="R261" s="1"/>
    </row>
    <row r="262" spans="6:18">
      <c r="F262" s="153" t="s">
        <v>425</v>
      </c>
      <c r="G262" s="4">
        <v>10.4</v>
      </c>
      <c r="H262" t="s">
        <v>208</v>
      </c>
      <c r="I262" t="s">
        <v>156</v>
      </c>
      <c r="J262" t="s">
        <v>406</v>
      </c>
      <c r="L262" s="1"/>
      <c r="M262" s="1"/>
      <c r="N262" s="1"/>
      <c r="O262" s="1"/>
      <c r="P262" s="1"/>
      <c r="Q262" s="1"/>
      <c r="R262" s="1"/>
    </row>
    <row r="263" spans="6:18">
      <c r="F263" s="153" t="s">
        <v>426</v>
      </c>
      <c r="G263" s="4">
        <v>13.8</v>
      </c>
      <c r="H263" t="s">
        <v>208</v>
      </c>
      <c r="I263" t="s">
        <v>156</v>
      </c>
      <c r="J263" t="s">
        <v>406</v>
      </c>
      <c r="L263" s="1"/>
      <c r="M263" s="1"/>
      <c r="N263" s="1"/>
      <c r="O263" s="1"/>
      <c r="P263" s="1"/>
      <c r="Q263" s="1"/>
      <c r="R263" s="1"/>
    </row>
    <row r="264" spans="6:18">
      <c r="F264" s="153" t="s">
        <v>427</v>
      </c>
      <c r="G264" s="4">
        <v>17.100000000000001</v>
      </c>
      <c r="H264" t="s">
        <v>208</v>
      </c>
      <c r="I264" t="s">
        <v>156</v>
      </c>
      <c r="J264" t="s">
        <v>406</v>
      </c>
      <c r="L264" s="1"/>
      <c r="M264" s="1"/>
      <c r="N264" s="1"/>
      <c r="O264" s="1"/>
      <c r="P264" s="1"/>
      <c r="Q264" s="1"/>
      <c r="R264" s="1"/>
    </row>
    <row r="265" spans="6:18">
      <c r="F265" s="153" t="s">
        <v>442</v>
      </c>
      <c r="G265" s="4">
        <v>18.8</v>
      </c>
      <c r="H265" t="s">
        <v>208</v>
      </c>
      <c r="I265" t="s">
        <v>156</v>
      </c>
      <c r="J265" t="s">
        <v>406</v>
      </c>
      <c r="L265" s="1"/>
      <c r="M265" s="1"/>
      <c r="N265" s="1"/>
      <c r="O265" s="1"/>
      <c r="P265" s="1"/>
      <c r="Q265" s="1"/>
      <c r="R265" s="1"/>
    </row>
    <row r="266" spans="6:18">
      <c r="F266" s="153" t="s">
        <v>432</v>
      </c>
      <c r="G266" s="4">
        <v>10</v>
      </c>
      <c r="H266" t="s">
        <v>208</v>
      </c>
      <c r="I266" t="s">
        <v>156</v>
      </c>
      <c r="J266" t="s">
        <v>406</v>
      </c>
      <c r="L266" s="1"/>
      <c r="M266" s="1"/>
      <c r="N266" s="1"/>
      <c r="O266" s="1"/>
      <c r="P266" s="1"/>
      <c r="Q266" s="1"/>
      <c r="R266" s="1"/>
    </row>
    <row r="267" spans="6:18">
      <c r="F267" s="153" t="s">
        <v>433</v>
      </c>
      <c r="G267" s="4">
        <v>13.4</v>
      </c>
      <c r="H267" t="s">
        <v>208</v>
      </c>
      <c r="I267" t="s">
        <v>156</v>
      </c>
      <c r="J267" t="s">
        <v>406</v>
      </c>
      <c r="L267" s="1"/>
      <c r="M267" s="1"/>
      <c r="N267" s="1"/>
      <c r="O267" s="1"/>
      <c r="P267" s="1"/>
      <c r="Q267" s="1"/>
      <c r="R267" s="1"/>
    </row>
    <row r="268" spans="6:18">
      <c r="F268" s="153" t="s">
        <v>434</v>
      </c>
      <c r="G268" s="4">
        <v>16.7</v>
      </c>
      <c r="H268" t="s">
        <v>208</v>
      </c>
      <c r="I268" t="s">
        <v>156</v>
      </c>
      <c r="J268" t="s">
        <v>406</v>
      </c>
      <c r="L268" s="1"/>
      <c r="M268" s="1"/>
      <c r="N268" s="1"/>
      <c r="O268" s="1"/>
      <c r="P268" s="1"/>
      <c r="Q268" s="1"/>
      <c r="R268" s="1"/>
    </row>
    <row r="269" spans="6:18">
      <c r="F269" s="153" t="s">
        <v>435</v>
      </c>
      <c r="G269" s="4">
        <v>18.899999999999999</v>
      </c>
      <c r="H269" t="s">
        <v>208</v>
      </c>
      <c r="I269" t="s">
        <v>156</v>
      </c>
      <c r="J269" t="s">
        <v>406</v>
      </c>
      <c r="L269" s="1"/>
      <c r="M269" s="1"/>
      <c r="N269" s="1"/>
      <c r="O269" s="1"/>
      <c r="P269" s="1"/>
      <c r="Q269" s="1"/>
      <c r="R269" s="1"/>
    </row>
    <row r="270" spans="6:18">
      <c r="F270" s="153" t="s">
        <v>436</v>
      </c>
      <c r="G270" s="4">
        <v>19.8</v>
      </c>
      <c r="H270" t="s">
        <v>208</v>
      </c>
      <c r="I270" t="s">
        <v>156</v>
      </c>
      <c r="J270" t="s">
        <v>406</v>
      </c>
      <c r="L270" s="1"/>
      <c r="M270" s="1"/>
      <c r="N270" s="1"/>
      <c r="O270" s="1"/>
      <c r="P270" s="1"/>
      <c r="Q270" s="1"/>
      <c r="R270" s="1"/>
    </row>
    <row r="271" spans="6:18">
      <c r="F271" s="153" t="s">
        <v>437</v>
      </c>
      <c r="G271" s="4">
        <v>9.8000000000000007</v>
      </c>
      <c r="H271" t="s">
        <v>208</v>
      </c>
      <c r="I271" t="s">
        <v>156</v>
      </c>
      <c r="J271" t="s">
        <v>406</v>
      </c>
      <c r="L271" s="1"/>
      <c r="M271" s="1"/>
      <c r="N271" s="1"/>
      <c r="O271" s="1"/>
      <c r="P271" s="1"/>
      <c r="Q271" s="1"/>
      <c r="R271" s="1"/>
    </row>
    <row r="272" spans="6:18">
      <c r="F272" s="153" t="s">
        <v>438</v>
      </c>
      <c r="G272" s="4">
        <v>13.6</v>
      </c>
      <c r="H272" t="s">
        <v>208</v>
      </c>
      <c r="I272" t="s">
        <v>156</v>
      </c>
      <c r="J272" t="s">
        <v>406</v>
      </c>
      <c r="L272" s="1"/>
      <c r="M272" s="1"/>
      <c r="N272" s="1"/>
      <c r="O272" s="1"/>
      <c r="P272" s="1"/>
      <c r="Q272" s="1"/>
      <c r="R272" s="1"/>
    </row>
    <row r="273" spans="6:18">
      <c r="F273" s="153" t="s">
        <v>439</v>
      </c>
      <c r="G273" s="4">
        <v>16.100000000000001</v>
      </c>
      <c r="H273" t="s">
        <v>208</v>
      </c>
      <c r="I273" t="s">
        <v>156</v>
      </c>
      <c r="J273" t="s">
        <v>406</v>
      </c>
      <c r="L273" s="1"/>
      <c r="M273" s="1"/>
      <c r="N273" s="1"/>
      <c r="O273" s="1"/>
      <c r="P273" s="1"/>
      <c r="Q273" s="1"/>
      <c r="R273" s="1"/>
    </row>
    <row r="274" spans="6:18">
      <c r="F274" s="3" t="s">
        <v>440</v>
      </c>
      <c r="G274" s="151">
        <v>18.600000000000001</v>
      </c>
      <c r="H274" t="s">
        <v>208</v>
      </c>
      <c r="I274" t="s">
        <v>156</v>
      </c>
      <c r="J274" t="s">
        <v>406</v>
      </c>
      <c r="L274" s="1"/>
      <c r="M274" s="1"/>
      <c r="N274" s="1"/>
      <c r="O274" s="1"/>
      <c r="P274" s="1"/>
      <c r="Q274" s="1"/>
      <c r="R274" s="1"/>
    </row>
    <row r="275" spans="6:18">
      <c r="F275" s="153" t="s">
        <v>441</v>
      </c>
      <c r="G275" s="4">
        <v>19.600000000000001</v>
      </c>
      <c r="H275" t="s">
        <v>208</v>
      </c>
      <c r="I275" t="s">
        <v>156</v>
      </c>
      <c r="J275" t="s">
        <v>406</v>
      </c>
      <c r="L275" s="1"/>
      <c r="M275" s="1"/>
      <c r="N275" s="1"/>
      <c r="O275" s="1"/>
      <c r="P275" s="1"/>
      <c r="Q275" s="1"/>
      <c r="R275" s="1"/>
    </row>
    <row r="276" spans="6:18">
      <c r="F276" s="153" t="s">
        <v>428</v>
      </c>
      <c r="G276" s="4">
        <v>9.8000000000000007</v>
      </c>
      <c r="H276" t="s">
        <v>208</v>
      </c>
      <c r="I276" t="s">
        <v>156</v>
      </c>
      <c r="J276" t="s">
        <v>406</v>
      </c>
      <c r="L276" s="1"/>
      <c r="M276" s="1"/>
      <c r="N276" s="1"/>
      <c r="O276" s="1"/>
      <c r="P276" s="1"/>
      <c r="Q276" s="1"/>
      <c r="R276" s="1"/>
    </row>
    <row r="277" spans="6:18">
      <c r="F277" s="153" t="s">
        <v>429</v>
      </c>
      <c r="G277" s="4">
        <v>13</v>
      </c>
      <c r="H277" t="s">
        <v>208</v>
      </c>
      <c r="I277" t="s">
        <v>156</v>
      </c>
      <c r="J277" t="s">
        <v>406</v>
      </c>
      <c r="L277" s="1"/>
      <c r="M277" s="1"/>
      <c r="N277" s="1"/>
      <c r="O277" s="1"/>
      <c r="P277" s="1"/>
      <c r="Q277" s="1"/>
      <c r="R277" s="1"/>
    </row>
    <row r="278" spans="6:18">
      <c r="F278" s="153" t="s">
        <v>430</v>
      </c>
      <c r="G278" s="4">
        <v>16.899999999999999</v>
      </c>
      <c r="H278" t="s">
        <v>208</v>
      </c>
      <c r="I278" t="s">
        <v>156</v>
      </c>
      <c r="J278" t="s">
        <v>406</v>
      </c>
      <c r="L278" s="1"/>
      <c r="M278" s="1"/>
      <c r="N278" s="1"/>
      <c r="O278" s="1"/>
      <c r="P278" s="1"/>
      <c r="Q278" s="1"/>
      <c r="R278" s="1"/>
    </row>
    <row r="279" spans="6:18">
      <c r="F279" s="153" t="s">
        <v>431</v>
      </c>
      <c r="G279" s="4">
        <v>19.100000000000001</v>
      </c>
      <c r="H279" t="s">
        <v>208</v>
      </c>
      <c r="I279" t="s">
        <v>156</v>
      </c>
      <c r="J279" t="s">
        <v>406</v>
      </c>
      <c r="L279" s="1"/>
      <c r="M279" s="1"/>
      <c r="N279" s="1"/>
      <c r="O279" s="1"/>
      <c r="P279" s="1"/>
      <c r="Q279" s="1"/>
      <c r="R279" s="1"/>
    </row>
    <row r="280" spans="6:18">
      <c r="F280" s="160" t="s">
        <v>934</v>
      </c>
      <c r="G280" s="155">
        <v>9.1</v>
      </c>
      <c r="H280" s="156" t="s">
        <v>208</v>
      </c>
      <c r="I280" s="156" t="s">
        <v>156</v>
      </c>
      <c r="J280" s="156"/>
      <c r="L280" s="1"/>
      <c r="M280" s="1"/>
      <c r="N280" s="1"/>
      <c r="O280" s="1"/>
      <c r="P280" s="1"/>
      <c r="Q280" s="1"/>
      <c r="R280" s="1"/>
    </row>
    <row r="281" spans="6:18">
      <c r="F281" s="160" t="s">
        <v>933</v>
      </c>
      <c r="G281" s="155">
        <v>12.2</v>
      </c>
      <c r="H281" s="156" t="s">
        <v>208</v>
      </c>
      <c r="I281" s="156" t="s">
        <v>156</v>
      </c>
      <c r="J281" s="156"/>
      <c r="L281" s="1"/>
      <c r="M281" s="1"/>
      <c r="N281" s="1"/>
      <c r="O281" s="1"/>
      <c r="P281" s="1"/>
      <c r="Q281" s="1"/>
      <c r="R281" s="1"/>
    </row>
    <row r="282" spans="6:18">
      <c r="F282" s="160" t="s">
        <v>932</v>
      </c>
      <c r="G282" s="155">
        <v>14.6</v>
      </c>
      <c r="H282" s="156" t="s">
        <v>208</v>
      </c>
      <c r="I282" s="156" t="s">
        <v>156</v>
      </c>
      <c r="J282" s="156"/>
      <c r="L282" s="1"/>
      <c r="M282" s="1"/>
      <c r="N282" s="1"/>
      <c r="O282" s="1"/>
      <c r="P282" s="1"/>
      <c r="Q282" s="1"/>
      <c r="R282" s="1"/>
    </row>
    <row r="283" spans="6:18">
      <c r="F283" s="160" t="s">
        <v>931</v>
      </c>
      <c r="G283" s="155">
        <v>16.3</v>
      </c>
      <c r="H283" s="156" t="s">
        <v>208</v>
      </c>
      <c r="I283" s="156" t="s">
        <v>156</v>
      </c>
      <c r="J283" s="156"/>
      <c r="L283" s="1"/>
      <c r="M283" s="1"/>
      <c r="N283" s="1"/>
      <c r="O283" s="1"/>
      <c r="P283" s="1"/>
      <c r="Q283" s="1"/>
      <c r="R283" s="1"/>
    </row>
    <row r="284" spans="6:18">
      <c r="F284" s="160" t="s">
        <v>930</v>
      </c>
      <c r="G284" s="155">
        <v>17.8</v>
      </c>
      <c r="H284" s="156" t="s">
        <v>208</v>
      </c>
      <c r="I284" s="156" t="s">
        <v>156</v>
      </c>
      <c r="J284" s="156"/>
      <c r="L284" s="1"/>
      <c r="M284" s="1"/>
      <c r="N284" s="1"/>
      <c r="O284" s="1"/>
      <c r="P284" s="1"/>
      <c r="Q284" s="1"/>
      <c r="R284" s="1"/>
    </row>
    <row r="285" spans="6:18">
      <c r="F285" s="153" t="s">
        <v>443</v>
      </c>
      <c r="G285" s="4">
        <v>11</v>
      </c>
      <c r="H285" t="s">
        <v>208</v>
      </c>
      <c r="I285" t="s">
        <v>156</v>
      </c>
      <c r="L285" s="1"/>
      <c r="M285" s="1"/>
      <c r="N285" s="1"/>
      <c r="O285" s="1"/>
      <c r="P285" s="1"/>
      <c r="Q285" s="1"/>
      <c r="R285" s="1"/>
    </row>
    <row r="286" spans="6:18">
      <c r="F286" s="3" t="s">
        <v>444</v>
      </c>
      <c r="G286" s="151">
        <v>15</v>
      </c>
      <c r="H286" t="s">
        <v>208</v>
      </c>
      <c r="I286" t="s">
        <v>156</v>
      </c>
      <c r="L286" s="1"/>
      <c r="M286" s="1"/>
      <c r="N286" s="1"/>
      <c r="O286" s="1"/>
      <c r="P286" s="1"/>
      <c r="Q286" s="1"/>
      <c r="R286" s="1"/>
    </row>
    <row r="287" spans="6:18">
      <c r="F287" s="153" t="s">
        <v>445</v>
      </c>
      <c r="G287" s="4">
        <v>18</v>
      </c>
      <c r="H287" t="s">
        <v>208</v>
      </c>
      <c r="I287" t="s">
        <v>156</v>
      </c>
      <c r="L287" s="1"/>
      <c r="M287" s="1"/>
      <c r="N287" s="1"/>
      <c r="O287" s="1"/>
      <c r="P287" s="1"/>
      <c r="Q287" s="1"/>
      <c r="R287" s="1"/>
    </row>
    <row r="288" spans="6:18">
      <c r="F288" s="153" t="s">
        <v>461</v>
      </c>
      <c r="G288" s="4">
        <v>20</v>
      </c>
      <c r="H288" t="s">
        <v>208</v>
      </c>
      <c r="I288" t="s">
        <v>156</v>
      </c>
      <c r="L288" s="1"/>
      <c r="M288" s="1"/>
      <c r="N288" s="1"/>
      <c r="O288" s="1"/>
      <c r="P288" s="1"/>
      <c r="Q288" s="1"/>
      <c r="R288" s="1"/>
    </row>
    <row r="289" spans="6:18">
      <c r="F289" s="153" t="s">
        <v>451</v>
      </c>
      <c r="G289" s="4">
        <v>10</v>
      </c>
      <c r="H289" t="s">
        <v>208</v>
      </c>
      <c r="I289" t="s">
        <v>156</v>
      </c>
      <c r="L289" s="1"/>
      <c r="M289" s="1"/>
      <c r="N289" s="1"/>
      <c r="O289" s="1"/>
      <c r="P289" s="1"/>
      <c r="Q289" s="1"/>
      <c r="R289" s="1"/>
    </row>
    <row r="290" spans="6:18">
      <c r="F290" s="153" t="s">
        <v>452</v>
      </c>
      <c r="G290" s="4">
        <v>13</v>
      </c>
      <c r="H290" t="s">
        <v>208</v>
      </c>
      <c r="I290" t="s">
        <v>156</v>
      </c>
      <c r="L290" s="1"/>
      <c r="M290" s="1"/>
      <c r="N290" s="1"/>
      <c r="O290" s="1"/>
      <c r="P290" s="1"/>
      <c r="Q290" s="1"/>
      <c r="R290" s="1"/>
    </row>
    <row r="291" spans="6:18">
      <c r="F291" s="153" t="s">
        <v>453</v>
      </c>
      <c r="G291" s="4">
        <v>17</v>
      </c>
      <c r="H291" t="s">
        <v>208</v>
      </c>
      <c r="I291" t="s">
        <v>156</v>
      </c>
      <c r="L291" s="1"/>
      <c r="M291" s="1"/>
      <c r="N291" s="1"/>
      <c r="O291" s="1"/>
      <c r="P291" s="1"/>
      <c r="Q291" s="1"/>
      <c r="R291" s="1"/>
    </row>
    <row r="292" spans="6:18">
      <c r="F292" s="153" t="s">
        <v>454</v>
      </c>
      <c r="G292" s="4">
        <v>19</v>
      </c>
      <c r="H292" t="s">
        <v>208</v>
      </c>
      <c r="I292" t="s">
        <v>156</v>
      </c>
      <c r="L292" s="1"/>
      <c r="M292" s="1"/>
      <c r="N292" s="1"/>
      <c r="O292" s="1"/>
      <c r="P292" s="1"/>
      <c r="Q292" s="1"/>
      <c r="R292" s="1"/>
    </row>
    <row r="293" spans="6:18">
      <c r="F293" s="153" t="s">
        <v>455</v>
      </c>
      <c r="G293" s="4">
        <v>20</v>
      </c>
      <c r="H293" t="s">
        <v>208</v>
      </c>
      <c r="I293" t="s">
        <v>156</v>
      </c>
      <c r="L293" s="1"/>
      <c r="M293" s="1"/>
      <c r="N293" s="1"/>
      <c r="O293" s="1"/>
      <c r="P293" s="1"/>
      <c r="Q293" s="1"/>
      <c r="R293" s="1"/>
    </row>
    <row r="294" spans="6:18">
      <c r="F294" s="153" t="s">
        <v>456</v>
      </c>
      <c r="G294" s="4">
        <v>10</v>
      </c>
      <c r="H294" t="s">
        <v>208</v>
      </c>
      <c r="I294" t="s">
        <v>156</v>
      </c>
      <c r="L294" s="1"/>
      <c r="M294" s="1"/>
      <c r="N294" s="1"/>
      <c r="O294" s="1"/>
      <c r="P294" s="1"/>
      <c r="Q294" s="1"/>
      <c r="R294" s="1"/>
    </row>
    <row r="295" spans="6:18">
      <c r="F295" s="3" t="s">
        <v>457</v>
      </c>
      <c r="G295" s="151">
        <v>13</v>
      </c>
      <c r="H295" t="s">
        <v>208</v>
      </c>
      <c r="I295" t="s">
        <v>156</v>
      </c>
      <c r="L295" s="1"/>
      <c r="M295" s="1"/>
      <c r="N295" s="1"/>
      <c r="O295" s="1"/>
      <c r="P295" s="1"/>
      <c r="Q295" s="1"/>
      <c r="R295" s="1"/>
    </row>
    <row r="296" spans="6:18">
      <c r="F296" s="153" t="s">
        <v>458</v>
      </c>
      <c r="G296" s="4">
        <v>17</v>
      </c>
      <c r="H296" t="s">
        <v>208</v>
      </c>
      <c r="I296" t="s">
        <v>156</v>
      </c>
      <c r="L296" s="1"/>
      <c r="M296" s="1"/>
      <c r="N296" s="1"/>
      <c r="O296" s="1"/>
      <c r="P296" s="1"/>
      <c r="Q296" s="1"/>
      <c r="R296" s="1"/>
    </row>
    <row r="297" spans="6:18">
      <c r="F297" s="153" t="s">
        <v>459</v>
      </c>
      <c r="G297" s="4">
        <v>19</v>
      </c>
      <c r="H297" t="s">
        <v>208</v>
      </c>
      <c r="I297" t="s">
        <v>156</v>
      </c>
      <c r="L297" s="1"/>
      <c r="M297" s="1"/>
      <c r="N297" s="1"/>
      <c r="O297" s="1"/>
      <c r="P297" s="1"/>
      <c r="Q297" s="1"/>
      <c r="R297" s="1"/>
    </row>
    <row r="298" spans="6:18">
      <c r="F298" s="153" t="s">
        <v>460</v>
      </c>
      <c r="G298" s="4">
        <v>20</v>
      </c>
      <c r="H298" t="s">
        <v>208</v>
      </c>
      <c r="I298" t="s">
        <v>156</v>
      </c>
      <c r="L298" s="1"/>
      <c r="M298" s="1"/>
      <c r="N298" s="1"/>
      <c r="O298" s="1"/>
      <c r="P298" s="1"/>
      <c r="Q298" s="1"/>
      <c r="R298" s="1"/>
    </row>
    <row r="299" spans="6:18">
      <c r="F299" s="153" t="s">
        <v>446</v>
      </c>
      <c r="G299" s="4">
        <v>10</v>
      </c>
      <c r="H299" t="s">
        <v>208</v>
      </c>
      <c r="I299" t="s">
        <v>156</v>
      </c>
      <c r="L299" s="1"/>
      <c r="M299" s="1"/>
      <c r="N299" s="1"/>
      <c r="O299" s="1"/>
      <c r="P299" s="1"/>
      <c r="Q299" s="1"/>
      <c r="R299" s="1"/>
    </row>
    <row r="300" spans="6:18">
      <c r="F300" s="153" t="s">
        <v>447</v>
      </c>
      <c r="G300" s="4">
        <v>14</v>
      </c>
      <c r="H300" t="s">
        <v>208</v>
      </c>
      <c r="I300" t="s">
        <v>156</v>
      </c>
      <c r="L300" s="1"/>
      <c r="M300" s="1"/>
      <c r="N300" s="1"/>
      <c r="O300" s="1"/>
      <c r="P300" s="1"/>
      <c r="Q300" s="1"/>
      <c r="R300" s="1"/>
    </row>
    <row r="301" spans="6:18">
      <c r="F301" s="153" t="s">
        <v>448</v>
      </c>
      <c r="G301" s="4">
        <v>18</v>
      </c>
      <c r="H301" t="s">
        <v>208</v>
      </c>
      <c r="I301" t="s">
        <v>156</v>
      </c>
      <c r="L301" s="1"/>
      <c r="M301" s="1"/>
      <c r="N301" s="1"/>
      <c r="O301" s="1"/>
      <c r="P301" s="1"/>
      <c r="Q301" s="1"/>
      <c r="R301" s="1"/>
    </row>
    <row r="302" spans="6:18">
      <c r="F302" s="153" t="s">
        <v>449</v>
      </c>
      <c r="G302" s="4">
        <v>20</v>
      </c>
      <c r="H302" t="s">
        <v>208</v>
      </c>
      <c r="I302" t="s">
        <v>156</v>
      </c>
      <c r="L302" s="1"/>
      <c r="M302" s="1"/>
      <c r="N302" s="1"/>
      <c r="O302" s="1"/>
      <c r="P302" s="1"/>
      <c r="Q302" s="1"/>
      <c r="R302" s="1"/>
    </row>
    <row r="303" spans="6:18">
      <c r="F303" s="153" t="s">
        <v>450</v>
      </c>
      <c r="G303" s="4">
        <v>21</v>
      </c>
      <c r="H303" t="s">
        <v>208</v>
      </c>
      <c r="I303" t="s">
        <v>156</v>
      </c>
      <c r="L303" s="1"/>
      <c r="M303" s="1"/>
      <c r="N303" s="1"/>
      <c r="O303" s="1"/>
      <c r="P303" s="1"/>
      <c r="Q303" s="1"/>
      <c r="R303" s="1"/>
    </row>
    <row r="304" spans="6:18">
      <c r="F304" s="160" t="s">
        <v>929</v>
      </c>
      <c r="G304" s="155">
        <v>9.1</v>
      </c>
      <c r="H304" s="156" t="s">
        <v>208</v>
      </c>
      <c r="I304" s="156" t="s">
        <v>156</v>
      </c>
      <c r="J304" s="156"/>
      <c r="L304" s="1"/>
      <c r="M304" s="1"/>
      <c r="N304" s="1"/>
      <c r="O304" s="1"/>
      <c r="P304" s="1"/>
      <c r="Q304" s="1"/>
      <c r="R304" s="1"/>
    </row>
    <row r="305" spans="6:18">
      <c r="F305" s="160" t="s">
        <v>928</v>
      </c>
      <c r="G305" s="155">
        <v>12.2</v>
      </c>
      <c r="H305" s="156" t="s">
        <v>208</v>
      </c>
      <c r="I305" s="156" t="s">
        <v>156</v>
      </c>
      <c r="J305" s="156"/>
      <c r="L305" s="1"/>
      <c r="M305" s="1"/>
      <c r="N305" s="1"/>
      <c r="O305" s="1"/>
      <c r="P305" s="1"/>
      <c r="Q305" s="1"/>
      <c r="R305" s="1"/>
    </row>
    <row r="306" spans="6:18">
      <c r="F306" s="160" t="s">
        <v>927</v>
      </c>
      <c r="G306" s="155">
        <v>14.7</v>
      </c>
      <c r="H306" s="156" t="s">
        <v>208</v>
      </c>
      <c r="I306" s="156" t="s">
        <v>156</v>
      </c>
      <c r="J306" s="156"/>
      <c r="L306" s="1"/>
      <c r="M306" s="1"/>
      <c r="N306" s="1"/>
      <c r="O306" s="1"/>
      <c r="P306" s="1"/>
      <c r="Q306" s="1"/>
      <c r="R306" s="1"/>
    </row>
    <row r="307" spans="6:18">
      <c r="F307" s="160" t="s">
        <v>926</v>
      </c>
      <c r="G307" s="155">
        <v>16.600000000000001</v>
      </c>
      <c r="H307" s="156" t="s">
        <v>208</v>
      </c>
      <c r="I307" s="156" t="s">
        <v>156</v>
      </c>
      <c r="J307" s="156"/>
      <c r="L307" s="1"/>
      <c r="M307" s="1"/>
      <c r="N307" s="1"/>
      <c r="O307" s="1"/>
      <c r="P307" s="1"/>
      <c r="Q307" s="1"/>
      <c r="R307" s="1"/>
    </row>
    <row r="308" spans="6:18">
      <c r="F308" s="160" t="s">
        <v>925</v>
      </c>
      <c r="G308" s="155">
        <v>18.3</v>
      </c>
      <c r="H308" s="156" t="s">
        <v>208</v>
      </c>
      <c r="I308" s="156" t="s">
        <v>156</v>
      </c>
      <c r="J308" s="156"/>
      <c r="L308" s="1"/>
      <c r="M308" s="1"/>
      <c r="N308" s="1"/>
      <c r="O308" s="1"/>
      <c r="P308" s="1"/>
      <c r="Q308" s="1"/>
      <c r="R308" s="1"/>
    </row>
    <row r="309" spans="6:18">
      <c r="F309" s="160" t="s">
        <v>924</v>
      </c>
      <c r="G309" s="155">
        <v>9.6</v>
      </c>
      <c r="H309" s="156" t="s">
        <v>208</v>
      </c>
      <c r="I309" s="156" t="s">
        <v>156</v>
      </c>
      <c r="J309" s="156"/>
      <c r="L309" s="1"/>
      <c r="M309" s="1"/>
      <c r="N309" s="1"/>
      <c r="O309" s="1"/>
      <c r="P309" s="1"/>
      <c r="Q309" s="1"/>
      <c r="R309" s="1"/>
    </row>
    <row r="310" spans="6:18">
      <c r="F310" s="160" t="s">
        <v>923</v>
      </c>
      <c r="G310" s="155">
        <v>12.7</v>
      </c>
      <c r="H310" s="156" t="s">
        <v>208</v>
      </c>
      <c r="I310" s="156" t="s">
        <v>156</v>
      </c>
      <c r="J310" s="156"/>
      <c r="L310" s="1"/>
      <c r="M310" s="1"/>
      <c r="N310" s="1"/>
      <c r="O310" s="1"/>
      <c r="P310" s="1"/>
      <c r="Q310" s="1"/>
      <c r="R310" s="1"/>
    </row>
    <row r="311" spans="6:18">
      <c r="F311" s="160" t="s">
        <v>922</v>
      </c>
      <c r="G311" s="155">
        <v>14.8</v>
      </c>
      <c r="H311" s="156" t="s">
        <v>208</v>
      </c>
      <c r="I311" s="156" t="s">
        <v>156</v>
      </c>
      <c r="J311" s="156"/>
      <c r="L311" s="1"/>
      <c r="M311" s="1"/>
      <c r="N311" s="1"/>
      <c r="O311" s="1"/>
      <c r="P311" s="1"/>
      <c r="Q311" s="1"/>
      <c r="R311" s="1"/>
    </row>
    <row r="312" spans="6:18">
      <c r="F312" s="160" t="s">
        <v>921</v>
      </c>
      <c r="G312" s="155">
        <v>16.3</v>
      </c>
      <c r="H312" s="156" t="s">
        <v>208</v>
      </c>
      <c r="I312" s="156" t="s">
        <v>156</v>
      </c>
      <c r="J312" s="156"/>
      <c r="L312" s="1"/>
      <c r="M312" s="1"/>
      <c r="N312" s="1"/>
      <c r="O312" s="1"/>
      <c r="P312" s="1"/>
      <c r="Q312" s="1"/>
      <c r="R312" s="1"/>
    </row>
    <row r="313" spans="6:18">
      <c r="F313" s="160" t="s">
        <v>920</v>
      </c>
      <c r="G313" s="155">
        <v>17.5</v>
      </c>
      <c r="H313" s="156" t="s">
        <v>208</v>
      </c>
      <c r="I313" s="156" t="s">
        <v>156</v>
      </c>
      <c r="J313" s="156"/>
      <c r="L313" s="1"/>
      <c r="M313" s="1"/>
      <c r="N313" s="1"/>
      <c r="O313" s="1"/>
      <c r="P313" s="1"/>
      <c r="Q313" s="1"/>
      <c r="R313" s="1"/>
    </row>
    <row r="314" spans="6:18">
      <c r="F314" s="152" t="s">
        <v>764</v>
      </c>
      <c r="G314" s="8">
        <v>9</v>
      </c>
      <c r="H314" t="s">
        <v>208</v>
      </c>
      <c r="I314" t="s">
        <v>170</v>
      </c>
      <c r="J314" t="s">
        <v>550</v>
      </c>
      <c r="L314" s="1"/>
      <c r="M314" s="1"/>
      <c r="N314" s="1"/>
      <c r="O314" s="1"/>
      <c r="P314" s="1"/>
      <c r="Q314" s="1"/>
      <c r="R314" s="1"/>
    </row>
    <row r="315" spans="6:18">
      <c r="F315" s="152" t="s">
        <v>765</v>
      </c>
      <c r="G315" s="8">
        <v>6</v>
      </c>
      <c r="H315" t="s">
        <v>208</v>
      </c>
      <c r="I315" t="s">
        <v>170</v>
      </c>
      <c r="J315" t="s">
        <v>550</v>
      </c>
      <c r="L315" s="1"/>
      <c r="M315" s="1"/>
      <c r="N315" s="1"/>
      <c r="O315" s="1"/>
      <c r="P315" s="1"/>
      <c r="Q315" s="1"/>
      <c r="R315" s="1"/>
    </row>
    <row r="316" spans="6:18">
      <c r="F316" s="152" t="s">
        <v>766</v>
      </c>
      <c r="G316" s="158">
        <v>9.8000000000000007</v>
      </c>
      <c r="H316" t="s">
        <v>208</v>
      </c>
      <c r="I316" t="s">
        <v>170</v>
      </c>
      <c r="J316" t="s">
        <v>550</v>
      </c>
      <c r="L316" s="1"/>
      <c r="M316" s="1"/>
      <c r="N316" s="1"/>
      <c r="O316" s="1"/>
      <c r="P316" s="1"/>
      <c r="Q316" s="1"/>
      <c r="R316" s="1"/>
    </row>
    <row r="317" spans="6:18">
      <c r="F317" s="152" t="s">
        <v>868</v>
      </c>
      <c r="G317" s="171">
        <v>16.600000000000001</v>
      </c>
      <c r="H317" t="s">
        <v>146</v>
      </c>
      <c r="I317" t="s">
        <v>170</v>
      </c>
      <c r="J317" t="s">
        <v>550</v>
      </c>
      <c r="L317" s="1"/>
      <c r="M317" s="1"/>
      <c r="N317" s="1"/>
      <c r="O317" s="1"/>
      <c r="P317" s="1"/>
      <c r="Q317" s="1"/>
      <c r="R317" s="1"/>
    </row>
    <row r="318" spans="6:18">
      <c r="F318" s="152" t="s">
        <v>869</v>
      </c>
      <c r="G318" s="171">
        <v>9</v>
      </c>
      <c r="H318" t="s">
        <v>146</v>
      </c>
      <c r="I318" t="s">
        <v>170</v>
      </c>
      <c r="J318" t="s">
        <v>550</v>
      </c>
      <c r="L318" s="1"/>
      <c r="M318" s="1"/>
      <c r="N318" s="1"/>
      <c r="O318" s="1"/>
      <c r="P318" s="1"/>
      <c r="Q318" s="1"/>
      <c r="R318" s="1"/>
    </row>
    <row r="319" spans="6:18">
      <c r="F319" s="160" t="s">
        <v>919</v>
      </c>
      <c r="G319" s="155">
        <v>11.2</v>
      </c>
      <c r="H319" s="156" t="s">
        <v>207</v>
      </c>
      <c r="I319" s="156" t="s">
        <v>147</v>
      </c>
      <c r="J319" s="163" t="s">
        <v>599</v>
      </c>
      <c r="L319" s="1"/>
      <c r="M319" s="1"/>
      <c r="N319" s="1"/>
      <c r="O319" s="1"/>
      <c r="P319" s="1"/>
      <c r="Q319" s="1"/>
      <c r="R319" s="1"/>
    </row>
    <row r="320" spans="6:18">
      <c r="F320" s="150" t="s">
        <v>807</v>
      </c>
      <c r="G320" s="4">
        <v>9.6</v>
      </c>
      <c r="H320" t="s">
        <v>207</v>
      </c>
      <c r="I320" t="s">
        <v>147</v>
      </c>
      <c r="J320" s="15"/>
      <c r="L320" s="1"/>
      <c r="M320" s="1"/>
      <c r="N320" s="1"/>
      <c r="O320" s="1"/>
      <c r="P320" s="1"/>
      <c r="Q320" s="1"/>
      <c r="R320" s="1"/>
    </row>
    <row r="321" spans="6:18">
      <c r="F321" s="150" t="s">
        <v>808</v>
      </c>
      <c r="G321" s="151">
        <v>11.6</v>
      </c>
      <c r="H321" t="s">
        <v>207</v>
      </c>
      <c r="I321" t="s">
        <v>147</v>
      </c>
      <c r="J321" s="15"/>
      <c r="L321" s="1"/>
      <c r="M321" s="1"/>
      <c r="N321" s="1"/>
      <c r="O321" s="1"/>
      <c r="P321" s="1"/>
      <c r="Q321" s="1"/>
      <c r="R321" s="1"/>
    </row>
    <row r="322" spans="6:18">
      <c r="F322" s="162" t="s">
        <v>918</v>
      </c>
      <c r="G322" s="155">
        <v>13</v>
      </c>
      <c r="H322" s="156" t="s">
        <v>146</v>
      </c>
      <c r="I322" s="156" t="s">
        <v>156</v>
      </c>
      <c r="J322" s="156" t="s">
        <v>169</v>
      </c>
      <c r="L322" s="1"/>
      <c r="M322" s="1"/>
      <c r="N322" s="1"/>
      <c r="O322" s="1"/>
      <c r="P322" s="1"/>
      <c r="Q322" s="1"/>
      <c r="R322" s="1"/>
    </row>
    <row r="323" spans="6:18">
      <c r="F323" s="162" t="s">
        <v>917</v>
      </c>
      <c r="G323" s="155">
        <v>18.600000000000001</v>
      </c>
      <c r="H323" s="156" t="s">
        <v>146</v>
      </c>
      <c r="I323" s="156" t="s">
        <v>156</v>
      </c>
      <c r="J323" s="156" t="s">
        <v>169</v>
      </c>
      <c r="L323" s="1"/>
      <c r="M323" s="1"/>
      <c r="N323" s="1"/>
      <c r="O323" s="1"/>
      <c r="P323" s="1"/>
      <c r="Q323" s="1"/>
      <c r="R323" s="1"/>
    </row>
    <row r="324" spans="6:18">
      <c r="F324" s="162" t="s">
        <v>916</v>
      </c>
      <c r="G324" s="155">
        <v>13.1</v>
      </c>
      <c r="H324" s="156" t="s">
        <v>146</v>
      </c>
      <c r="I324" s="156" t="s">
        <v>156</v>
      </c>
      <c r="J324" s="156" t="s">
        <v>169</v>
      </c>
      <c r="L324" s="1"/>
      <c r="M324" s="1"/>
      <c r="N324" s="1"/>
      <c r="O324" s="1"/>
      <c r="P324" s="1"/>
      <c r="Q324" s="1"/>
      <c r="R324" s="1"/>
    </row>
    <row r="325" spans="6:18">
      <c r="F325" s="162" t="s">
        <v>915</v>
      </c>
      <c r="G325" s="155">
        <v>21.3</v>
      </c>
      <c r="H325" s="156" t="s">
        <v>146</v>
      </c>
      <c r="I325" s="156" t="s">
        <v>156</v>
      </c>
      <c r="J325" s="156" t="s">
        <v>169</v>
      </c>
      <c r="L325" s="1"/>
      <c r="M325" s="1"/>
      <c r="N325" s="1"/>
      <c r="O325" s="1"/>
      <c r="P325" s="1"/>
      <c r="Q325" s="1"/>
      <c r="R325" s="1"/>
    </row>
    <row r="326" spans="6:18">
      <c r="F326" s="162" t="s">
        <v>914</v>
      </c>
      <c r="G326" s="155">
        <v>10.8</v>
      </c>
      <c r="H326" s="156" t="s">
        <v>146</v>
      </c>
      <c r="I326" s="156" t="s">
        <v>156</v>
      </c>
      <c r="J326" s="156" t="s">
        <v>169</v>
      </c>
      <c r="K326" s="1"/>
      <c r="L326" s="1"/>
      <c r="M326" s="1"/>
      <c r="N326" s="1"/>
      <c r="O326" s="1"/>
      <c r="P326" s="1"/>
      <c r="Q326" s="1"/>
      <c r="R326" s="1"/>
    </row>
    <row r="327" spans="6:18">
      <c r="F327" s="162" t="s">
        <v>913</v>
      </c>
      <c r="G327" s="155">
        <v>19.600000000000001</v>
      </c>
      <c r="H327" s="156" t="s">
        <v>146</v>
      </c>
      <c r="I327" s="156" t="s">
        <v>156</v>
      </c>
      <c r="J327" s="156" t="s">
        <v>169</v>
      </c>
      <c r="L327" s="1"/>
      <c r="M327" s="1"/>
      <c r="N327" s="1"/>
      <c r="O327" s="1"/>
      <c r="P327" s="1"/>
      <c r="Q327" s="1"/>
      <c r="R327" s="1"/>
    </row>
    <row r="328" spans="6:18">
      <c r="F328" s="162" t="s">
        <v>912</v>
      </c>
      <c r="G328" s="155">
        <v>10.3</v>
      </c>
      <c r="H328" s="156" t="s">
        <v>146</v>
      </c>
      <c r="I328" s="156" t="s">
        <v>156</v>
      </c>
      <c r="J328" s="156" t="s">
        <v>169</v>
      </c>
      <c r="K328" s="1"/>
      <c r="L328" s="1"/>
      <c r="M328" s="1"/>
      <c r="N328" s="1"/>
      <c r="O328" s="1"/>
      <c r="P328" s="1"/>
      <c r="Q328" s="1"/>
      <c r="R328" s="1"/>
    </row>
    <row r="329" spans="6:18">
      <c r="F329" s="162" t="s">
        <v>911</v>
      </c>
      <c r="G329" s="155">
        <v>18.600000000000001</v>
      </c>
      <c r="H329" s="156" t="s">
        <v>146</v>
      </c>
      <c r="I329" s="156" t="s">
        <v>156</v>
      </c>
      <c r="J329" s="156" t="s">
        <v>169</v>
      </c>
      <c r="K329" s="1"/>
      <c r="L329" s="1"/>
      <c r="M329" s="1"/>
      <c r="N329" s="1"/>
      <c r="O329" s="1"/>
      <c r="P329" s="1"/>
      <c r="Q329" s="1"/>
      <c r="R329" s="1"/>
    </row>
    <row r="330" spans="6:18">
      <c r="F330" s="153" t="s">
        <v>601</v>
      </c>
      <c r="G330" s="4">
        <v>13.7</v>
      </c>
      <c r="H330" t="s">
        <v>207</v>
      </c>
      <c r="I330" t="s">
        <v>147</v>
      </c>
      <c r="J330" t="s">
        <v>600</v>
      </c>
      <c r="K330" s="1"/>
      <c r="L330" s="1"/>
      <c r="M330" s="1"/>
      <c r="N330" s="1"/>
      <c r="O330" s="1"/>
      <c r="P330" s="1"/>
      <c r="Q330" s="1"/>
      <c r="R330" s="1"/>
    </row>
    <row r="331" spans="6:18">
      <c r="F331" s="153" t="s">
        <v>602</v>
      </c>
      <c r="G331" s="4">
        <v>14.1</v>
      </c>
      <c r="H331" t="s">
        <v>207</v>
      </c>
      <c r="I331" t="s">
        <v>147</v>
      </c>
      <c r="J331" t="s">
        <v>600</v>
      </c>
      <c r="L331" s="1"/>
      <c r="M331" s="1"/>
      <c r="N331" s="1"/>
      <c r="O331" s="1"/>
      <c r="P331" s="1"/>
      <c r="Q331" s="1"/>
      <c r="R331" s="1"/>
    </row>
    <row r="332" spans="6:18">
      <c r="F332" s="153" t="s">
        <v>603</v>
      </c>
      <c r="G332" s="4">
        <v>13.2</v>
      </c>
      <c r="H332" t="s">
        <v>207</v>
      </c>
      <c r="I332" t="s">
        <v>147</v>
      </c>
      <c r="J332" t="s">
        <v>600</v>
      </c>
      <c r="K332" s="1"/>
      <c r="L332" s="1"/>
      <c r="M332" s="1"/>
      <c r="N332" s="1"/>
      <c r="O332" s="1"/>
      <c r="P332" s="1"/>
      <c r="Q332" s="1"/>
      <c r="R332" s="1"/>
    </row>
    <row r="333" spans="6:18">
      <c r="F333" s="150" t="s">
        <v>805</v>
      </c>
      <c r="G333" s="151">
        <v>26.6</v>
      </c>
      <c r="H333" s="159" t="s">
        <v>207</v>
      </c>
      <c r="I333" s="159" t="s">
        <v>156</v>
      </c>
      <c r="J333" s="159"/>
      <c r="K333" s="1"/>
      <c r="L333" s="1"/>
      <c r="M333" s="1"/>
      <c r="N333" s="1"/>
      <c r="O333" s="1"/>
      <c r="P333" s="1"/>
      <c r="Q333" s="1"/>
      <c r="R333" s="1"/>
    </row>
    <row r="334" spans="6:18">
      <c r="F334" s="150" t="s">
        <v>806</v>
      </c>
      <c r="G334" s="151">
        <v>17.8</v>
      </c>
      <c r="H334" s="159" t="s">
        <v>207</v>
      </c>
      <c r="I334" s="159" t="s">
        <v>156</v>
      </c>
      <c r="J334" s="159"/>
      <c r="K334" s="1"/>
      <c r="L334" s="1"/>
      <c r="M334" s="1"/>
      <c r="N334" s="1"/>
      <c r="O334" s="1"/>
      <c r="P334" s="1"/>
      <c r="Q334" s="1"/>
      <c r="R334" s="1"/>
    </row>
    <row r="335" spans="6:18">
      <c r="F335" s="153" t="s">
        <v>189</v>
      </c>
      <c r="G335" s="4">
        <v>14.4</v>
      </c>
      <c r="H335" t="s">
        <v>207</v>
      </c>
      <c r="I335" t="s">
        <v>156</v>
      </c>
      <c r="J335" s="1"/>
      <c r="L335" s="1"/>
      <c r="M335" s="1"/>
      <c r="N335" s="1"/>
      <c r="O335" s="1"/>
      <c r="P335" s="1"/>
      <c r="Q335" s="1"/>
      <c r="R335" s="1"/>
    </row>
    <row r="336" spans="6:18">
      <c r="F336" s="153" t="s">
        <v>581</v>
      </c>
      <c r="G336" s="4">
        <v>9.4</v>
      </c>
      <c r="H336" t="s">
        <v>207</v>
      </c>
      <c r="I336" t="s">
        <v>156</v>
      </c>
      <c r="J336" s="15" t="s">
        <v>582</v>
      </c>
      <c r="K336" s="1"/>
      <c r="L336" s="1"/>
      <c r="M336" s="1"/>
      <c r="N336" s="1"/>
      <c r="O336" s="1"/>
      <c r="P336" s="1"/>
      <c r="Q336" s="1"/>
      <c r="R336" s="1"/>
    </row>
    <row r="337" spans="6:18">
      <c r="F337" s="153" t="s">
        <v>583</v>
      </c>
      <c r="G337" s="4">
        <v>15.6</v>
      </c>
      <c r="H337" t="s">
        <v>207</v>
      </c>
      <c r="I337" t="s">
        <v>156</v>
      </c>
      <c r="J337" s="15" t="s">
        <v>582</v>
      </c>
      <c r="K337" s="1"/>
      <c r="L337" s="1"/>
      <c r="M337" s="1"/>
      <c r="N337" s="1"/>
      <c r="O337" s="1"/>
      <c r="P337" s="1"/>
      <c r="Q337" s="1"/>
      <c r="R337" s="1"/>
    </row>
    <row r="338" spans="6:18">
      <c r="F338" s="153" t="s">
        <v>584</v>
      </c>
      <c r="G338" s="4">
        <v>16.7</v>
      </c>
      <c r="H338" t="s">
        <v>207</v>
      </c>
      <c r="I338" t="s">
        <v>156</v>
      </c>
      <c r="J338" s="15" t="s">
        <v>582</v>
      </c>
      <c r="K338" s="1"/>
      <c r="L338" s="1"/>
      <c r="M338" s="1"/>
      <c r="N338" s="1"/>
      <c r="O338" s="1"/>
      <c r="P338" s="1"/>
      <c r="Q338" s="1"/>
      <c r="R338" s="1"/>
    </row>
    <row r="339" spans="6:18">
      <c r="F339" s="153" t="s">
        <v>585</v>
      </c>
      <c r="G339" s="4">
        <v>17.8</v>
      </c>
      <c r="H339" t="s">
        <v>207</v>
      </c>
      <c r="I339" t="s">
        <v>156</v>
      </c>
      <c r="J339" s="15" t="s">
        <v>582</v>
      </c>
      <c r="L339" s="1"/>
      <c r="M339" s="1"/>
      <c r="N339" s="1"/>
      <c r="O339" s="1"/>
      <c r="P339" s="1"/>
      <c r="Q339" s="1"/>
      <c r="R339" s="1"/>
    </row>
    <row r="340" spans="6:18">
      <c r="F340" s="153" t="s">
        <v>190</v>
      </c>
      <c r="G340" s="4">
        <v>24</v>
      </c>
      <c r="H340" t="s">
        <v>207</v>
      </c>
      <c r="I340" t="s">
        <v>156</v>
      </c>
      <c r="J340" s="1"/>
      <c r="K340" s="1"/>
      <c r="L340" s="1"/>
      <c r="M340" s="1"/>
      <c r="N340" s="1"/>
      <c r="O340" s="1"/>
      <c r="P340" s="1"/>
      <c r="Q340" s="1"/>
      <c r="R340" s="1"/>
    </row>
    <row r="341" spans="6:18">
      <c r="F341" s="153" t="s">
        <v>191</v>
      </c>
      <c r="G341" s="4">
        <v>25.8</v>
      </c>
      <c r="H341" t="s">
        <v>207</v>
      </c>
      <c r="I341" t="s">
        <v>156</v>
      </c>
      <c r="J341" s="1"/>
      <c r="K341" s="1"/>
      <c r="L341" s="1"/>
      <c r="M341" s="1"/>
      <c r="N341" s="1"/>
      <c r="O341" s="1"/>
      <c r="P341" s="1"/>
      <c r="Q341" s="1"/>
      <c r="R341" s="1"/>
    </row>
    <row r="342" spans="6:18">
      <c r="F342" s="153" t="s">
        <v>192</v>
      </c>
      <c r="G342" s="4">
        <v>27.4</v>
      </c>
      <c r="H342" t="s">
        <v>207</v>
      </c>
      <c r="I342" t="s">
        <v>156</v>
      </c>
      <c r="J342" s="1"/>
      <c r="K342" s="1"/>
      <c r="L342" s="1"/>
      <c r="M342" s="1"/>
      <c r="N342" s="1"/>
      <c r="O342" s="1"/>
      <c r="P342" s="1"/>
      <c r="Q342" s="1"/>
      <c r="R342" s="1"/>
    </row>
    <row r="343" spans="6:18">
      <c r="F343" s="153" t="s">
        <v>193</v>
      </c>
      <c r="G343" s="4">
        <v>14.2</v>
      </c>
      <c r="H343" t="s">
        <v>207</v>
      </c>
      <c r="I343" t="s">
        <v>156</v>
      </c>
      <c r="J343" s="1"/>
      <c r="L343" s="1"/>
      <c r="M343" s="1"/>
      <c r="N343" s="1"/>
      <c r="O343" s="1"/>
      <c r="P343" s="1"/>
      <c r="Q343" s="1"/>
      <c r="R343" s="1"/>
    </row>
    <row r="344" spans="6:18">
      <c r="F344" s="153" t="s">
        <v>586</v>
      </c>
      <c r="G344" s="4">
        <v>9.1999999999999993</v>
      </c>
      <c r="H344" t="s">
        <v>207</v>
      </c>
      <c r="I344" t="s">
        <v>156</v>
      </c>
      <c r="J344" s="15" t="s">
        <v>582</v>
      </c>
      <c r="K344" s="1"/>
      <c r="L344" s="1"/>
      <c r="M344" s="1"/>
      <c r="N344" s="1"/>
      <c r="O344" s="1"/>
      <c r="P344" s="1"/>
      <c r="Q344" s="1"/>
      <c r="R344" s="1"/>
    </row>
    <row r="345" spans="6:18">
      <c r="F345" s="153" t="s">
        <v>587</v>
      </c>
      <c r="G345" s="4">
        <v>14</v>
      </c>
      <c r="H345" t="s">
        <v>207</v>
      </c>
      <c r="I345" t="s">
        <v>156</v>
      </c>
      <c r="J345" s="15" t="s">
        <v>582</v>
      </c>
      <c r="K345" s="1"/>
      <c r="L345" s="1"/>
      <c r="M345" s="1"/>
      <c r="N345" s="1"/>
      <c r="O345" s="1"/>
      <c r="P345" s="1"/>
      <c r="Q345" s="1"/>
      <c r="R345" s="1"/>
    </row>
    <row r="346" spans="6:18">
      <c r="F346" s="153" t="s">
        <v>588</v>
      </c>
      <c r="G346" s="4">
        <v>17.5</v>
      </c>
      <c r="H346" t="s">
        <v>207</v>
      </c>
      <c r="I346" t="s">
        <v>156</v>
      </c>
      <c r="J346" s="15" t="s">
        <v>582</v>
      </c>
      <c r="K346" s="1"/>
      <c r="L346" s="1"/>
      <c r="M346" s="1"/>
      <c r="N346" s="1"/>
      <c r="O346" s="1"/>
      <c r="P346" s="1"/>
      <c r="Q346" s="1"/>
      <c r="R346" s="1"/>
    </row>
    <row r="347" spans="6:18">
      <c r="F347" s="153" t="s">
        <v>589</v>
      </c>
      <c r="G347" s="4">
        <v>17.899999999999999</v>
      </c>
      <c r="H347" t="s">
        <v>207</v>
      </c>
      <c r="I347" t="s">
        <v>156</v>
      </c>
      <c r="J347" s="15" t="s">
        <v>582</v>
      </c>
      <c r="K347" s="1"/>
      <c r="L347" s="1"/>
      <c r="M347" s="1"/>
      <c r="N347" s="1"/>
      <c r="O347" s="1"/>
      <c r="P347" s="1"/>
      <c r="Q347" s="1"/>
      <c r="R347" s="1"/>
    </row>
    <row r="348" spans="6:18">
      <c r="F348" s="153" t="s">
        <v>194</v>
      </c>
      <c r="G348" s="4">
        <v>21.5</v>
      </c>
      <c r="H348" t="s">
        <v>207</v>
      </c>
      <c r="I348" t="s">
        <v>156</v>
      </c>
      <c r="J348" s="1"/>
      <c r="K348" s="15"/>
      <c r="L348" s="15"/>
      <c r="M348" s="15"/>
      <c r="N348" s="1"/>
      <c r="O348" s="1"/>
      <c r="P348" s="1"/>
      <c r="Q348" s="1"/>
      <c r="R348" s="1"/>
    </row>
    <row r="349" spans="6:18">
      <c r="F349" s="153" t="s">
        <v>195</v>
      </c>
      <c r="G349" s="4">
        <v>27</v>
      </c>
      <c r="H349" t="s">
        <v>207</v>
      </c>
      <c r="I349" t="s">
        <v>156</v>
      </c>
      <c r="J349" s="1"/>
      <c r="K349" s="15"/>
      <c r="L349" s="15"/>
      <c r="M349" s="15"/>
      <c r="N349" s="1"/>
      <c r="O349" s="1"/>
      <c r="P349" s="1"/>
      <c r="Q349" s="1"/>
      <c r="R349" s="1"/>
    </row>
    <row r="350" spans="6:18">
      <c r="F350" s="153" t="s">
        <v>196</v>
      </c>
      <c r="G350" s="4">
        <v>27.6</v>
      </c>
      <c r="H350" t="s">
        <v>207</v>
      </c>
      <c r="I350" t="s">
        <v>156</v>
      </c>
      <c r="J350" s="1"/>
      <c r="K350" s="15"/>
      <c r="L350" s="15"/>
      <c r="M350" s="15"/>
      <c r="N350" s="1"/>
      <c r="O350" s="1"/>
      <c r="P350" s="1"/>
      <c r="Q350" s="1"/>
      <c r="R350" s="1"/>
    </row>
    <row r="351" spans="6:18">
      <c r="F351" s="157" t="s">
        <v>197</v>
      </c>
      <c r="G351" s="4">
        <v>11.7</v>
      </c>
      <c r="H351" t="s">
        <v>207</v>
      </c>
      <c r="I351" t="s">
        <v>156</v>
      </c>
      <c r="J351" s="1"/>
      <c r="K351" s="15"/>
      <c r="L351" s="15"/>
      <c r="M351" s="15"/>
      <c r="N351" s="1"/>
      <c r="O351" s="1"/>
      <c r="P351" s="1"/>
      <c r="Q351" s="1"/>
      <c r="R351" s="1"/>
    </row>
    <row r="352" spans="6:18">
      <c r="F352" s="153" t="s">
        <v>198</v>
      </c>
      <c r="G352" s="4">
        <v>17.5</v>
      </c>
      <c r="H352" t="s">
        <v>207</v>
      </c>
      <c r="I352" t="s">
        <v>156</v>
      </c>
      <c r="J352" s="1"/>
      <c r="L352" s="1"/>
      <c r="M352" s="1"/>
      <c r="N352" s="1"/>
      <c r="O352" s="1"/>
      <c r="P352" s="1"/>
      <c r="Q352" s="1"/>
      <c r="R352" s="1"/>
    </row>
    <row r="353" spans="6:18">
      <c r="F353" s="153" t="s">
        <v>199</v>
      </c>
      <c r="G353" s="4">
        <v>25.2</v>
      </c>
      <c r="H353" t="s">
        <v>207</v>
      </c>
      <c r="I353" t="s">
        <v>156</v>
      </c>
      <c r="J353" s="1"/>
      <c r="L353" s="1"/>
      <c r="M353" s="1"/>
      <c r="N353" s="1"/>
      <c r="O353" s="1"/>
      <c r="P353" s="1"/>
      <c r="Q353" s="1"/>
      <c r="R353" s="1"/>
    </row>
    <row r="354" spans="6:18">
      <c r="F354" s="153" t="s">
        <v>200</v>
      </c>
      <c r="G354" s="4">
        <v>26.5</v>
      </c>
      <c r="H354" t="s">
        <v>207</v>
      </c>
      <c r="I354" t="s">
        <v>156</v>
      </c>
      <c r="J354" s="1"/>
      <c r="L354" s="1"/>
      <c r="M354" s="1"/>
      <c r="N354" s="1"/>
      <c r="O354" s="1"/>
      <c r="P354" s="1"/>
      <c r="Q354" s="1"/>
      <c r="R354" s="1"/>
    </row>
    <row r="355" spans="6:18">
      <c r="F355" s="153" t="s">
        <v>590</v>
      </c>
      <c r="G355" s="4">
        <v>7.6</v>
      </c>
      <c r="H355" t="s">
        <v>207</v>
      </c>
      <c r="I355" t="s">
        <v>156</v>
      </c>
      <c r="J355" s="15" t="s">
        <v>582</v>
      </c>
      <c r="K355" s="1"/>
      <c r="L355" s="1"/>
      <c r="M355" s="1"/>
      <c r="N355" s="1"/>
      <c r="O355" s="1"/>
      <c r="P355" s="1"/>
      <c r="Q355" s="1"/>
      <c r="R355" s="1"/>
    </row>
    <row r="356" spans="6:18">
      <c r="F356" s="153" t="s">
        <v>591</v>
      </c>
      <c r="G356" s="4">
        <v>11.3</v>
      </c>
      <c r="H356" t="s">
        <v>207</v>
      </c>
      <c r="I356" t="s">
        <v>156</v>
      </c>
      <c r="J356" s="15" t="s">
        <v>582</v>
      </c>
      <c r="K356" s="1"/>
      <c r="L356" s="1"/>
      <c r="M356" s="1"/>
      <c r="N356" s="1"/>
      <c r="O356" s="1"/>
      <c r="P356" s="1"/>
      <c r="Q356" s="1"/>
      <c r="R356" s="1"/>
    </row>
    <row r="357" spans="6:18">
      <c r="F357" s="153" t="s">
        <v>592</v>
      </c>
      <c r="G357" s="4">
        <v>16.3</v>
      </c>
      <c r="H357" t="s">
        <v>207</v>
      </c>
      <c r="I357" t="s">
        <v>156</v>
      </c>
      <c r="J357" s="15" t="s">
        <v>582</v>
      </c>
      <c r="K357" s="1"/>
      <c r="L357" s="1"/>
      <c r="M357" s="1"/>
      <c r="N357" s="1"/>
      <c r="O357" s="1"/>
      <c r="P357" s="1"/>
      <c r="Q357" s="1"/>
      <c r="R357" s="1"/>
    </row>
    <row r="358" spans="6:18">
      <c r="F358" s="153" t="s">
        <v>593</v>
      </c>
      <c r="G358" s="4">
        <v>17.2</v>
      </c>
      <c r="H358" t="s">
        <v>207</v>
      </c>
      <c r="I358" t="s">
        <v>156</v>
      </c>
      <c r="J358" s="15" t="s">
        <v>582</v>
      </c>
      <c r="K358" s="1"/>
      <c r="L358" s="1"/>
      <c r="M358" s="1"/>
      <c r="N358" s="1"/>
      <c r="O358" s="1"/>
      <c r="P358" s="1"/>
      <c r="Q358" s="1"/>
      <c r="R358" s="1"/>
    </row>
    <row r="359" spans="6:18">
      <c r="F359" s="153" t="s">
        <v>201</v>
      </c>
      <c r="G359" s="4">
        <v>13.1</v>
      </c>
      <c r="H359" t="s">
        <v>207</v>
      </c>
      <c r="I359" t="s">
        <v>156</v>
      </c>
      <c r="J359" s="1"/>
      <c r="K359" s="1"/>
      <c r="L359" s="1"/>
      <c r="M359" s="1"/>
      <c r="N359" s="1"/>
      <c r="O359" s="1"/>
      <c r="P359" s="1"/>
      <c r="Q359" s="1"/>
      <c r="R359" s="1"/>
    </row>
    <row r="360" spans="6:18">
      <c r="F360" s="153" t="s">
        <v>202</v>
      </c>
      <c r="G360" s="4">
        <v>20.7</v>
      </c>
      <c r="H360" t="s">
        <v>207</v>
      </c>
      <c r="I360" t="s">
        <v>156</v>
      </c>
      <c r="J360" s="1"/>
      <c r="K360" s="1"/>
      <c r="L360" s="1"/>
      <c r="M360" s="1"/>
      <c r="N360" s="1"/>
      <c r="O360" s="1"/>
      <c r="P360" s="1"/>
      <c r="Q360" s="1"/>
      <c r="R360" s="1"/>
    </row>
    <row r="361" spans="6:18">
      <c r="F361" s="153" t="s">
        <v>594</v>
      </c>
      <c r="G361" s="4">
        <v>8.5</v>
      </c>
      <c r="H361" t="s">
        <v>207</v>
      </c>
      <c r="I361" t="s">
        <v>156</v>
      </c>
      <c r="J361" s="15" t="s">
        <v>582</v>
      </c>
      <c r="K361" s="1"/>
      <c r="L361" s="1"/>
      <c r="M361" s="1"/>
      <c r="N361" s="1"/>
      <c r="O361" s="1"/>
      <c r="P361" s="1"/>
      <c r="Q361" s="1"/>
      <c r="R361" s="1"/>
    </row>
    <row r="362" spans="6:18">
      <c r="F362" s="153" t="s">
        <v>595</v>
      </c>
      <c r="G362" s="4">
        <v>13.4</v>
      </c>
      <c r="H362" t="s">
        <v>207</v>
      </c>
      <c r="I362" t="s">
        <v>156</v>
      </c>
      <c r="J362" s="15" t="s">
        <v>582</v>
      </c>
      <c r="K362" s="1"/>
      <c r="L362" s="1"/>
      <c r="M362" s="1"/>
      <c r="N362" s="1"/>
      <c r="O362" s="1"/>
      <c r="P362" s="1"/>
      <c r="Q362" s="1"/>
      <c r="R362" s="1"/>
    </row>
    <row r="363" spans="6:18">
      <c r="F363" s="153" t="s">
        <v>596</v>
      </c>
      <c r="G363" s="4">
        <v>16.899999999999999</v>
      </c>
      <c r="H363" t="s">
        <v>207</v>
      </c>
      <c r="I363" t="s">
        <v>156</v>
      </c>
      <c r="J363" s="15" t="s">
        <v>582</v>
      </c>
      <c r="K363" s="1"/>
      <c r="L363" s="1"/>
      <c r="M363" s="1"/>
      <c r="N363" s="1"/>
      <c r="O363" s="1"/>
      <c r="P363" s="1"/>
      <c r="Q363" s="1"/>
      <c r="R363" s="1"/>
    </row>
    <row r="364" spans="6:18">
      <c r="F364" s="153" t="s">
        <v>597</v>
      </c>
      <c r="G364" s="4">
        <v>17.600000000000001</v>
      </c>
      <c r="H364" t="s">
        <v>207</v>
      </c>
      <c r="I364" t="s">
        <v>156</v>
      </c>
      <c r="J364" s="15" t="s">
        <v>582</v>
      </c>
      <c r="K364" s="1"/>
      <c r="L364" s="1"/>
      <c r="M364" s="1"/>
      <c r="N364" s="1"/>
      <c r="O364" s="1"/>
      <c r="P364" s="1"/>
      <c r="Q364" s="1"/>
      <c r="R364" s="1"/>
    </row>
    <row r="365" spans="6:18">
      <c r="F365" s="153" t="s">
        <v>203</v>
      </c>
      <c r="G365" s="4">
        <v>26</v>
      </c>
      <c r="H365" t="s">
        <v>207</v>
      </c>
      <c r="I365" t="s">
        <v>156</v>
      </c>
      <c r="J365" s="1"/>
      <c r="K365" s="1"/>
      <c r="L365" s="1"/>
      <c r="M365" s="1"/>
      <c r="N365" s="1"/>
      <c r="O365" s="1"/>
      <c r="P365" s="1"/>
      <c r="Q365" s="1"/>
      <c r="R365" s="1"/>
    </row>
    <row r="366" spans="6:18">
      <c r="F366" s="153" t="s">
        <v>204</v>
      </c>
      <c r="G366" s="4">
        <v>27.1</v>
      </c>
      <c r="H366" t="s">
        <v>207</v>
      </c>
      <c r="I366" t="s">
        <v>156</v>
      </c>
      <c r="J366" s="1"/>
      <c r="K366" s="1"/>
      <c r="L366" s="1"/>
      <c r="M366" s="1"/>
      <c r="N366" s="1"/>
      <c r="O366" s="1"/>
      <c r="P366" s="1"/>
      <c r="Q366" s="1"/>
      <c r="R366" s="1"/>
    </row>
    <row r="367" spans="6:18">
      <c r="F367" s="153" t="s">
        <v>345</v>
      </c>
      <c r="G367" s="4">
        <v>14.1</v>
      </c>
      <c r="H367" t="s">
        <v>208</v>
      </c>
      <c r="I367" t="s">
        <v>156</v>
      </c>
      <c r="K367" s="1"/>
      <c r="L367" s="1"/>
      <c r="M367" s="1"/>
      <c r="N367" s="1"/>
      <c r="O367" s="1"/>
      <c r="P367" s="1"/>
      <c r="Q367" s="1"/>
      <c r="R367" s="1"/>
    </row>
    <row r="368" spans="6:18">
      <c r="F368" s="153" t="s">
        <v>346</v>
      </c>
      <c r="G368" s="4">
        <v>18.2</v>
      </c>
      <c r="H368" t="s">
        <v>208</v>
      </c>
      <c r="I368" t="s">
        <v>156</v>
      </c>
      <c r="K368" s="1"/>
      <c r="L368" s="1"/>
      <c r="M368" s="1"/>
      <c r="N368" s="1"/>
      <c r="O368" s="1"/>
      <c r="P368" s="1"/>
      <c r="Q368" s="1"/>
      <c r="R368" s="1"/>
    </row>
    <row r="369" spans="6:18">
      <c r="F369" s="153" t="s">
        <v>347</v>
      </c>
      <c r="G369" s="4">
        <v>24</v>
      </c>
      <c r="H369" t="s">
        <v>208</v>
      </c>
      <c r="I369" t="s">
        <v>156</v>
      </c>
      <c r="K369" s="1"/>
      <c r="L369" s="1"/>
      <c r="M369" s="1"/>
      <c r="N369" s="1"/>
      <c r="O369" s="1"/>
      <c r="P369" s="1"/>
      <c r="Q369" s="1"/>
      <c r="R369" s="1"/>
    </row>
    <row r="370" spans="6:18">
      <c r="F370" s="153" t="s">
        <v>348</v>
      </c>
      <c r="G370" s="4">
        <v>27</v>
      </c>
      <c r="H370" t="s">
        <v>208</v>
      </c>
      <c r="I370" t="s">
        <v>156</v>
      </c>
      <c r="K370" s="1"/>
      <c r="L370" s="1"/>
      <c r="M370" s="1"/>
      <c r="N370" s="1"/>
      <c r="O370" s="1"/>
      <c r="P370" s="1"/>
      <c r="Q370" s="1"/>
      <c r="R370" s="1"/>
    </row>
    <row r="371" spans="6:18">
      <c r="F371" s="153" t="s">
        <v>349</v>
      </c>
      <c r="G371" s="4">
        <v>14.5</v>
      </c>
      <c r="H371" t="s">
        <v>208</v>
      </c>
      <c r="I371" t="s">
        <v>156</v>
      </c>
      <c r="K371" s="15"/>
      <c r="L371" s="15"/>
      <c r="M371" s="15"/>
      <c r="N371" s="15"/>
      <c r="O371" s="1"/>
      <c r="P371" s="1"/>
      <c r="Q371" s="1"/>
      <c r="R371" s="1"/>
    </row>
    <row r="372" spans="6:18">
      <c r="F372" s="153" t="s">
        <v>350</v>
      </c>
      <c r="G372" s="4">
        <v>19.600000000000001</v>
      </c>
      <c r="H372" t="s">
        <v>208</v>
      </c>
      <c r="I372" t="s">
        <v>156</v>
      </c>
      <c r="K372" s="15"/>
      <c r="L372" s="15"/>
      <c r="M372" s="15"/>
      <c r="N372" s="15"/>
      <c r="O372" s="1"/>
      <c r="P372" s="1"/>
      <c r="Q372" s="1"/>
      <c r="R372" s="1"/>
    </row>
    <row r="373" spans="6:18">
      <c r="F373" s="153" t="s">
        <v>351</v>
      </c>
      <c r="G373" s="4">
        <v>24.8</v>
      </c>
      <c r="H373" t="s">
        <v>208</v>
      </c>
      <c r="I373" t="s">
        <v>156</v>
      </c>
      <c r="K373" s="15"/>
      <c r="L373" s="15"/>
      <c r="M373" s="15"/>
      <c r="N373" s="15"/>
      <c r="O373" s="1"/>
      <c r="P373" s="1"/>
      <c r="Q373" s="1"/>
      <c r="R373" s="1"/>
    </row>
    <row r="374" spans="6:18">
      <c r="F374" s="153" t="s">
        <v>352</v>
      </c>
      <c r="G374" s="4">
        <v>27.3</v>
      </c>
      <c r="H374" t="s">
        <v>208</v>
      </c>
      <c r="I374" t="s">
        <v>156</v>
      </c>
      <c r="K374" s="15"/>
      <c r="L374" s="15"/>
      <c r="M374" s="15"/>
      <c r="N374" s="15"/>
      <c r="O374" s="1"/>
      <c r="P374" s="1"/>
      <c r="Q374" s="1"/>
      <c r="R374" s="1"/>
    </row>
    <row r="375" spans="6:18">
      <c r="F375" s="153" t="s">
        <v>353</v>
      </c>
      <c r="G375" s="4">
        <v>13.8</v>
      </c>
      <c r="H375" t="s">
        <v>208</v>
      </c>
      <c r="I375" t="s">
        <v>156</v>
      </c>
      <c r="K375" s="15"/>
      <c r="L375" s="15"/>
      <c r="M375" s="15"/>
      <c r="N375" s="15"/>
      <c r="O375" s="1"/>
      <c r="P375" s="1"/>
      <c r="Q375" s="1"/>
      <c r="R375" s="1"/>
    </row>
    <row r="376" spans="6:18">
      <c r="F376" s="153" t="s">
        <v>354</v>
      </c>
      <c r="G376" s="4">
        <v>18.7</v>
      </c>
      <c r="H376" t="s">
        <v>208</v>
      </c>
      <c r="I376" t="s">
        <v>156</v>
      </c>
      <c r="K376" s="15"/>
      <c r="L376" s="15"/>
      <c r="M376" s="15"/>
      <c r="N376" s="15"/>
      <c r="O376" s="1"/>
      <c r="P376" s="1"/>
      <c r="Q376" s="1"/>
      <c r="R376" s="1"/>
    </row>
    <row r="377" spans="6:18">
      <c r="F377" s="153" t="s">
        <v>355</v>
      </c>
      <c r="G377" s="4">
        <v>26.2</v>
      </c>
      <c r="H377" t="s">
        <v>208</v>
      </c>
      <c r="I377" t="s">
        <v>156</v>
      </c>
      <c r="K377" s="15"/>
      <c r="L377" s="15"/>
      <c r="M377" s="15"/>
      <c r="N377" s="15"/>
      <c r="O377" s="1"/>
      <c r="P377" s="1"/>
      <c r="Q377" s="1"/>
      <c r="R377" s="1"/>
    </row>
    <row r="378" spans="6:18">
      <c r="F378" s="153" t="s">
        <v>356</v>
      </c>
      <c r="G378" s="4">
        <v>30.1</v>
      </c>
      <c r="H378" t="s">
        <v>208</v>
      </c>
      <c r="I378" t="s">
        <v>156</v>
      </c>
      <c r="K378" s="15"/>
      <c r="L378" s="15"/>
      <c r="M378" s="15"/>
      <c r="N378" s="15"/>
      <c r="O378" s="1"/>
      <c r="P378" s="1"/>
      <c r="Q378" s="1"/>
      <c r="R378" s="1"/>
    </row>
    <row r="379" spans="6:18">
      <c r="F379" s="153" t="s">
        <v>364</v>
      </c>
      <c r="G379" s="4">
        <v>12.6</v>
      </c>
      <c r="H379" t="s">
        <v>208</v>
      </c>
      <c r="I379" t="s">
        <v>156</v>
      </c>
      <c r="K379" s="15"/>
      <c r="L379" s="15"/>
      <c r="M379" s="15"/>
      <c r="N379" s="15"/>
      <c r="O379" s="1"/>
      <c r="P379" s="1"/>
      <c r="Q379" s="1"/>
      <c r="R379" s="1"/>
    </row>
    <row r="380" spans="6:18">
      <c r="F380" s="153" t="s">
        <v>361</v>
      </c>
      <c r="G380" s="4">
        <v>18.7</v>
      </c>
      <c r="H380" t="s">
        <v>208</v>
      </c>
      <c r="I380" t="s">
        <v>156</v>
      </c>
      <c r="K380" s="15"/>
      <c r="L380" s="15"/>
      <c r="M380" s="15"/>
      <c r="N380" s="15"/>
      <c r="O380" s="1"/>
      <c r="P380" s="1"/>
      <c r="Q380" s="1"/>
      <c r="R380" s="1"/>
    </row>
    <row r="381" spans="6:18">
      <c r="F381" s="153" t="s">
        <v>362</v>
      </c>
      <c r="G381" s="4">
        <v>23</v>
      </c>
      <c r="H381" t="s">
        <v>208</v>
      </c>
      <c r="I381" t="s">
        <v>156</v>
      </c>
      <c r="K381" s="15"/>
      <c r="L381" s="15"/>
      <c r="M381" s="15"/>
      <c r="N381" s="15"/>
      <c r="O381" s="1"/>
      <c r="P381" s="1"/>
      <c r="Q381" s="1"/>
      <c r="R381" s="1"/>
    </row>
    <row r="382" spans="6:18">
      <c r="F382" s="153" t="s">
        <v>363</v>
      </c>
      <c r="G382" s="4">
        <v>26.7</v>
      </c>
      <c r="H382" t="s">
        <v>208</v>
      </c>
      <c r="I382" t="s">
        <v>156</v>
      </c>
      <c r="K382" s="15"/>
      <c r="L382" s="15"/>
      <c r="M382" s="15"/>
      <c r="N382" s="15"/>
      <c r="O382" s="1"/>
      <c r="P382" s="1"/>
      <c r="Q382" s="1"/>
      <c r="R382" s="1"/>
    </row>
    <row r="383" spans="6:18">
      <c r="F383" s="153" t="s">
        <v>357</v>
      </c>
      <c r="G383" s="4">
        <v>15</v>
      </c>
      <c r="H383" t="s">
        <v>208</v>
      </c>
      <c r="I383" t="s">
        <v>156</v>
      </c>
      <c r="K383" s="15"/>
      <c r="L383" s="15"/>
      <c r="M383" s="15"/>
      <c r="N383" s="15"/>
      <c r="O383" s="1"/>
      <c r="P383" s="1"/>
      <c r="Q383" s="1"/>
      <c r="R383" s="1"/>
    </row>
    <row r="384" spans="6:18">
      <c r="F384" s="153" t="s">
        <v>358</v>
      </c>
      <c r="G384" s="4">
        <v>18.399999999999999</v>
      </c>
      <c r="H384" t="s">
        <v>208</v>
      </c>
      <c r="I384" t="s">
        <v>156</v>
      </c>
      <c r="K384" s="15"/>
      <c r="L384" s="15"/>
      <c r="M384" s="15"/>
      <c r="N384" s="15"/>
      <c r="O384" s="1"/>
      <c r="P384" s="1"/>
      <c r="Q384" s="1"/>
      <c r="R384" s="1"/>
    </row>
    <row r="385" spans="6:18">
      <c r="F385" s="153" t="s">
        <v>359</v>
      </c>
      <c r="G385" s="4">
        <v>23.2</v>
      </c>
      <c r="H385" t="s">
        <v>208</v>
      </c>
      <c r="I385" t="s">
        <v>156</v>
      </c>
      <c r="K385" s="15"/>
      <c r="L385" s="15"/>
      <c r="M385" s="15"/>
      <c r="N385" s="15"/>
      <c r="O385" s="1"/>
      <c r="P385" s="1"/>
      <c r="Q385" s="1"/>
      <c r="R385" s="1"/>
    </row>
    <row r="386" spans="6:18">
      <c r="F386" s="153" t="s">
        <v>360</v>
      </c>
      <c r="G386" s="4">
        <v>29.6</v>
      </c>
      <c r="H386" t="s">
        <v>208</v>
      </c>
      <c r="I386" t="s">
        <v>156</v>
      </c>
      <c r="K386" s="15"/>
      <c r="L386" s="15"/>
      <c r="M386" s="15"/>
      <c r="N386" s="15"/>
      <c r="O386" s="1"/>
      <c r="P386" s="1"/>
      <c r="Q386" s="1"/>
      <c r="R386" s="1"/>
    </row>
    <row r="387" spans="6:18">
      <c r="F387" s="3" t="s">
        <v>309</v>
      </c>
      <c r="G387" s="151">
        <v>13</v>
      </c>
      <c r="H387" t="s">
        <v>208</v>
      </c>
      <c r="I387" t="s">
        <v>147</v>
      </c>
      <c r="J387" t="s">
        <v>320</v>
      </c>
      <c r="K387" s="15"/>
      <c r="L387" s="15"/>
      <c r="M387" s="15"/>
      <c r="N387" s="1"/>
      <c r="O387" s="1"/>
      <c r="P387" s="1"/>
      <c r="Q387" s="1"/>
      <c r="R387" s="1"/>
    </row>
    <row r="388" spans="6:18">
      <c r="F388" s="153" t="s">
        <v>308</v>
      </c>
      <c r="G388" s="4">
        <v>13</v>
      </c>
      <c r="H388" t="s">
        <v>208</v>
      </c>
      <c r="I388" t="s">
        <v>147</v>
      </c>
      <c r="J388" t="s">
        <v>316</v>
      </c>
      <c r="K388" s="15"/>
      <c r="L388" s="15"/>
      <c r="M388" s="15"/>
      <c r="N388" s="1"/>
      <c r="O388" s="1"/>
      <c r="P388" s="1"/>
      <c r="Q388" s="1"/>
      <c r="R388" s="1"/>
    </row>
    <row r="389" spans="6:18">
      <c r="F389" s="160" t="s">
        <v>999</v>
      </c>
      <c r="G389" s="161">
        <v>14.9</v>
      </c>
      <c r="H389" s="162" t="s">
        <v>208</v>
      </c>
      <c r="I389" s="162" t="s">
        <v>147</v>
      </c>
      <c r="J389" t="s">
        <v>320</v>
      </c>
      <c r="K389" s="1"/>
      <c r="L389" s="1"/>
      <c r="M389" s="1"/>
      <c r="N389" s="1"/>
      <c r="O389" s="1"/>
      <c r="P389" s="1"/>
      <c r="Q389" s="1"/>
      <c r="R389" s="1"/>
    </row>
    <row r="390" spans="6:18">
      <c r="F390" s="153" t="s">
        <v>311</v>
      </c>
      <c r="G390" s="4">
        <v>19</v>
      </c>
      <c r="H390" t="s">
        <v>208</v>
      </c>
      <c r="I390" t="s">
        <v>147</v>
      </c>
      <c r="J390" t="s">
        <v>320</v>
      </c>
      <c r="K390" s="1"/>
      <c r="L390" s="1"/>
      <c r="M390" s="1"/>
      <c r="N390" s="1"/>
      <c r="O390" s="1"/>
      <c r="P390" s="1"/>
      <c r="Q390" s="1"/>
      <c r="R390" s="1"/>
    </row>
    <row r="391" spans="6:18">
      <c r="F391" s="3" t="s">
        <v>310</v>
      </c>
      <c r="G391" s="151">
        <v>16</v>
      </c>
      <c r="H391" t="s">
        <v>208</v>
      </c>
      <c r="I391" t="s">
        <v>147</v>
      </c>
      <c r="J391" t="s">
        <v>320</v>
      </c>
      <c r="K391" s="1"/>
      <c r="L391" s="1"/>
      <c r="M391" s="1"/>
      <c r="N391" s="1"/>
      <c r="O391" s="1"/>
      <c r="P391" s="1"/>
      <c r="Q391" s="1"/>
      <c r="R391" s="1"/>
    </row>
    <row r="392" spans="6:18">
      <c r="F392" s="160" t="s">
        <v>1000</v>
      </c>
      <c r="G392" s="155">
        <v>20</v>
      </c>
      <c r="H392" s="156" t="s">
        <v>208</v>
      </c>
      <c r="I392" s="156" t="s">
        <v>147</v>
      </c>
      <c r="J392" t="s">
        <v>320</v>
      </c>
      <c r="K392" s="1"/>
      <c r="L392" s="1"/>
      <c r="M392" s="1"/>
      <c r="N392" s="1"/>
      <c r="O392" s="1"/>
      <c r="P392" s="1"/>
      <c r="Q392" s="1"/>
      <c r="R392" s="1"/>
    </row>
    <row r="393" spans="6:18">
      <c r="F393" s="3" t="s">
        <v>313</v>
      </c>
      <c r="G393" s="151">
        <v>23.5</v>
      </c>
      <c r="H393" t="s">
        <v>208</v>
      </c>
      <c r="I393" t="s">
        <v>147</v>
      </c>
      <c r="J393" t="s">
        <v>320</v>
      </c>
      <c r="K393" s="1"/>
      <c r="L393" s="1"/>
      <c r="M393" s="1"/>
      <c r="N393" s="1"/>
      <c r="O393" s="1"/>
      <c r="P393" s="1"/>
      <c r="Q393" s="1"/>
      <c r="R393" s="1"/>
    </row>
    <row r="394" spans="6:18">
      <c r="F394" s="3" t="s">
        <v>312</v>
      </c>
      <c r="G394" s="151">
        <v>23</v>
      </c>
      <c r="H394" t="s">
        <v>208</v>
      </c>
      <c r="I394" t="s">
        <v>147</v>
      </c>
      <c r="J394" t="s">
        <v>320</v>
      </c>
      <c r="K394" s="1"/>
      <c r="L394" s="1"/>
      <c r="M394" s="1"/>
      <c r="N394" s="1"/>
      <c r="O394" s="1"/>
      <c r="P394" s="1"/>
      <c r="Q394" s="1"/>
      <c r="R394" s="1"/>
    </row>
    <row r="395" spans="6:18">
      <c r="F395" s="160" t="s">
        <v>910</v>
      </c>
      <c r="G395" s="155">
        <v>28.7</v>
      </c>
      <c r="H395" s="156" t="s">
        <v>208</v>
      </c>
      <c r="I395" s="156" t="s">
        <v>147</v>
      </c>
      <c r="K395" s="1"/>
      <c r="L395" s="1"/>
      <c r="M395" s="1"/>
      <c r="N395" s="1"/>
      <c r="O395" s="1"/>
      <c r="P395" s="1"/>
      <c r="Q395" s="1"/>
      <c r="R395" s="1"/>
    </row>
    <row r="396" spans="6:18">
      <c r="F396" s="153" t="s">
        <v>205</v>
      </c>
      <c r="G396" s="4">
        <v>14.3</v>
      </c>
      <c r="H396" t="s">
        <v>207</v>
      </c>
      <c r="I396" t="s">
        <v>147</v>
      </c>
      <c r="J396" s="15" t="s">
        <v>502</v>
      </c>
      <c r="K396" s="1"/>
      <c r="L396" s="1"/>
      <c r="M396" s="1"/>
      <c r="N396" s="1"/>
      <c r="O396" s="1"/>
      <c r="P396" s="1"/>
      <c r="Q396" s="1"/>
      <c r="R396" s="1"/>
    </row>
    <row r="397" spans="6:18">
      <c r="F397" s="153" t="s">
        <v>206</v>
      </c>
      <c r="G397" s="4">
        <v>21.1</v>
      </c>
      <c r="H397" t="s">
        <v>207</v>
      </c>
      <c r="I397" t="s">
        <v>147</v>
      </c>
      <c r="J397" s="15" t="s">
        <v>502</v>
      </c>
      <c r="K397" s="1"/>
      <c r="L397" s="1"/>
      <c r="M397" s="1"/>
      <c r="N397" s="1"/>
      <c r="O397" s="1"/>
      <c r="P397" s="1"/>
      <c r="Q397" s="1"/>
      <c r="R397" s="1"/>
    </row>
    <row r="398" spans="6:18">
      <c r="F398" s="167" t="s">
        <v>188</v>
      </c>
      <c r="G398" s="4">
        <v>14.8</v>
      </c>
      <c r="H398" t="s">
        <v>146</v>
      </c>
      <c r="I398" t="s">
        <v>147</v>
      </c>
      <c r="J398" t="s">
        <v>169</v>
      </c>
      <c r="K398" s="1"/>
      <c r="L398" s="1"/>
      <c r="M398" s="1"/>
      <c r="N398" s="1"/>
      <c r="O398" s="1"/>
      <c r="P398" s="1"/>
      <c r="Q398" s="1"/>
      <c r="R398" s="1"/>
    </row>
    <row r="399" spans="6:18">
      <c r="F399" s="167" t="s">
        <v>471</v>
      </c>
      <c r="G399" s="4">
        <v>18.7</v>
      </c>
      <c r="H399" t="s">
        <v>146</v>
      </c>
      <c r="I399" t="s">
        <v>156</v>
      </c>
      <c r="J399" s="15" t="s">
        <v>502</v>
      </c>
      <c r="K399" s="15"/>
      <c r="L399" s="15"/>
      <c r="M399" s="15"/>
      <c r="N399" s="15"/>
      <c r="O399" s="1"/>
      <c r="P399" s="1"/>
      <c r="Q399" s="1"/>
      <c r="R399" s="1"/>
    </row>
    <row r="400" spans="6:18">
      <c r="F400" s="152" t="s">
        <v>857</v>
      </c>
      <c r="G400" s="151">
        <v>13.3</v>
      </c>
      <c r="H400" s="159" t="s">
        <v>146</v>
      </c>
      <c r="I400" s="159" t="s">
        <v>156</v>
      </c>
      <c r="J400" s="169"/>
      <c r="O400" s="1"/>
      <c r="P400" s="1"/>
      <c r="Q400" s="1"/>
      <c r="R400" s="1"/>
    </row>
    <row r="401" spans="6:18">
      <c r="F401" s="167" t="s">
        <v>469</v>
      </c>
      <c r="G401" s="4">
        <v>18.2</v>
      </c>
      <c r="H401" t="s">
        <v>146</v>
      </c>
      <c r="I401" t="s">
        <v>156</v>
      </c>
      <c r="J401" s="15" t="s">
        <v>502</v>
      </c>
      <c r="K401" s="1"/>
      <c r="L401" s="1"/>
      <c r="M401" s="1"/>
      <c r="N401" s="1"/>
      <c r="O401" s="1"/>
      <c r="P401" s="1"/>
      <c r="Q401" s="1"/>
      <c r="R401" s="1"/>
    </row>
    <row r="402" spans="6:18">
      <c r="F402" s="152" t="s">
        <v>858</v>
      </c>
      <c r="G402" s="151">
        <v>13.4</v>
      </c>
      <c r="H402" s="159" t="s">
        <v>146</v>
      </c>
      <c r="I402" s="159" t="s">
        <v>156</v>
      </c>
      <c r="J402" s="169"/>
      <c r="K402" s="1"/>
      <c r="L402" s="1"/>
      <c r="M402" s="1"/>
      <c r="N402" s="1"/>
      <c r="O402" s="1"/>
      <c r="P402" s="1"/>
      <c r="Q402" s="1"/>
      <c r="R402" s="1"/>
    </row>
    <row r="403" spans="6:18">
      <c r="F403" s="167" t="s">
        <v>468</v>
      </c>
      <c r="G403" s="4">
        <v>18.600000000000001</v>
      </c>
      <c r="H403" t="s">
        <v>146</v>
      </c>
      <c r="I403" t="s">
        <v>156</v>
      </c>
      <c r="J403" s="1"/>
      <c r="K403" s="1"/>
      <c r="L403" s="1"/>
      <c r="M403" s="1"/>
      <c r="N403" s="1"/>
      <c r="O403" s="1"/>
      <c r="P403" s="1"/>
      <c r="Q403" s="1"/>
      <c r="R403" s="1"/>
    </row>
    <row r="404" spans="6:18">
      <c r="F404" s="152" t="s">
        <v>840</v>
      </c>
      <c r="G404" s="151">
        <v>11.9</v>
      </c>
      <c r="H404" s="159" t="s">
        <v>146</v>
      </c>
      <c r="I404" s="159" t="s">
        <v>156</v>
      </c>
      <c r="J404" s="98"/>
      <c r="K404" s="1"/>
      <c r="L404" s="1"/>
      <c r="M404" s="1"/>
      <c r="N404" s="1"/>
      <c r="O404" s="1"/>
      <c r="P404" s="1"/>
      <c r="Q404" s="1"/>
      <c r="R404" s="1"/>
    </row>
    <row r="405" spans="6:18">
      <c r="F405" s="167" t="s">
        <v>472</v>
      </c>
      <c r="G405" s="4">
        <v>18.5</v>
      </c>
      <c r="H405" t="s">
        <v>146</v>
      </c>
      <c r="I405" t="s">
        <v>156</v>
      </c>
      <c r="J405" s="15" t="s">
        <v>503</v>
      </c>
      <c r="K405" s="1"/>
      <c r="L405" s="1"/>
      <c r="M405" s="1"/>
      <c r="N405" s="1"/>
      <c r="O405" s="1"/>
      <c r="P405" s="1"/>
      <c r="Q405" s="1"/>
      <c r="R405" s="1"/>
    </row>
    <row r="406" spans="6:18">
      <c r="F406" s="152" t="s">
        <v>859</v>
      </c>
      <c r="G406" s="151">
        <v>13.4</v>
      </c>
      <c r="H406" s="159" t="s">
        <v>146</v>
      </c>
      <c r="I406" s="159" t="s">
        <v>156</v>
      </c>
      <c r="J406" s="169"/>
      <c r="K406" s="1"/>
      <c r="L406" s="1"/>
      <c r="M406" s="1"/>
      <c r="N406" s="1"/>
      <c r="O406" s="1"/>
      <c r="P406" s="1"/>
      <c r="Q406" s="1"/>
      <c r="R406" s="1"/>
    </row>
    <row r="407" spans="6:18">
      <c r="F407" s="167" t="s">
        <v>470</v>
      </c>
      <c r="G407" s="4">
        <v>18.2</v>
      </c>
      <c r="H407" t="s">
        <v>146</v>
      </c>
      <c r="I407" t="s">
        <v>156</v>
      </c>
      <c r="J407" s="15" t="s">
        <v>502</v>
      </c>
      <c r="K407" s="1"/>
      <c r="L407" s="1"/>
      <c r="M407" s="1"/>
      <c r="N407" s="1"/>
      <c r="O407" s="1"/>
      <c r="P407" s="1"/>
      <c r="Q407" s="1"/>
      <c r="R407" s="1"/>
    </row>
    <row r="408" spans="6:18">
      <c r="F408" s="152" t="s">
        <v>860</v>
      </c>
      <c r="G408" s="151">
        <v>13.6</v>
      </c>
      <c r="H408" s="159" t="s">
        <v>146</v>
      </c>
      <c r="I408" s="159" t="s">
        <v>156</v>
      </c>
      <c r="J408" s="169"/>
      <c r="K408" s="1"/>
      <c r="L408" s="1"/>
      <c r="M408" s="1"/>
      <c r="N408" s="1"/>
      <c r="O408" s="1"/>
      <c r="P408" s="1"/>
      <c r="Q408" s="1"/>
      <c r="R408" s="1"/>
    </row>
    <row r="409" spans="6:18">
      <c r="F409" s="153" t="s">
        <v>324</v>
      </c>
      <c r="G409" s="4">
        <v>14.2</v>
      </c>
      <c r="H409" t="s">
        <v>208</v>
      </c>
      <c r="I409" t="s">
        <v>156</v>
      </c>
      <c r="K409" s="1"/>
      <c r="L409" s="1"/>
      <c r="M409" s="1"/>
      <c r="N409" s="1"/>
      <c r="O409" s="1"/>
      <c r="P409" s="1"/>
      <c r="Q409" s="1"/>
      <c r="R409" s="1"/>
    </row>
    <row r="410" spans="6:18">
      <c r="F410" s="153" t="s">
        <v>325</v>
      </c>
      <c r="G410" s="4">
        <v>19.7</v>
      </c>
      <c r="H410" t="s">
        <v>208</v>
      </c>
      <c r="I410" t="s">
        <v>156</v>
      </c>
      <c r="K410" s="1"/>
      <c r="L410" s="1"/>
      <c r="M410" s="1"/>
      <c r="N410" s="1"/>
      <c r="O410" s="1"/>
      <c r="P410" s="1"/>
      <c r="Q410" s="1"/>
      <c r="R410" s="1"/>
    </row>
    <row r="411" spans="6:18">
      <c r="F411" s="153" t="s">
        <v>326</v>
      </c>
      <c r="G411" s="4">
        <v>26.3</v>
      </c>
      <c r="H411" t="s">
        <v>208</v>
      </c>
      <c r="I411" t="s">
        <v>156</v>
      </c>
      <c r="K411" s="1"/>
      <c r="L411" s="1"/>
      <c r="M411" s="1"/>
      <c r="N411" s="1"/>
      <c r="O411" s="1"/>
      <c r="P411" s="1"/>
      <c r="Q411" s="1"/>
      <c r="R411" s="1"/>
    </row>
    <row r="412" spans="6:18">
      <c r="F412" s="153" t="s">
        <v>327</v>
      </c>
      <c r="G412" s="4">
        <v>29.1</v>
      </c>
      <c r="H412" t="s">
        <v>208</v>
      </c>
      <c r="I412" t="s">
        <v>156</v>
      </c>
      <c r="K412" s="1"/>
      <c r="L412" s="1"/>
      <c r="M412" s="1"/>
      <c r="N412" s="1"/>
      <c r="O412" s="1"/>
      <c r="P412" s="1"/>
      <c r="Q412" s="1"/>
      <c r="R412" s="1"/>
    </row>
    <row r="413" spans="6:18">
      <c r="F413" s="153" t="s">
        <v>328</v>
      </c>
      <c r="G413" s="4">
        <v>13.8</v>
      </c>
      <c r="H413" t="s">
        <v>208</v>
      </c>
      <c r="I413" t="s">
        <v>156</v>
      </c>
      <c r="K413" s="1"/>
      <c r="L413" s="1"/>
      <c r="M413" s="1"/>
      <c r="N413" s="1"/>
      <c r="O413" s="1"/>
      <c r="P413" s="1"/>
      <c r="Q413" s="1"/>
      <c r="R413" s="1"/>
    </row>
    <row r="414" spans="6:18">
      <c r="F414" s="153" t="s">
        <v>329</v>
      </c>
      <c r="G414" s="4">
        <v>19.899999999999999</v>
      </c>
      <c r="H414" t="s">
        <v>208</v>
      </c>
      <c r="I414" t="s">
        <v>156</v>
      </c>
      <c r="K414" s="1"/>
      <c r="L414" s="1"/>
      <c r="M414" s="1"/>
      <c r="N414" s="1"/>
      <c r="O414" s="1"/>
      <c r="P414" s="1"/>
      <c r="Q414" s="1"/>
      <c r="R414" s="1"/>
    </row>
    <row r="415" spans="6:18">
      <c r="F415" s="153" t="s">
        <v>330</v>
      </c>
      <c r="G415" s="4">
        <v>25.9</v>
      </c>
      <c r="H415" t="s">
        <v>208</v>
      </c>
      <c r="I415" t="s">
        <v>156</v>
      </c>
      <c r="K415" s="1"/>
      <c r="L415" s="1"/>
      <c r="M415" s="1"/>
      <c r="N415" s="1"/>
      <c r="O415" s="1"/>
      <c r="P415" s="1"/>
      <c r="Q415" s="1"/>
      <c r="R415" s="1"/>
    </row>
    <row r="416" spans="6:18">
      <c r="F416" s="153" t="s">
        <v>331</v>
      </c>
      <c r="G416" s="4">
        <v>29.5</v>
      </c>
      <c r="H416" t="s">
        <v>208</v>
      </c>
      <c r="I416" t="s">
        <v>156</v>
      </c>
      <c r="K416" s="1"/>
      <c r="L416" s="1"/>
      <c r="M416" s="1"/>
      <c r="N416" s="1"/>
      <c r="O416" s="1"/>
      <c r="P416" s="1"/>
      <c r="Q416" s="1"/>
      <c r="R416" s="1"/>
    </row>
    <row r="417" spans="6:18">
      <c r="F417" s="153" t="s">
        <v>332</v>
      </c>
      <c r="G417" s="4">
        <v>14.1</v>
      </c>
      <c r="H417" t="s">
        <v>208</v>
      </c>
      <c r="I417" t="s">
        <v>156</v>
      </c>
      <c r="K417" s="1"/>
      <c r="L417" s="1"/>
      <c r="M417" s="1"/>
      <c r="N417" s="1"/>
      <c r="O417" s="1"/>
      <c r="P417" s="1"/>
      <c r="Q417" s="1"/>
      <c r="R417" s="1"/>
    </row>
    <row r="418" spans="6:18">
      <c r="F418" s="153" t="s">
        <v>333</v>
      </c>
      <c r="G418" s="4">
        <v>19.8</v>
      </c>
      <c r="H418" t="s">
        <v>208</v>
      </c>
      <c r="I418" t="s">
        <v>156</v>
      </c>
      <c r="K418" s="1"/>
      <c r="L418" s="1"/>
      <c r="M418" s="1"/>
      <c r="N418" s="1"/>
      <c r="O418" s="1"/>
      <c r="P418" s="1"/>
      <c r="Q418" s="1"/>
      <c r="R418" s="1"/>
    </row>
    <row r="419" spans="6:18">
      <c r="F419" s="153" t="s">
        <v>334</v>
      </c>
      <c r="G419" s="4">
        <v>25.5</v>
      </c>
      <c r="H419" t="s">
        <v>208</v>
      </c>
      <c r="I419" t="s">
        <v>156</v>
      </c>
      <c r="K419" s="1"/>
      <c r="L419" s="1"/>
      <c r="M419" s="1"/>
      <c r="N419" s="1"/>
      <c r="O419" s="1"/>
      <c r="P419" s="1"/>
      <c r="Q419" s="1"/>
      <c r="R419" s="1"/>
    </row>
    <row r="420" spans="6:18">
      <c r="F420" s="153" t="s">
        <v>335</v>
      </c>
      <c r="G420" s="4">
        <v>29.4</v>
      </c>
      <c r="H420" t="s">
        <v>208</v>
      </c>
      <c r="I420" t="s">
        <v>156</v>
      </c>
      <c r="K420" s="1"/>
      <c r="L420" s="1"/>
      <c r="M420" s="1"/>
      <c r="N420" s="1"/>
      <c r="O420" s="1"/>
      <c r="P420" s="1"/>
      <c r="Q420" s="1"/>
      <c r="R420" s="1"/>
    </row>
    <row r="421" spans="6:18">
      <c r="F421" s="153" t="s">
        <v>336</v>
      </c>
      <c r="G421" s="4">
        <v>12.9</v>
      </c>
      <c r="H421" t="s">
        <v>208</v>
      </c>
      <c r="I421" t="s">
        <v>156</v>
      </c>
      <c r="K421" s="1"/>
      <c r="L421" s="1"/>
      <c r="M421" s="1"/>
      <c r="N421" s="1"/>
      <c r="O421" s="1"/>
      <c r="P421" s="1"/>
      <c r="Q421" s="1"/>
      <c r="R421" s="1"/>
    </row>
    <row r="422" spans="6:18">
      <c r="F422" s="153" t="s">
        <v>337</v>
      </c>
      <c r="G422" s="4">
        <v>20</v>
      </c>
      <c r="H422" t="s">
        <v>208</v>
      </c>
      <c r="I422" t="s">
        <v>156</v>
      </c>
      <c r="K422" s="1"/>
      <c r="L422" s="1"/>
      <c r="M422" s="1"/>
      <c r="N422" s="1"/>
      <c r="O422" s="1"/>
      <c r="P422" s="1"/>
      <c r="Q422" s="1"/>
      <c r="R422" s="1"/>
    </row>
    <row r="423" spans="6:18">
      <c r="F423" s="153" t="s">
        <v>338</v>
      </c>
      <c r="G423" s="4">
        <v>25.5</v>
      </c>
      <c r="H423" t="s">
        <v>208</v>
      </c>
      <c r="I423" t="s">
        <v>156</v>
      </c>
      <c r="K423" s="1"/>
      <c r="L423" s="1"/>
      <c r="M423" s="1"/>
      <c r="N423" s="1"/>
      <c r="O423" s="1"/>
      <c r="P423" s="1"/>
      <c r="Q423" s="1"/>
      <c r="R423" s="1"/>
    </row>
    <row r="424" spans="6:18">
      <c r="F424" s="153" t="s">
        <v>339</v>
      </c>
      <c r="G424" s="4">
        <v>28.9</v>
      </c>
      <c r="H424" t="s">
        <v>208</v>
      </c>
      <c r="I424" t="s">
        <v>156</v>
      </c>
      <c r="K424" s="1"/>
      <c r="L424" s="1"/>
      <c r="M424" s="1"/>
      <c r="N424" s="1"/>
      <c r="O424" s="1"/>
      <c r="P424" s="1"/>
      <c r="Q424" s="1"/>
      <c r="R424" s="1"/>
    </row>
    <row r="425" spans="6:18">
      <c r="F425" s="153" t="s">
        <v>340</v>
      </c>
      <c r="G425" s="4">
        <v>11.1</v>
      </c>
      <c r="H425" t="s">
        <v>208</v>
      </c>
      <c r="I425" t="s">
        <v>156</v>
      </c>
      <c r="J425" t="s">
        <v>344</v>
      </c>
      <c r="K425" s="1"/>
      <c r="L425" s="1"/>
      <c r="M425" s="1"/>
      <c r="N425" s="1"/>
      <c r="O425" s="1"/>
      <c r="P425" s="1"/>
      <c r="Q425" s="1"/>
      <c r="R425" s="1"/>
    </row>
    <row r="426" spans="6:18">
      <c r="F426" s="153" t="s">
        <v>341</v>
      </c>
      <c r="G426" s="4">
        <v>17.899999999999999</v>
      </c>
      <c r="H426" t="s">
        <v>208</v>
      </c>
      <c r="I426" t="s">
        <v>156</v>
      </c>
      <c r="J426" t="s">
        <v>344</v>
      </c>
      <c r="K426" s="1"/>
      <c r="L426" s="1"/>
      <c r="M426" s="1"/>
      <c r="N426" s="1"/>
      <c r="O426" s="1"/>
      <c r="P426" s="1"/>
      <c r="Q426" s="1"/>
      <c r="R426" s="1"/>
    </row>
    <row r="427" spans="6:18">
      <c r="F427" s="153" t="s">
        <v>342</v>
      </c>
      <c r="G427" s="4">
        <v>23.5</v>
      </c>
      <c r="H427" t="s">
        <v>208</v>
      </c>
      <c r="I427" t="s">
        <v>156</v>
      </c>
      <c r="J427" t="s">
        <v>344</v>
      </c>
      <c r="K427" s="1"/>
      <c r="L427" s="1"/>
      <c r="M427" s="1"/>
      <c r="N427" s="1"/>
      <c r="O427" s="1"/>
      <c r="P427" s="1"/>
      <c r="Q427" s="1"/>
      <c r="R427" s="1"/>
    </row>
    <row r="428" spans="6:18">
      <c r="F428" s="153" t="s">
        <v>343</v>
      </c>
      <c r="G428" s="4">
        <v>27.9</v>
      </c>
      <c r="H428" t="s">
        <v>208</v>
      </c>
      <c r="I428" t="s">
        <v>156</v>
      </c>
      <c r="J428" t="s">
        <v>344</v>
      </c>
      <c r="K428" s="1"/>
      <c r="L428" s="1"/>
      <c r="M428" s="1"/>
      <c r="N428" s="1"/>
      <c r="O428" s="1"/>
      <c r="P428" s="1"/>
      <c r="Q428" s="1"/>
      <c r="R428" s="1"/>
    </row>
    <row r="429" spans="6:18">
      <c r="F429" s="152" t="s">
        <v>770</v>
      </c>
      <c r="G429" s="158">
        <v>12.3</v>
      </c>
      <c r="H429" t="s">
        <v>208</v>
      </c>
      <c r="I429" t="s">
        <v>170</v>
      </c>
      <c r="J429" t="s">
        <v>550</v>
      </c>
      <c r="K429" s="1"/>
      <c r="L429" s="1"/>
      <c r="M429" s="1"/>
      <c r="N429" s="1"/>
      <c r="O429" s="1"/>
      <c r="P429" s="1"/>
      <c r="Q429" s="1"/>
      <c r="R429" s="1"/>
    </row>
    <row r="430" spans="6:18">
      <c r="F430" s="152" t="s">
        <v>771</v>
      </c>
      <c r="G430" s="158">
        <v>14.2</v>
      </c>
      <c r="H430" t="s">
        <v>208</v>
      </c>
      <c r="I430" t="s">
        <v>170</v>
      </c>
      <c r="J430" t="s">
        <v>550</v>
      </c>
      <c r="K430" s="1"/>
      <c r="L430" s="1"/>
      <c r="M430" s="1"/>
      <c r="N430" s="1"/>
      <c r="O430" s="1"/>
      <c r="P430" s="1"/>
      <c r="Q430" s="1"/>
      <c r="R430" s="1"/>
    </row>
    <row r="431" spans="6:18">
      <c r="F431" s="150" t="s">
        <v>772</v>
      </c>
      <c r="G431" s="151">
        <v>14</v>
      </c>
      <c r="H431" s="159" t="s">
        <v>208</v>
      </c>
      <c r="I431" s="159" t="s">
        <v>156</v>
      </c>
      <c r="J431" s="1"/>
      <c r="K431" s="1"/>
      <c r="L431" s="1"/>
      <c r="M431" s="1"/>
      <c r="N431" s="1"/>
      <c r="O431" s="1"/>
      <c r="P431" s="1"/>
      <c r="Q431" s="1"/>
      <c r="R431" s="1"/>
    </row>
    <row r="432" spans="6:18">
      <c r="F432" s="150" t="s">
        <v>773</v>
      </c>
      <c r="G432" s="151">
        <v>18.399999999999999</v>
      </c>
      <c r="H432" s="159" t="s">
        <v>208</v>
      </c>
      <c r="I432" s="159" t="s">
        <v>156</v>
      </c>
      <c r="J432" s="1"/>
      <c r="K432" s="1"/>
      <c r="L432" s="1"/>
      <c r="M432" s="1"/>
      <c r="N432" s="1"/>
      <c r="O432" s="1"/>
      <c r="P432" s="1"/>
      <c r="Q432" s="1"/>
      <c r="R432" s="1"/>
    </row>
    <row r="433" spans="6:18">
      <c r="F433" s="150" t="s">
        <v>774</v>
      </c>
      <c r="G433" s="151">
        <v>23.6</v>
      </c>
      <c r="H433" s="159" t="s">
        <v>208</v>
      </c>
      <c r="I433" s="159" t="s">
        <v>156</v>
      </c>
      <c r="J433" s="1"/>
      <c r="K433" s="1"/>
      <c r="L433" s="1"/>
      <c r="M433" s="1"/>
      <c r="N433" s="1"/>
      <c r="O433" s="1"/>
      <c r="P433" s="1"/>
      <c r="Q433" s="1"/>
      <c r="R433" s="1"/>
    </row>
    <row r="434" spans="6:18">
      <c r="F434" s="150" t="s">
        <v>775</v>
      </c>
      <c r="G434" s="151">
        <v>31.6</v>
      </c>
      <c r="H434" s="159" t="s">
        <v>208</v>
      </c>
      <c r="I434" s="159" t="s">
        <v>156</v>
      </c>
      <c r="J434" s="1"/>
      <c r="K434" s="1"/>
      <c r="L434" s="1"/>
      <c r="M434" s="1"/>
      <c r="N434" s="1"/>
      <c r="O434" s="1"/>
      <c r="P434" s="1"/>
      <c r="Q434" s="1"/>
      <c r="R434" s="1"/>
    </row>
    <row r="435" spans="6:18">
      <c r="F435" s="150" t="s">
        <v>776</v>
      </c>
      <c r="G435" s="151">
        <v>12.1</v>
      </c>
      <c r="H435" s="159" t="s">
        <v>208</v>
      </c>
      <c r="I435" s="159" t="s">
        <v>156</v>
      </c>
      <c r="J435" s="1"/>
      <c r="K435" s="1"/>
      <c r="L435" s="1"/>
      <c r="M435" s="1"/>
      <c r="N435" s="1"/>
      <c r="O435" s="1"/>
      <c r="P435" s="1"/>
      <c r="Q435" s="1"/>
      <c r="R435" s="1"/>
    </row>
    <row r="436" spans="6:18">
      <c r="F436" s="150" t="s">
        <v>777</v>
      </c>
      <c r="G436" s="151">
        <v>19</v>
      </c>
      <c r="H436" s="159" t="s">
        <v>208</v>
      </c>
      <c r="I436" s="159" t="s">
        <v>156</v>
      </c>
      <c r="J436" s="1"/>
      <c r="K436" s="1"/>
      <c r="L436" s="1"/>
      <c r="M436" s="1"/>
      <c r="N436" s="1"/>
      <c r="O436" s="1"/>
      <c r="P436" s="1"/>
      <c r="Q436" s="1"/>
      <c r="R436" s="1"/>
    </row>
    <row r="437" spans="6:18">
      <c r="F437" s="150" t="s">
        <v>778</v>
      </c>
      <c r="G437" s="98">
        <v>24.7</v>
      </c>
      <c r="H437" s="159" t="s">
        <v>208</v>
      </c>
      <c r="I437" s="159" t="s">
        <v>156</v>
      </c>
      <c r="J437" s="1"/>
      <c r="K437" s="1"/>
      <c r="L437" s="1"/>
      <c r="M437" s="1"/>
      <c r="N437" s="1"/>
      <c r="O437" s="1"/>
      <c r="P437" s="1"/>
      <c r="Q437" s="1"/>
      <c r="R437" s="1"/>
    </row>
    <row r="438" spans="6:18">
      <c r="F438" s="150" t="s">
        <v>779</v>
      </c>
      <c r="G438" s="98">
        <v>29.2</v>
      </c>
      <c r="H438" s="159" t="s">
        <v>208</v>
      </c>
      <c r="I438" s="159" t="s">
        <v>156</v>
      </c>
      <c r="J438" s="1"/>
      <c r="K438" s="1"/>
      <c r="L438" s="1"/>
      <c r="M438" s="1"/>
      <c r="N438" s="1"/>
      <c r="O438" s="1"/>
      <c r="P438" s="1"/>
      <c r="Q438" s="1"/>
      <c r="R438" s="1"/>
    </row>
    <row r="439" spans="6:18">
      <c r="F439" s="150" t="s">
        <v>780</v>
      </c>
      <c r="G439" s="98">
        <v>12.9</v>
      </c>
      <c r="H439" s="159" t="s">
        <v>208</v>
      </c>
      <c r="I439" s="159" t="s">
        <v>156</v>
      </c>
      <c r="J439" s="1"/>
      <c r="K439" s="1"/>
      <c r="L439" s="1"/>
      <c r="M439" s="1"/>
      <c r="N439" s="1"/>
      <c r="O439" s="1"/>
      <c r="P439" s="1"/>
      <c r="Q439" s="1"/>
      <c r="R439" s="1"/>
    </row>
    <row r="440" spans="6:18">
      <c r="F440" s="150" t="s">
        <v>781</v>
      </c>
      <c r="G440" s="98">
        <v>17.899999999999999</v>
      </c>
      <c r="H440" s="159" t="s">
        <v>208</v>
      </c>
      <c r="I440" s="159" t="s">
        <v>156</v>
      </c>
      <c r="J440" s="1"/>
      <c r="K440" s="1"/>
      <c r="L440" s="1"/>
      <c r="M440" s="1"/>
      <c r="N440" s="1"/>
      <c r="O440" s="1"/>
      <c r="P440" s="1"/>
      <c r="Q440" s="1"/>
      <c r="R440" s="1"/>
    </row>
    <row r="441" spans="6:18">
      <c r="F441" s="150" t="s">
        <v>782</v>
      </c>
      <c r="G441" s="98">
        <v>24.7</v>
      </c>
      <c r="H441" s="159" t="s">
        <v>208</v>
      </c>
      <c r="I441" s="159" t="s">
        <v>156</v>
      </c>
      <c r="J441" s="1"/>
      <c r="K441" s="1"/>
      <c r="L441" s="1"/>
      <c r="M441" s="1"/>
      <c r="N441" s="1"/>
      <c r="O441" s="1"/>
      <c r="P441" s="1"/>
      <c r="Q441" s="1"/>
      <c r="R441" s="1"/>
    </row>
    <row r="442" spans="6:18">
      <c r="F442" s="150" t="s">
        <v>783</v>
      </c>
      <c r="G442" s="98">
        <v>30.6</v>
      </c>
      <c r="H442" s="159" t="s">
        <v>208</v>
      </c>
      <c r="I442" s="159" t="s">
        <v>156</v>
      </c>
      <c r="J442" s="1"/>
      <c r="K442" s="1"/>
      <c r="L442" s="1"/>
      <c r="M442" s="1"/>
      <c r="N442" s="1"/>
      <c r="O442" s="1"/>
      <c r="P442" s="1"/>
      <c r="Q442" s="1"/>
      <c r="R442" s="1"/>
    </row>
    <row r="443" spans="6:18">
      <c r="F443" s="150" t="s">
        <v>788</v>
      </c>
      <c r="G443" s="98">
        <v>11.9</v>
      </c>
      <c r="H443" s="159" t="s">
        <v>208</v>
      </c>
      <c r="I443" s="159" t="s">
        <v>156</v>
      </c>
      <c r="J443" s="1"/>
      <c r="K443" s="1"/>
      <c r="L443" s="1"/>
      <c r="M443" s="1"/>
      <c r="N443" s="1"/>
      <c r="O443" s="1"/>
      <c r="P443" s="1"/>
      <c r="Q443" s="1"/>
      <c r="R443" s="1"/>
    </row>
    <row r="444" spans="6:18">
      <c r="F444" s="150" t="s">
        <v>789</v>
      </c>
      <c r="G444" s="98">
        <v>18.3</v>
      </c>
      <c r="H444" s="159" t="s">
        <v>208</v>
      </c>
      <c r="I444" s="159" t="s">
        <v>156</v>
      </c>
      <c r="J444" s="1"/>
      <c r="K444" s="1"/>
      <c r="L444" s="1"/>
      <c r="M444" s="1"/>
      <c r="N444" s="1"/>
      <c r="O444" s="1"/>
      <c r="P444" s="1"/>
      <c r="Q444" s="1"/>
      <c r="R444" s="1"/>
    </row>
    <row r="445" spans="6:18">
      <c r="F445" s="150" t="s">
        <v>790</v>
      </c>
      <c r="G445" s="98">
        <v>24.1</v>
      </c>
      <c r="H445" s="159" t="s">
        <v>208</v>
      </c>
      <c r="I445" s="159" t="s">
        <v>156</v>
      </c>
      <c r="J445" s="1"/>
      <c r="K445" s="1"/>
      <c r="L445" s="1"/>
      <c r="M445" s="1"/>
      <c r="N445" s="1"/>
      <c r="O445" s="1"/>
      <c r="P445" s="1"/>
      <c r="Q445" s="1"/>
      <c r="R445" s="1"/>
    </row>
    <row r="446" spans="6:18">
      <c r="F446" s="150" t="s">
        <v>791</v>
      </c>
      <c r="G446" s="98">
        <v>28.9</v>
      </c>
      <c r="H446" s="159" t="s">
        <v>208</v>
      </c>
      <c r="I446" s="159" t="s">
        <v>156</v>
      </c>
      <c r="J446" s="1"/>
      <c r="K446" s="1"/>
      <c r="L446" s="1"/>
      <c r="M446" s="1"/>
      <c r="N446" s="1"/>
      <c r="O446" s="1"/>
      <c r="P446" s="1"/>
      <c r="Q446" s="1"/>
      <c r="R446" s="1"/>
    </row>
    <row r="447" spans="6:18">
      <c r="F447" s="150" t="s">
        <v>792</v>
      </c>
      <c r="G447" s="98">
        <v>11.6</v>
      </c>
      <c r="H447" s="159" t="s">
        <v>208</v>
      </c>
      <c r="I447" s="159" t="s">
        <v>156</v>
      </c>
      <c r="J447" s="1"/>
      <c r="K447" s="1"/>
      <c r="L447" s="1"/>
      <c r="M447" s="1"/>
      <c r="N447" s="1"/>
      <c r="O447" s="1"/>
      <c r="P447" s="1"/>
      <c r="Q447" s="1"/>
      <c r="R447" s="1"/>
    </row>
    <row r="448" spans="6:18">
      <c r="F448" s="150" t="s">
        <v>793</v>
      </c>
      <c r="G448" s="98">
        <v>18.7</v>
      </c>
      <c r="H448" s="159" t="s">
        <v>208</v>
      </c>
      <c r="I448" s="159" t="s">
        <v>156</v>
      </c>
      <c r="J448" s="1"/>
      <c r="K448" s="1"/>
      <c r="L448" s="1"/>
      <c r="M448" s="1"/>
      <c r="N448" s="1"/>
      <c r="O448" s="1"/>
      <c r="P448" s="1"/>
      <c r="Q448" s="1"/>
      <c r="R448" s="1"/>
    </row>
    <row r="449" spans="6:18">
      <c r="F449" s="150" t="s">
        <v>794</v>
      </c>
      <c r="G449" s="98">
        <v>24.1</v>
      </c>
      <c r="H449" s="159" t="s">
        <v>208</v>
      </c>
      <c r="I449" s="159" t="s">
        <v>156</v>
      </c>
      <c r="J449" s="1"/>
      <c r="K449" s="1"/>
      <c r="L449" s="1"/>
      <c r="M449" s="1"/>
      <c r="N449" s="1"/>
      <c r="O449" s="1"/>
      <c r="P449" s="1"/>
      <c r="Q449" s="1"/>
      <c r="R449" s="1"/>
    </row>
    <row r="450" spans="6:18">
      <c r="F450" s="150" t="s">
        <v>795</v>
      </c>
      <c r="G450" s="98">
        <v>28.5</v>
      </c>
      <c r="H450" s="159" t="s">
        <v>208</v>
      </c>
      <c r="I450" s="159" t="s">
        <v>156</v>
      </c>
      <c r="J450" s="1"/>
      <c r="K450" s="1"/>
      <c r="L450" s="1"/>
      <c r="M450" s="1"/>
      <c r="N450" s="1"/>
      <c r="O450" s="1"/>
      <c r="P450" s="1"/>
      <c r="Q450" s="1"/>
      <c r="R450" s="1"/>
    </row>
    <row r="451" spans="6:18">
      <c r="F451" s="150" t="s">
        <v>796</v>
      </c>
      <c r="G451" s="98">
        <v>22</v>
      </c>
      <c r="H451" s="159" t="s">
        <v>208</v>
      </c>
      <c r="I451" s="159" t="s">
        <v>799</v>
      </c>
      <c r="J451" s="98"/>
      <c r="K451" s="1"/>
      <c r="L451" s="1"/>
      <c r="M451" s="1"/>
      <c r="N451" s="1"/>
      <c r="O451" s="1"/>
      <c r="P451" s="1"/>
      <c r="Q451" s="1"/>
      <c r="R451" s="1"/>
    </row>
    <row r="452" spans="6:18">
      <c r="F452" s="150" t="s">
        <v>797</v>
      </c>
      <c r="G452" s="98">
        <v>22</v>
      </c>
      <c r="H452" s="159" t="s">
        <v>208</v>
      </c>
      <c r="I452" s="159" t="s">
        <v>799</v>
      </c>
      <c r="J452" s="98"/>
      <c r="K452" s="1"/>
      <c r="L452" s="1"/>
      <c r="M452" s="1"/>
      <c r="N452" s="1"/>
      <c r="O452" s="1"/>
      <c r="P452" s="1"/>
      <c r="Q452" s="1"/>
      <c r="R452" s="1"/>
    </row>
    <row r="453" spans="6:18">
      <c r="F453" s="150" t="s">
        <v>798</v>
      </c>
      <c r="G453" s="98">
        <v>22</v>
      </c>
      <c r="H453" s="159" t="s">
        <v>208</v>
      </c>
      <c r="I453" s="159" t="s">
        <v>799</v>
      </c>
      <c r="J453" s="98"/>
      <c r="K453" s="1"/>
      <c r="L453" s="1"/>
      <c r="M453" s="1"/>
      <c r="N453" s="1"/>
      <c r="O453" s="1"/>
      <c r="P453" s="1"/>
      <c r="Q453" s="1"/>
      <c r="R453" s="1"/>
    </row>
    <row r="454" spans="6:18">
      <c r="F454" s="150" t="s">
        <v>800</v>
      </c>
      <c r="G454" s="98">
        <v>22</v>
      </c>
      <c r="H454" s="159" t="s">
        <v>208</v>
      </c>
      <c r="I454" s="159" t="s">
        <v>799</v>
      </c>
      <c r="J454" s="98"/>
      <c r="K454" s="1"/>
      <c r="L454" s="1"/>
      <c r="M454" s="1"/>
      <c r="N454" s="1"/>
      <c r="O454" s="1"/>
      <c r="P454" s="1"/>
      <c r="Q454" s="1"/>
      <c r="R454" s="1"/>
    </row>
    <row r="455" spans="6:18">
      <c r="F455" s="150" t="s">
        <v>801</v>
      </c>
      <c r="G455" s="98">
        <v>22</v>
      </c>
      <c r="H455" s="159" t="s">
        <v>208</v>
      </c>
      <c r="I455" s="159" t="s">
        <v>799</v>
      </c>
      <c r="J455" s="98"/>
      <c r="K455" s="1"/>
      <c r="L455" s="1"/>
      <c r="M455" s="1"/>
      <c r="N455" s="1"/>
      <c r="O455" s="1"/>
      <c r="P455" s="1"/>
      <c r="Q455" s="1"/>
      <c r="R455" s="1"/>
    </row>
    <row r="456" spans="6:18">
      <c r="F456" s="150" t="s">
        <v>802</v>
      </c>
      <c r="G456" s="98">
        <v>22</v>
      </c>
      <c r="H456" s="159" t="s">
        <v>208</v>
      </c>
      <c r="I456" s="159" t="s">
        <v>799</v>
      </c>
      <c r="J456" s="98"/>
      <c r="K456" s="1"/>
      <c r="L456" s="1"/>
      <c r="M456" s="1"/>
      <c r="N456" s="1"/>
      <c r="O456" s="1"/>
      <c r="P456" s="1"/>
      <c r="Q456" s="1"/>
      <c r="R456" s="1"/>
    </row>
    <row r="457" spans="6:18">
      <c r="F457" s="154" t="s">
        <v>809</v>
      </c>
      <c r="G457" s="98">
        <v>8.6999999999999993</v>
      </c>
      <c r="H457" s="159" t="s">
        <v>207</v>
      </c>
      <c r="I457" s="159" t="s">
        <v>147</v>
      </c>
      <c r="J457" s="164" t="s">
        <v>817</v>
      </c>
      <c r="K457" s="1"/>
      <c r="L457" s="1"/>
      <c r="M457" s="1"/>
      <c r="N457" s="1"/>
      <c r="O457" s="1"/>
      <c r="P457" s="1"/>
      <c r="Q457" s="1"/>
      <c r="R457" s="1"/>
    </row>
    <row r="458" spans="6:18">
      <c r="F458" s="150" t="s">
        <v>810</v>
      </c>
      <c r="G458" s="98">
        <v>13.1</v>
      </c>
      <c r="H458" s="159" t="s">
        <v>207</v>
      </c>
      <c r="I458" s="159" t="s">
        <v>147</v>
      </c>
      <c r="J458" s="164" t="s">
        <v>817</v>
      </c>
      <c r="K458" s="1"/>
      <c r="L458" s="1"/>
      <c r="M458" s="1"/>
      <c r="N458" s="1"/>
      <c r="O458" s="1"/>
      <c r="P458" s="1"/>
      <c r="Q458" s="1"/>
      <c r="R458" s="1"/>
    </row>
    <row r="459" spans="6:18">
      <c r="F459" s="150" t="s">
        <v>811</v>
      </c>
      <c r="G459" s="164">
        <v>25</v>
      </c>
      <c r="H459" s="159" t="s">
        <v>207</v>
      </c>
      <c r="I459" s="159" t="s">
        <v>147</v>
      </c>
      <c r="J459" s="164" t="s">
        <v>817</v>
      </c>
      <c r="K459" s="1"/>
      <c r="L459" s="1"/>
      <c r="M459" s="1"/>
      <c r="N459" s="1"/>
      <c r="O459" s="1"/>
      <c r="P459" s="1"/>
      <c r="Q459" s="1"/>
      <c r="R459" s="1"/>
    </row>
    <row r="460" spans="6:18">
      <c r="F460" s="150" t="s">
        <v>812</v>
      </c>
      <c r="G460" s="164">
        <v>11</v>
      </c>
      <c r="H460" s="159" t="s">
        <v>207</v>
      </c>
      <c r="I460" s="159" t="s">
        <v>147</v>
      </c>
      <c r="J460" s="164" t="s">
        <v>818</v>
      </c>
      <c r="K460" s="1"/>
      <c r="L460" s="1"/>
      <c r="M460" s="1"/>
      <c r="N460" s="1"/>
      <c r="O460" s="1"/>
      <c r="P460" s="1"/>
      <c r="Q460" s="1"/>
      <c r="R460" s="1"/>
    </row>
    <row r="461" spans="6:18">
      <c r="F461" s="150" t="s">
        <v>813</v>
      </c>
      <c r="G461" s="164">
        <v>17</v>
      </c>
      <c r="H461" s="159" t="s">
        <v>207</v>
      </c>
      <c r="I461" s="159" t="s">
        <v>147</v>
      </c>
      <c r="J461" s="164" t="s">
        <v>818</v>
      </c>
      <c r="K461" s="1"/>
      <c r="L461" s="1"/>
      <c r="M461" s="1"/>
      <c r="N461" s="1"/>
      <c r="O461" s="1"/>
      <c r="P461" s="1"/>
      <c r="Q461" s="1"/>
      <c r="R461" s="1"/>
    </row>
    <row r="462" spans="6:18">
      <c r="F462" s="150" t="s">
        <v>814</v>
      </c>
      <c r="G462" s="164">
        <v>12</v>
      </c>
      <c r="H462" s="159" t="s">
        <v>207</v>
      </c>
      <c r="I462" s="159" t="s">
        <v>147</v>
      </c>
      <c r="J462" s="164" t="s">
        <v>818</v>
      </c>
      <c r="K462" s="1"/>
      <c r="L462" s="1"/>
      <c r="M462" s="1"/>
      <c r="N462" s="1"/>
      <c r="O462" s="1"/>
      <c r="P462" s="1"/>
      <c r="Q462" s="1"/>
      <c r="R462" s="1"/>
    </row>
    <row r="463" spans="6:18">
      <c r="F463" s="150" t="s">
        <v>815</v>
      </c>
      <c r="G463" s="164">
        <v>16</v>
      </c>
      <c r="H463" s="159" t="s">
        <v>207</v>
      </c>
      <c r="I463" s="159" t="s">
        <v>147</v>
      </c>
      <c r="J463" s="164" t="s">
        <v>818</v>
      </c>
      <c r="K463" s="1"/>
      <c r="L463" s="1"/>
      <c r="M463" s="1"/>
      <c r="N463" s="1"/>
      <c r="O463" s="1"/>
      <c r="P463" s="1"/>
      <c r="Q463" s="1"/>
      <c r="R463" s="1"/>
    </row>
    <row r="464" spans="6:18">
      <c r="F464" s="150" t="s">
        <v>816</v>
      </c>
      <c r="G464" s="164">
        <v>21</v>
      </c>
      <c r="H464" s="159" t="s">
        <v>207</v>
      </c>
      <c r="I464" s="159" t="s">
        <v>147</v>
      </c>
      <c r="J464" s="164" t="s">
        <v>818</v>
      </c>
      <c r="K464" s="1"/>
      <c r="L464" s="1"/>
      <c r="M464" s="1"/>
      <c r="N464" s="1"/>
      <c r="O464" s="1"/>
      <c r="P464" s="1"/>
      <c r="Q464" s="1"/>
      <c r="R464" s="1"/>
    </row>
    <row r="465" spans="6:10">
      <c r="F465" s="150" t="s">
        <v>819</v>
      </c>
      <c r="G465" s="164">
        <v>24</v>
      </c>
      <c r="H465" s="159" t="s">
        <v>207</v>
      </c>
      <c r="I465" s="159" t="s">
        <v>147</v>
      </c>
      <c r="J465" s="164" t="s">
        <v>818</v>
      </c>
    </row>
    <row r="466" spans="6:10">
      <c r="F466" s="150" t="s">
        <v>820</v>
      </c>
      <c r="G466" s="164">
        <v>13</v>
      </c>
      <c r="H466" s="159" t="s">
        <v>207</v>
      </c>
      <c r="I466" s="159" t="s">
        <v>147</v>
      </c>
      <c r="J466" s="164" t="s">
        <v>818</v>
      </c>
    </row>
    <row r="467" spans="6:10">
      <c r="F467" s="150" t="s">
        <v>821</v>
      </c>
      <c r="G467" s="164">
        <v>22</v>
      </c>
      <c r="H467" s="159" t="s">
        <v>207</v>
      </c>
      <c r="I467" s="159" t="s">
        <v>147</v>
      </c>
      <c r="J467" s="164" t="s">
        <v>818</v>
      </c>
    </row>
    <row r="468" spans="6:10">
      <c r="F468" s="150" t="s">
        <v>822</v>
      </c>
      <c r="G468" s="164">
        <v>23</v>
      </c>
      <c r="H468" s="159" t="s">
        <v>207</v>
      </c>
      <c r="I468" s="159" t="s">
        <v>147</v>
      </c>
      <c r="J468" s="164" t="s">
        <v>818</v>
      </c>
    </row>
    <row r="469" spans="6:10">
      <c r="F469" s="150" t="s">
        <v>823</v>
      </c>
      <c r="G469" s="164">
        <v>25</v>
      </c>
      <c r="H469" s="159" t="s">
        <v>207</v>
      </c>
      <c r="I469" s="159" t="s">
        <v>147</v>
      </c>
      <c r="J469" s="164" t="s">
        <v>818</v>
      </c>
    </row>
    <row r="470" spans="6:10">
      <c r="F470" s="150" t="s">
        <v>824</v>
      </c>
      <c r="G470" s="164">
        <v>13</v>
      </c>
      <c r="H470" s="159" t="s">
        <v>207</v>
      </c>
      <c r="I470" s="159" t="s">
        <v>147</v>
      </c>
      <c r="J470" s="164" t="s">
        <v>818</v>
      </c>
    </row>
    <row r="471" spans="6:10">
      <c r="F471" s="150" t="s">
        <v>825</v>
      </c>
      <c r="G471" s="164">
        <v>19</v>
      </c>
      <c r="H471" s="159" t="s">
        <v>207</v>
      </c>
      <c r="I471" s="159" t="s">
        <v>147</v>
      </c>
      <c r="J471" s="164" t="s">
        <v>818</v>
      </c>
    </row>
    <row r="472" spans="6:10">
      <c r="F472" s="150" t="s">
        <v>826</v>
      </c>
      <c r="G472" s="164">
        <v>24</v>
      </c>
      <c r="H472" s="159" t="s">
        <v>207</v>
      </c>
      <c r="I472" s="159" t="s">
        <v>147</v>
      </c>
      <c r="J472" s="164" t="s">
        <v>818</v>
      </c>
    </row>
    <row r="473" spans="6:10">
      <c r="F473" s="150" t="s">
        <v>827</v>
      </c>
      <c r="G473" s="164">
        <v>25</v>
      </c>
      <c r="H473" s="159" t="s">
        <v>207</v>
      </c>
      <c r="I473" s="159" t="s">
        <v>147</v>
      </c>
      <c r="J473" s="164" t="s">
        <v>818</v>
      </c>
    </row>
    <row r="474" spans="6:10">
      <c r="F474" s="150" t="s">
        <v>828</v>
      </c>
      <c r="G474" s="164">
        <v>11</v>
      </c>
      <c r="H474" s="159" t="s">
        <v>207</v>
      </c>
      <c r="I474" s="159" t="s">
        <v>147</v>
      </c>
      <c r="J474" s="164" t="s">
        <v>818</v>
      </c>
    </row>
    <row r="475" spans="6:10">
      <c r="F475" s="150" t="s">
        <v>829</v>
      </c>
      <c r="G475" s="164">
        <v>16</v>
      </c>
      <c r="H475" s="159" t="s">
        <v>207</v>
      </c>
      <c r="I475" s="159" t="s">
        <v>147</v>
      </c>
      <c r="J475" s="164" t="s">
        <v>818</v>
      </c>
    </row>
    <row r="476" spans="6:10">
      <c r="F476" s="150" t="s">
        <v>830</v>
      </c>
      <c r="G476" s="164">
        <v>23</v>
      </c>
      <c r="H476" s="159" t="s">
        <v>207</v>
      </c>
      <c r="I476" s="159" t="s">
        <v>147</v>
      </c>
      <c r="J476" s="164" t="s">
        <v>818</v>
      </c>
    </row>
    <row r="477" spans="6:10">
      <c r="F477" s="150" t="s">
        <v>831</v>
      </c>
      <c r="G477" s="164">
        <v>24</v>
      </c>
      <c r="H477" s="159" t="s">
        <v>207</v>
      </c>
      <c r="I477" s="159" t="s">
        <v>147</v>
      </c>
      <c r="J477" s="164" t="s">
        <v>818</v>
      </c>
    </row>
    <row r="478" spans="6:10">
      <c r="F478" s="150" t="s">
        <v>832</v>
      </c>
      <c r="G478" s="164">
        <v>12</v>
      </c>
      <c r="H478" s="159" t="s">
        <v>207</v>
      </c>
      <c r="I478" s="159" t="s">
        <v>147</v>
      </c>
      <c r="J478" s="164" t="s">
        <v>818</v>
      </c>
    </row>
    <row r="479" spans="6:10">
      <c r="F479" s="150" t="s">
        <v>833</v>
      </c>
      <c r="G479" s="164">
        <v>19</v>
      </c>
      <c r="H479" s="159" t="s">
        <v>207</v>
      </c>
      <c r="I479" s="159" t="s">
        <v>147</v>
      </c>
      <c r="J479" s="164" t="s">
        <v>818</v>
      </c>
    </row>
    <row r="480" spans="6:10">
      <c r="F480" s="150" t="s">
        <v>834</v>
      </c>
      <c r="G480" s="164">
        <v>23</v>
      </c>
      <c r="H480" s="159" t="s">
        <v>207</v>
      </c>
      <c r="I480" s="159" t="s">
        <v>147</v>
      </c>
      <c r="J480" s="164" t="s">
        <v>818</v>
      </c>
    </row>
    <row r="481" spans="6:10">
      <c r="F481" s="150" t="s">
        <v>835</v>
      </c>
      <c r="G481" s="164">
        <v>24</v>
      </c>
      <c r="H481" s="159" t="s">
        <v>207</v>
      </c>
      <c r="I481" s="159" t="s">
        <v>147</v>
      </c>
      <c r="J481" s="164" t="s">
        <v>818</v>
      </c>
    </row>
    <row r="482" spans="6:10">
      <c r="F482" s="159" t="s">
        <v>863</v>
      </c>
      <c r="G482" s="164">
        <v>4.7</v>
      </c>
      <c r="H482" s="159" t="s">
        <v>146</v>
      </c>
      <c r="I482" s="159" t="s">
        <v>864</v>
      </c>
      <c r="J482" s="164"/>
    </row>
    <row r="483" spans="6:10">
      <c r="F483" s="159" t="s">
        <v>865</v>
      </c>
      <c r="G483" s="164">
        <v>12.1</v>
      </c>
      <c r="H483" s="159" t="s">
        <v>146</v>
      </c>
      <c r="I483" s="159" t="s">
        <v>147</v>
      </c>
      <c r="J483" s="164" t="s">
        <v>867</v>
      </c>
    </row>
    <row r="484" spans="6:10">
      <c r="F484" s="152" t="s">
        <v>866</v>
      </c>
      <c r="G484" s="164">
        <v>12.1</v>
      </c>
      <c r="H484" s="159" t="s">
        <v>146</v>
      </c>
      <c r="I484" s="159" t="s">
        <v>147</v>
      </c>
      <c r="J484" s="164" t="s">
        <v>867</v>
      </c>
    </row>
    <row r="485" spans="6:10">
      <c r="F485" s="152" t="s">
        <v>870</v>
      </c>
      <c r="G485" s="164">
        <v>9.5299999999999994</v>
      </c>
      <c r="H485" s="159" t="s">
        <v>146</v>
      </c>
      <c r="I485" s="159" t="s">
        <v>147</v>
      </c>
      <c r="J485" s="164" t="s">
        <v>871</v>
      </c>
    </row>
    <row r="486" spans="6:10">
      <c r="F486" s="152" t="s">
        <v>872</v>
      </c>
      <c r="G486" s="164">
        <v>18.600000000000001</v>
      </c>
      <c r="H486" s="159" t="s">
        <v>146</v>
      </c>
      <c r="I486" s="159" t="s">
        <v>882</v>
      </c>
      <c r="J486" s="164"/>
    </row>
    <row r="487" spans="6:10">
      <c r="F487" s="152" t="s">
        <v>873</v>
      </c>
      <c r="G487" s="164">
        <v>18.2</v>
      </c>
      <c r="H487" s="159" t="s">
        <v>146</v>
      </c>
      <c r="I487" s="159" t="s">
        <v>882</v>
      </c>
      <c r="J487" s="164"/>
    </row>
    <row r="488" spans="6:10">
      <c r="F488" s="152" t="s">
        <v>874</v>
      </c>
      <c r="G488" s="98">
        <v>18.2</v>
      </c>
      <c r="H488" s="159" t="s">
        <v>146</v>
      </c>
      <c r="I488" s="159" t="s">
        <v>882</v>
      </c>
      <c r="J488" s="164"/>
    </row>
    <row r="489" spans="6:10">
      <c r="F489" s="152" t="s">
        <v>875</v>
      </c>
      <c r="G489" s="98">
        <v>18.7</v>
      </c>
      <c r="H489" s="159" t="s">
        <v>146</v>
      </c>
      <c r="I489" s="159" t="s">
        <v>882</v>
      </c>
      <c r="J489" s="164"/>
    </row>
    <row r="490" spans="6:10">
      <c r="F490" s="152" t="s">
        <v>876</v>
      </c>
      <c r="G490" s="98">
        <v>18.5</v>
      </c>
      <c r="H490" s="159" t="s">
        <v>146</v>
      </c>
      <c r="I490" s="159" t="s">
        <v>882</v>
      </c>
      <c r="J490" s="164"/>
    </row>
    <row r="491" spans="6:10">
      <c r="F491" s="152" t="s">
        <v>877</v>
      </c>
      <c r="G491" s="98">
        <v>11.9</v>
      </c>
      <c r="H491" s="159" t="s">
        <v>146</v>
      </c>
      <c r="I491" s="159" t="s">
        <v>882</v>
      </c>
      <c r="J491" s="164"/>
    </row>
    <row r="492" spans="6:10">
      <c r="F492" s="152" t="s">
        <v>878</v>
      </c>
      <c r="G492" s="98">
        <v>13.4</v>
      </c>
      <c r="H492" s="159" t="s">
        <v>146</v>
      </c>
      <c r="I492" s="159" t="s">
        <v>882</v>
      </c>
      <c r="J492" s="164"/>
    </row>
    <row r="493" spans="6:10">
      <c r="F493" s="152" t="s">
        <v>879</v>
      </c>
      <c r="G493" s="98">
        <v>13.6</v>
      </c>
      <c r="H493" s="159" t="s">
        <v>146</v>
      </c>
      <c r="I493" s="159" t="s">
        <v>882</v>
      </c>
      <c r="J493" s="164"/>
    </row>
    <row r="494" spans="6:10">
      <c r="F494" s="152" t="s">
        <v>880</v>
      </c>
      <c r="G494" s="98">
        <v>13.3</v>
      </c>
      <c r="H494" s="159" t="s">
        <v>146</v>
      </c>
      <c r="I494" s="159" t="s">
        <v>882</v>
      </c>
      <c r="J494" s="164"/>
    </row>
    <row r="495" spans="6:10">
      <c r="F495" s="152" t="s">
        <v>881</v>
      </c>
      <c r="G495" s="98">
        <v>13.4</v>
      </c>
      <c r="H495" s="159" t="s">
        <v>146</v>
      </c>
      <c r="I495" s="159" t="s">
        <v>882</v>
      </c>
      <c r="J495" s="164"/>
    </row>
    <row r="496" spans="6:10">
      <c r="F496" s="150" t="s">
        <v>883</v>
      </c>
      <c r="G496" s="98">
        <v>13.5</v>
      </c>
      <c r="H496" s="159" t="s">
        <v>146</v>
      </c>
      <c r="I496" s="159" t="s">
        <v>882</v>
      </c>
      <c r="J496" s="164"/>
    </row>
    <row r="497" spans="6:10">
      <c r="F497" s="150" t="s">
        <v>884</v>
      </c>
      <c r="G497" s="98">
        <v>14.5</v>
      </c>
      <c r="H497" s="159" t="s">
        <v>146</v>
      </c>
      <c r="I497" s="159" t="s">
        <v>882</v>
      </c>
      <c r="J497" s="164"/>
    </row>
    <row r="498" spans="6:10">
      <c r="F498" s="101"/>
      <c r="J498" s="165"/>
    </row>
  </sheetData>
  <autoFilter ref="F1:J431" xr:uid="{00000000-0009-0000-0000-000008000000}">
    <sortState xmlns:xlrd2="http://schemas.microsoft.com/office/spreadsheetml/2017/richdata2" ref="F2:J400">
      <sortCondition ref="F1:F400"/>
    </sortState>
  </autoFilter>
  <phoneticPr fontId="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
    <tabColor indexed="10"/>
  </sheetPr>
  <dimension ref="A1:CA676"/>
  <sheetViews>
    <sheetView workbookViewId="0">
      <selection activeCell="A5" sqref="A5"/>
    </sheetView>
  </sheetViews>
  <sheetFormatPr defaultColWidth="9.109375" defaultRowHeight="13.2"/>
  <cols>
    <col min="1" max="1" width="8.5546875" customWidth="1"/>
    <col min="2" max="2" width="7.88671875" customWidth="1"/>
    <col min="3" max="3" width="21.109375" customWidth="1"/>
    <col min="4" max="4" width="65.33203125" customWidth="1"/>
    <col min="5" max="9" width="5.6640625" style="1" customWidth="1"/>
    <col min="10" max="10" width="5.109375" style="1" customWidth="1"/>
    <col min="11" max="15" width="5.6640625" style="1" customWidth="1"/>
    <col min="16" max="16" width="5.109375" style="1" customWidth="1"/>
    <col min="17" max="17" width="8.88671875" style="1" customWidth="1"/>
    <col min="18" max="18" width="14.5546875" style="1" customWidth="1"/>
    <col min="19" max="19" width="9.109375" style="1"/>
    <col min="20" max="22" width="18.88671875" style="1" customWidth="1"/>
    <col min="23" max="23" width="12.88671875" style="1" customWidth="1"/>
    <col min="24" max="24" width="11.6640625" style="1" customWidth="1"/>
    <col min="25" max="26" width="9.109375" style="1"/>
    <col min="27" max="27" width="12.44140625" style="1" customWidth="1"/>
    <col min="28" max="28" width="41.5546875" style="1" customWidth="1"/>
    <col min="29" max="29" width="29" style="1" customWidth="1"/>
    <col min="30" max="30" width="10.88671875" style="1" customWidth="1"/>
    <col min="31" max="31" width="11.44140625" style="1" customWidth="1"/>
    <col min="32" max="32" width="14.44140625" style="1" customWidth="1"/>
    <col min="33" max="33" width="9.109375" style="28"/>
    <col min="34" max="34" width="9.109375" style="29"/>
    <col min="35" max="35" width="9.109375" style="30"/>
    <col min="36" max="36" width="12.88671875" style="1" customWidth="1"/>
    <col min="37" max="37" width="9.109375" style="28"/>
    <col min="38" max="38" width="9.109375" style="29"/>
    <col min="39" max="39" width="9.109375" style="30"/>
    <col min="40" max="42" width="23.6640625" style="20" customWidth="1"/>
    <col min="43" max="43" width="23.44140625" style="20" customWidth="1"/>
    <col min="44" max="48" width="22.6640625" style="20" customWidth="1"/>
    <col min="49" max="49" width="25.33203125" style="20" customWidth="1"/>
    <col min="50" max="54" width="22.6640625" style="20" customWidth="1"/>
  </cols>
  <sheetData>
    <row r="1" spans="1:54">
      <c r="E1" s="923" t="s">
        <v>32</v>
      </c>
      <c r="F1" s="923"/>
      <c r="G1" s="923"/>
      <c r="H1" s="923"/>
      <c r="I1" s="923"/>
      <c r="J1" s="923"/>
      <c r="K1" s="923"/>
      <c r="L1" s="923"/>
      <c r="M1" s="923"/>
      <c r="N1" s="923"/>
      <c r="O1" s="923"/>
      <c r="P1" s="923"/>
      <c r="Q1" s="923" t="s">
        <v>33</v>
      </c>
      <c r="R1" s="923"/>
      <c r="S1" s="924"/>
      <c r="T1" s="922" t="s">
        <v>38</v>
      </c>
      <c r="U1" s="923"/>
      <c r="V1" s="923"/>
      <c r="W1" s="923"/>
      <c r="X1" s="924"/>
      <c r="Y1" s="923" t="s">
        <v>39</v>
      </c>
      <c r="Z1" s="923"/>
      <c r="AA1" s="922" t="s">
        <v>47</v>
      </c>
      <c r="AB1" s="923"/>
      <c r="AC1" s="924"/>
      <c r="AD1" s="922" t="s">
        <v>49</v>
      </c>
      <c r="AE1" s="923"/>
      <c r="AF1" s="923"/>
      <c r="AG1" s="923"/>
      <c r="AH1" s="923"/>
      <c r="AI1" s="924"/>
      <c r="AJ1" s="922" t="s">
        <v>55</v>
      </c>
      <c r="AK1" s="923"/>
      <c r="AL1" s="923"/>
      <c r="AM1" s="924"/>
      <c r="AN1" s="922" t="s">
        <v>59</v>
      </c>
      <c r="AO1" s="923"/>
      <c r="AP1" s="923"/>
      <c r="AQ1" s="923"/>
      <c r="AR1" s="923"/>
      <c r="AS1" s="923"/>
      <c r="AT1" s="923"/>
      <c r="AU1" s="923"/>
      <c r="AV1" s="923"/>
      <c r="AW1" s="924"/>
      <c r="AX1" s="922" t="s">
        <v>65</v>
      </c>
      <c r="AY1" s="923"/>
      <c r="AZ1" s="923"/>
      <c r="BA1" s="923"/>
      <c r="BB1" s="924"/>
    </row>
    <row r="2" spans="1:54">
      <c r="C2" t="s">
        <v>111</v>
      </c>
      <c r="S2" s="16"/>
      <c r="T2" s="17"/>
      <c r="X2" s="16"/>
      <c r="AA2" s="18" t="s">
        <v>108</v>
      </c>
      <c r="AC2" s="16"/>
      <c r="AD2" s="1" t="s">
        <v>109</v>
      </c>
      <c r="AE2" s="1" t="s">
        <v>120</v>
      </c>
      <c r="AF2" s="1" t="s">
        <v>110</v>
      </c>
      <c r="AG2" s="1" t="s">
        <v>112</v>
      </c>
      <c r="AH2" s="1" t="s">
        <v>113</v>
      </c>
      <c r="AI2" s="16" t="s">
        <v>114</v>
      </c>
      <c r="AJ2" s="1" t="s">
        <v>121</v>
      </c>
      <c r="AK2" s="1" t="s">
        <v>122</v>
      </c>
      <c r="AL2" s="1" t="s">
        <v>123</v>
      </c>
      <c r="AM2" s="1" t="s">
        <v>124</v>
      </c>
      <c r="AN2" s="17"/>
      <c r="AO2" s="1"/>
      <c r="AP2" s="1"/>
      <c r="AQ2" s="1"/>
      <c r="AR2" s="1"/>
      <c r="AS2" s="1"/>
      <c r="AT2" s="1"/>
      <c r="AU2" s="1"/>
      <c r="AV2" s="1"/>
      <c r="AW2" s="16"/>
      <c r="AX2" s="17"/>
      <c r="AY2" s="1"/>
      <c r="AZ2" s="1"/>
      <c r="BA2" s="1"/>
      <c r="BB2" s="16"/>
    </row>
    <row r="3" spans="1:54">
      <c r="E3" s="922" t="s">
        <v>24</v>
      </c>
      <c r="F3" s="923"/>
      <c r="G3" s="923"/>
      <c r="H3" s="923"/>
      <c r="I3" s="923"/>
      <c r="J3" s="16" t="s">
        <v>25</v>
      </c>
      <c r="K3" s="922" t="s">
        <v>29</v>
      </c>
      <c r="L3" s="923"/>
      <c r="M3" s="923"/>
      <c r="N3" s="923"/>
      <c r="O3" s="923"/>
      <c r="P3" s="16" t="s">
        <v>25</v>
      </c>
      <c r="Q3" s="1" t="s">
        <v>34</v>
      </c>
      <c r="R3" s="1" t="s">
        <v>23</v>
      </c>
      <c r="S3" s="16" t="s">
        <v>37</v>
      </c>
      <c r="T3" s="18" t="s">
        <v>71</v>
      </c>
      <c r="U3" s="922" t="s">
        <v>68</v>
      </c>
      <c r="V3" s="924"/>
      <c r="W3" s="18" t="s">
        <v>69</v>
      </c>
      <c r="X3" s="16" t="s">
        <v>70</v>
      </c>
      <c r="Y3" s="1" t="s">
        <v>40</v>
      </c>
      <c r="Z3" s="1" t="s">
        <v>41</v>
      </c>
      <c r="AA3" s="18"/>
      <c r="AB3" s="18"/>
      <c r="AC3" s="16"/>
      <c r="AG3" s="923" t="s">
        <v>4</v>
      </c>
      <c r="AH3" s="923"/>
      <c r="AI3" s="924"/>
      <c r="AK3" s="923" t="s">
        <v>4</v>
      </c>
      <c r="AL3" s="923"/>
      <c r="AM3" s="924"/>
      <c r="AN3" s="933" t="s">
        <v>86</v>
      </c>
      <c r="AO3" s="931"/>
      <c r="AP3" s="931"/>
      <c r="AQ3" s="931"/>
      <c r="AR3" s="932"/>
      <c r="AS3" s="931" t="s">
        <v>85</v>
      </c>
      <c r="AT3" s="931"/>
      <c r="AU3" s="931"/>
      <c r="AV3" s="931"/>
      <c r="AW3" s="932"/>
      <c r="AX3" s="19"/>
      <c r="BB3" s="21"/>
    </row>
    <row r="4" spans="1:54" ht="13.8" thickBot="1">
      <c r="A4">
        <v>1</v>
      </c>
      <c r="E4" s="17" t="s">
        <v>18</v>
      </c>
      <c r="F4" s="1" t="s">
        <v>19</v>
      </c>
      <c r="G4" s="1" t="s">
        <v>20</v>
      </c>
      <c r="H4" s="1" t="s">
        <v>21</v>
      </c>
      <c r="I4" s="1" t="s">
        <v>22</v>
      </c>
      <c r="J4" s="16" t="s">
        <v>15</v>
      </c>
      <c r="K4" s="17" t="s">
        <v>18</v>
      </c>
      <c r="L4" s="1" t="s">
        <v>19</v>
      </c>
      <c r="M4" s="1" t="s">
        <v>20</v>
      </c>
      <c r="N4" s="1" t="s">
        <v>21</v>
      </c>
      <c r="O4" s="1" t="s">
        <v>22</v>
      </c>
      <c r="P4" s="16" t="s">
        <v>15</v>
      </c>
      <c r="S4" s="16"/>
      <c r="T4" s="22">
        <v>0.7</v>
      </c>
      <c r="U4" s="23" t="s">
        <v>72</v>
      </c>
      <c r="V4" s="24" t="s">
        <v>73</v>
      </c>
      <c r="W4" s="22">
        <v>3.2</v>
      </c>
      <c r="X4" s="24" t="s">
        <v>74</v>
      </c>
      <c r="AA4" s="18" t="s">
        <v>77</v>
      </c>
      <c r="AB4" s="25" t="s">
        <v>78</v>
      </c>
      <c r="AC4" s="26" t="s">
        <v>105</v>
      </c>
      <c r="AD4" s="1" t="s">
        <v>50</v>
      </c>
      <c r="AE4" s="27" t="s">
        <v>51</v>
      </c>
      <c r="AF4" s="1" t="s">
        <v>58</v>
      </c>
      <c r="AG4" s="28" t="s">
        <v>54</v>
      </c>
      <c r="AH4" s="29" t="s">
        <v>52</v>
      </c>
      <c r="AI4" s="30" t="s">
        <v>53</v>
      </c>
      <c r="AJ4" s="1" t="s">
        <v>58</v>
      </c>
      <c r="AK4" s="28" t="s">
        <v>54</v>
      </c>
      <c r="AL4" s="29" t="s">
        <v>52</v>
      </c>
      <c r="AM4" s="30" t="s">
        <v>53</v>
      </c>
      <c r="AN4" s="19" t="s">
        <v>60</v>
      </c>
      <c r="AO4" s="20" t="s">
        <v>61</v>
      </c>
      <c r="AP4" s="20" t="s">
        <v>62</v>
      </c>
      <c r="AQ4" s="20" t="s">
        <v>63</v>
      </c>
      <c r="AR4" s="20" t="s">
        <v>64</v>
      </c>
      <c r="AS4" s="19" t="s">
        <v>60</v>
      </c>
      <c r="AT4" s="20" t="s">
        <v>61</v>
      </c>
      <c r="AU4" s="20" t="s">
        <v>62</v>
      </c>
      <c r="AV4" s="20" t="s">
        <v>63</v>
      </c>
      <c r="AW4" s="21" t="s">
        <v>64</v>
      </c>
      <c r="AX4" s="19" t="s">
        <v>60</v>
      </c>
      <c r="AY4" s="20" t="s">
        <v>61</v>
      </c>
      <c r="AZ4" s="20" t="s">
        <v>62</v>
      </c>
      <c r="BA4" s="20" t="s">
        <v>63</v>
      </c>
      <c r="BB4" s="21" t="s">
        <v>64</v>
      </c>
    </row>
    <row r="5" spans="1:54" s="31" customFormat="1" ht="13.8" thickTop="1">
      <c r="B5" s="31">
        <v>1</v>
      </c>
      <c r="C5" s="31" t="s">
        <v>9</v>
      </c>
      <c r="D5" s="31" t="s">
        <v>10</v>
      </c>
      <c r="E5" s="32">
        <v>0.9</v>
      </c>
      <c r="F5" s="33">
        <v>0.9</v>
      </c>
      <c r="G5" s="33">
        <v>0.9</v>
      </c>
      <c r="H5" s="33">
        <v>0.9</v>
      </c>
      <c r="I5" s="33">
        <v>0.9</v>
      </c>
      <c r="J5" s="34">
        <v>7</v>
      </c>
      <c r="K5" s="17">
        <v>0.7</v>
      </c>
      <c r="L5" s="1">
        <v>0.7</v>
      </c>
      <c r="M5" s="1">
        <v>0.7</v>
      </c>
      <c r="N5" s="1">
        <v>0.7</v>
      </c>
      <c r="O5" s="1">
        <v>0.7</v>
      </c>
      <c r="P5" s="34">
        <v>7</v>
      </c>
      <c r="Q5" s="33" t="s">
        <v>36</v>
      </c>
      <c r="R5" s="33">
        <v>6</v>
      </c>
      <c r="S5" s="34">
        <v>3</v>
      </c>
      <c r="T5" s="35" t="s">
        <v>36</v>
      </c>
      <c r="U5" s="17" t="s">
        <v>36</v>
      </c>
      <c r="V5" s="16" t="s">
        <v>36</v>
      </c>
      <c r="W5" s="18" t="s">
        <v>36</v>
      </c>
      <c r="X5" s="16" t="s">
        <v>36</v>
      </c>
      <c r="Y5" s="33">
        <v>10</v>
      </c>
      <c r="Z5" s="33">
        <v>0.5</v>
      </c>
      <c r="AA5" s="36" t="s">
        <v>80</v>
      </c>
      <c r="AB5" s="37" t="s">
        <v>79</v>
      </c>
      <c r="AC5" s="38" t="s">
        <v>35</v>
      </c>
      <c r="AD5" s="39">
        <v>0.55000000000000004</v>
      </c>
      <c r="AE5" s="40">
        <v>0.35</v>
      </c>
      <c r="AF5" s="33" t="s">
        <v>57</v>
      </c>
      <c r="AG5" s="41">
        <v>5</v>
      </c>
      <c r="AH5" s="42">
        <v>1.8</v>
      </c>
      <c r="AI5" s="43">
        <v>2.6</v>
      </c>
      <c r="AJ5" s="44" t="s">
        <v>57</v>
      </c>
      <c r="AK5" s="41">
        <v>5</v>
      </c>
      <c r="AL5" s="42">
        <v>1.8</v>
      </c>
      <c r="AM5" s="43">
        <v>2.6</v>
      </c>
      <c r="AN5" s="45">
        <v>125</v>
      </c>
      <c r="AO5" s="46">
        <v>125</v>
      </c>
      <c r="AP5" s="46">
        <v>125</v>
      </c>
      <c r="AQ5" s="46">
        <v>125</v>
      </c>
      <c r="AR5" s="46">
        <v>125</v>
      </c>
      <c r="AS5" s="45">
        <v>125</v>
      </c>
      <c r="AT5" s="46">
        <v>125</v>
      </c>
      <c r="AU5" s="46">
        <v>125</v>
      </c>
      <c r="AV5" s="46">
        <v>125</v>
      </c>
      <c r="AW5" s="47">
        <v>125</v>
      </c>
      <c r="AX5" s="45">
        <v>250</v>
      </c>
      <c r="AY5" s="46">
        <v>250</v>
      </c>
      <c r="AZ5" s="46">
        <v>250</v>
      </c>
      <c r="BA5" s="46">
        <v>250</v>
      </c>
      <c r="BB5" s="47">
        <v>250</v>
      </c>
    </row>
    <row r="6" spans="1:54">
      <c r="D6" t="s">
        <v>17</v>
      </c>
      <c r="E6" s="17">
        <v>0.8</v>
      </c>
      <c r="F6" s="1">
        <v>0.8</v>
      </c>
      <c r="G6" s="1">
        <v>0.8</v>
      </c>
      <c r="H6" s="1">
        <v>0.8</v>
      </c>
      <c r="I6" s="1">
        <v>0.8</v>
      </c>
      <c r="J6" s="16">
        <v>7</v>
      </c>
      <c r="K6" s="17">
        <v>0.8</v>
      </c>
      <c r="L6" s="1">
        <v>0.8</v>
      </c>
      <c r="M6" s="1">
        <v>0.8</v>
      </c>
      <c r="N6" s="1">
        <v>0.8</v>
      </c>
      <c r="O6" s="1">
        <v>0.8</v>
      </c>
      <c r="P6" s="16">
        <v>7</v>
      </c>
      <c r="Q6" s="1" t="s">
        <v>35</v>
      </c>
      <c r="R6" s="1" t="s">
        <v>98</v>
      </c>
      <c r="S6" s="16" t="s">
        <v>98</v>
      </c>
      <c r="T6" s="18" t="s">
        <v>35</v>
      </c>
      <c r="U6" s="17" t="s">
        <v>36</v>
      </c>
      <c r="V6" s="16" t="s">
        <v>36</v>
      </c>
      <c r="W6" s="18" t="s">
        <v>35</v>
      </c>
      <c r="X6" s="16" t="s">
        <v>35</v>
      </c>
      <c r="Y6" s="1">
        <v>8</v>
      </c>
      <c r="Z6" s="1">
        <v>0.5</v>
      </c>
      <c r="AA6" s="48" t="s">
        <v>35</v>
      </c>
      <c r="AB6" s="48" t="s">
        <v>35</v>
      </c>
      <c r="AC6" s="38" t="s">
        <v>35</v>
      </c>
      <c r="AD6" s="49">
        <v>0.6</v>
      </c>
      <c r="AE6" s="40">
        <v>0.35</v>
      </c>
      <c r="AF6" s="1" t="s">
        <v>56</v>
      </c>
      <c r="AG6" s="28">
        <v>4</v>
      </c>
      <c r="AH6" s="29">
        <v>1.6</v>
      </c>
      <c r="AI6" s="30">
        <v>2.6</v>
      </c>
      <c r="AJ6" s="50" t="s">
        <v>56</v>
      </c>
      <c r="AK6" s="28">
        <v>4</v>
      </c>
      <c r="AL6" s="29">
        <v>1.6</v>
      </c>
      <c r="AM6" s="30">
        <v>2.6</v>
      </c>
      <c r="AN6" s="51">
        <v>1</v>
      </c>
      <c r="AO6" s="52">
        <v>1</v>
      </c>
      <c r="AP6" s="52">
        <v>1</v>
      </c>
      <c r="AQ6" s="52">
        <v>1</v>
      </c>
      <c r="AR6" s="53">
        <v>1</v>
      </c>
      <c r="AS6" s="51">
        <v>1</v>
      </c>
      <c r="AT6" s="52">
        <v>1</v>
      </c>
      <c r="AU6" s="52">
        <v>1</v>
      </c>
      <c r="AV6" s="52">
        <v>1</v>
      </c>
      <c r="AW6" s="53">
        <v>1</v>
      </c>
      <c r="AX6" s="51">
        <v>1</v>
      </c>
      <c r="AY6" s="52">
        <v>1</v>
      </c>
      <c r="AZ6" s="52">
        <v>1</v>
      </c>
      <c r="BA6" s="52">
        <v>1</v>
      </c>
      <c r="BB6" s="53">
        <v>1</v>
      </c>
    </row>
    <row r="7" spans="1:54">
      <c r="D7" t="s">
        <v>12</v>
      </c>
      <c r="E7" s="17">
        <v>0.9</v>
      </c>
      <c r="F7" s="1">
        <v>0.9</v>
      </c>
      <c r="G7" s="1">
        <v>0.9</v>
      </c>
      <c r="H7" s="1">
        <v>0.9</v>
      </c>
      <c r="I7" s="1">
        <v>0.9</v>
      </c>
      <c r="J7" s="16">
        <v>7</v>
      </c>
      <c r="K7" s="17">
        <v>0.7</v>
      </c>
      <c r="L7" s="1">
        <v>0.7</v>
      </c>
      <c r="M7" s="1">
        <v>0.7</v>
      </c>
      <c r="N7" s="1">
        <v>0.7</v>
      </c>
      <c r="O7" s="1">
        <v>0.7</v>
      </c>
      <c r="P7" s="16">
        <v>7</v>
      </c>
      <c r="Q7" s="1" t="s">
        <v>36</v>
      </c>
      <c r="R7" s="1">
        <v>6</v>
      </c>
      <c r="S7" s="16">
        <v>3</v>
      </c>
      <c r="T7" s="18" t="s">
        <v>104</v>
      </c>
      <c r="U7" s="17" t="s">
        <v>36</v>
      </c>
      <c r="V7" s="16" t="s">
        <v>36</v>
      </c>
      <c r="W7" s="18" t="s">
        <v>36</v>
      </c>
      <c r="X7" s="16" t="s">
        <v>36</v>
      </c>
      <c r="Y7" s="1">
        <v>10</v>
      </c>
      <c r="Z7" s="1">
        <v>0.5</v>
      </c>
      <c r="AA7" s="48" t="s">
        <v>35</v>
      </c>
      <c r="AB7" s="48" t="s">
        <v>35</v>
      </c>
      <c r="AC7" s="38" t="s">
        <v>35</v>
      </c>
      <c r="AD7" s="49">
        <v>0.55000000000000004</v>
      </c>
      <c r="AE7" s="40">
        <v>0.35</v>
      </c>
      <c r="AF7" s="1" t="s">
        <v>57</v>
      </c>
      <c r="AG7" s="28">
        <v>5</v>
      </c>
      <c r="AH7" s="29">
        <v>1.8</v>
      </c>
      <c r="AI7" s="30">
        <v>2.6</v>
      </c>
      <c r="AJ7" s="50" t="s">
        <v>57</v>
      </c>
      <c r="AK7" s="28">
        <v>5</v>
      </c>
      <c r="AL7" s="29">
        <v>1.8</v>
      </c>
      <c r="AM7" s="30">
        <v>2.6</v>
      </c>
      <c r="AN7" s="51">
        <v>1</v>
      </c>
      <c r="AO7" s="52">
        <v>1</v>
      </c>
      <c r="AP7" s="52">
        <v>1</v>
      </c>
      <c r="AQ7" s="52">
        <v>1</v>
      </c>
      <c r="AR7" s="53">
        <v>1</v>
      </c>
      <c r="AS7" s="51">
        <v>1</v>
      </c>
      <c r="AT7" s="52">
        <v>1</v>
      </c>
      <c r="AU7" s="52">
        <v>1</v>
      </c>
      <c r="AV7" s="52">
        <v>1</v>
      </c>
      <c r="AW7" s="53">
        <v>1</v>
      </c>
      <c r="AX7" s="51">
        <v>1</v>
      </c>
      <c r="AY7" s="52">
        <v>1</v>
      </c>
      <c r="AZ7" s="52">
        <v>1</v>
      </c>
      <c r="BA7" s="52">
        <v>1</v>
      </c>
      <c r="BB7" s="53">
        <v>1</v>
      </c>
    </row>
    <row r="8" spans="1:54">
      <c r="D8" s="57" t="s">
        <v>67</v>
      </c>
      <c r="E8" s="97">
        <v>0.9</v>
      </c>
      <c r="F8" s="98">
        <v>0.9</v>
      </c>
      <c r="G8" s="98">
        <v>0.9</v>
      </c>
      <c r="H8" s="98">
        <v>0.9</v>
      </c>
      <c r="I8" s="98">
        <v>0.9</v>
      </c>
      <c r="J8" s="99">
        <v>7</v>
      </c>
      <c r="K8" s="97">
        <v>0.9</v>
      </c>
      <c r="L8" s="98">
        <v>0.9</v>
      </c>
      <c r="M8" s="98">
        <v>0.9</v>
      </c>
      <c r="N8" s="98">
        <v>0.9</v>
      </c>
      <c r="O8" s="98">
        <v>0.9</v>
      </c>
      <c r="P8" s="99">
        <v>7</v>
      </c>
      <c r="Q8" s="1" t="s">
        <v>36</v>
      </c>
      <c r="R8" s="1">
        <v>6</v>
      </c>
      <c r="S8" s="16">
        <v>3</v>
      </c>
      <c r="T8" s="18" t="s">
        <v>35</v>
      </c>
      <c r="U8" s="17" t="s">
        <v>36</v>
      </c>
      <c r="V8" s="16" t="s">
        <v>36</v>
      </c>
      <c r="W8" s="18" t="s">
        <v>36</v>
      </c>
      <c r="X8" s="16" t="s">
        <v>36</v>
      </c>
      <c r="Y8" s="1">
        <v>10</v>
      </c>
      <c r="Z8" s="1">
        <v>0.5</v>
      </c>
      <c r="AA8" s="48" t="s">
        <v>35</v>
      </c>
      <c r="AB8" s="48" t="s">
        <v>35</v>
      </c>
      <c r="AC8" s="38" t="s">
        <v>35</v>
      </c>
      <c r="AD8" s="49">
        <v>0.55000000000000004</v>
      </c>
      <c r="AE8" s="40">
        <v>0.35</v>
      </c>
      <c r="AF8" s="1" t="s">
        <v>57</v>
      </c>
      <c r="AG8" s="28">
        <v>5</v>
      </c>
      <c r="AH8" s="29">
        <v>1.8</v>
      </c>
      <c r="AI8" s="30">
        <v>2.6</v>
      </c>
      <c r="AJ8" s="50" t="s">
        <v>57</v>
      </c>
      <c r="AK8" s="28">
        <v>5</v>
      </c>
      <c r="AL8" s="29">
        <v>1.8</v>
      </c>
      <c r="AM8" s="30">
        <v>2.6</v>
      </c>
      <c r="AN8" s="54">
        <v>125</v>
      </c>
      <c r="AO8" s="55">
        <v>125</v>
      </c>
      <c r="AP8" s="55">
        <v>125</v>
      </c>
      <c r="AQ8" s="55">
        <v>125</v>
      </c>
      <c r="AR8" s="55">
        <v>125</v>
      </c>
      <c r="AS8" s="54">
        <v>125</v>
      </c>
      <c r="AT8" s="55">
        <v>125</v>
      </c>
      <c r="AU8" s="55">
        <v>125</v>
      </c>
      <c r="AV8" s="55">
        <v>125</v>
      </c>
      <c r="AW8" s="56">
        <v>125</v>
      </c>
      <c r="AX8" s="54">
        <v>250</v>
      </c>
      <c r="AY8" s="55">
        <v>250</v>
      </c>
      <c r="AZ8" s="55">
        <v>250</v>
      </c>
      <c r="BA8" s="55">
        <v>250</v>
      </c>
      <c r="BB8" s="56">
        <v>250</v>
      </c>
    </row>
    <row r="9" spans="1:54" ht="15.6">
      <c r="D9" s="57" t="s">
        <v>66</v>
      </c>
      <c r="E9" s="97">
        <v>0.9</v>
      </c>
      <c r="F9" s="98">
        <v>0.9</v>
      </c>
      <c r="G9" s="98">
        <v>0.9</v>
      </c>
      <c r="H9" s="98">
        <v>0.9</v>
      </c>
      <c r="I9" s="98">
        <v>0.9</v>
      </c>
      <c r="J9" s="99">
        <v>7</v>
      </c>
      <c r="K9" s="97">
        <v>0.9</v>
      </c>
      <c r="L9" s="98">
        <v>0.9</v>
      </c>
      <c r="M9" s="98">
        <v>0.9</v>
      </c>
      <c r="N9" s="98">
        <v>0.9</v>
      </c>
      <c r="O9" s="98">
        <v>0.9</v>
      </c>
      <c r="P9" s="99">
        <v>7</v>
      </c>
      <c r="Q9" s="1" t="s">
        <v>36</v>
      </c>
      <c r="R9" s="1">
        <v>6</v>
      </c>
      <c r="S9" s="16">
        <v>3</v>
      </c>
      <c r="T9" s="18" t="s">
        <v>35</v>
      </c>
      <c r="U9" s="17" t="s">
        <v>36</v>
      </c>
      <c r="V9" s="16" t="s">
        <v>36</v>
      </c>
      <c r="W9" s="18" t="s">
        <v>36</v>
      </c>
      <c r="X9" s="16" t="s">
        <v>36</v>
      </c>
      <c r="Y9" s="1">
        <v>10</v>
      </c>
      <c r="Z9" s="1">
        <v>0.5</v>
      </c>
      <c r="AA9" s="48" t="s">
        <v>80</v>
      </c>
      <c r="AB9" s="48" t="s">
        <v>35</v>
      </c>
      <c r="AC9" s="38" t="s">
        <v>35</v>
      </c>
      <c r="AD9" s="49">
        <v>0.55000000000000004</v>
      </c>
      <c r="AE9" s="49">
        <v>0.35</v>
      </c>
      <c r="AF9" s="1" t="s">
        <v>57</v>
      </c>
      <c r="AG9" s="28">
        <v>5</v>
      </c>
      <c r="AH9" s="29">
        <v>1.8</v>
      </c>
      <c r="AI9" s="30">
        <v>2.6</v>
      </c>
      <c r="AJ9" s="50" t="s">
        <v>57</v>
      </c>
      <c r="AK9" s="28">
        <v>5</v>
      </c>
      <c r="AL9" s="29">
        <v>1.8</v>
      </c>
      <c r="AM9" s="30">
        <v>2.6</v>
      </c>
      <c r="AN9" s="54">
        <v>125</v>
      </c>
      <c r="AO9" s="55">
        <v>125</v>
      </c>
      <c r="AP9" s="55">
        <v>125</v>
      </c>
      <c r="AQ9" s="55">
        <v>125</v>
      </c>
      <c r="AR9" s="55">
        <v>125</v>
      </c>
      <c r="AS9" s="54">
        <v>125</v>
      </c>
      <c r="AT9" s="55">
        <v>125</v>
      </c>
      <c r="AU9" s="55">
        <v>125</v>
      </c>
      <c r="AV9" s="55">
        <v>125</v>
      </c>
      <c r="AW9" s="56">
        <v>125</v>
      </c>
      <c r="AX9" s="54">
        <v>250</v>
      </c>
      <c r="AY9" s="55">
        <v>250</v>
      </c>
      <c r="AZ9" s="55">
        <v>250</v>
      </c>
      <c r="BA9" s="55">
        <v>250</v>
      </c>
      <c r="BB9" s="56">
        <v>250</v>
      </c>
    </row>
    <row r="10" spans="1:54" ht="15.6">
      <c r="D10" s="57" t="s">
        <v>82</v>
      </c>
      <c r="E10" s="97">
        <v>0.9</v>
      </c>
      <c r="F10" s="98">
        <v>0.9</v>
      </c>
      <c r="G10" s="98">
        <v>0.9</v>
      </c>
      <c r="H10" s="98">
        <v>0.9</v>
      </c>
      <c r="I10" s="98">
        <v>0.9</v>
      </c>
      <c r="J10" s="99">
        <v>7</v>
      </c>
      <c r="K10" s="97">
        <v>0.9</v>
      </c>
      <c r="L10" s="98">
        <v>0.9</v>
      </c>
      <c r="M10" s="98">
        <v>0.9</v>
      </c>
      <c r="N10" s="98">
        <v>0.9</v>
      </c>
      <c r="O10" s="98">
        <v>0.9</v>
      </c>
      <c r="P10" s="99">
        <v>7</v>
      </c>
      <c r="Q10" s="1" t="s">
        <v>36</v>
      </c>
      <c r="R10" s="1">
        <v>6</v>
      </c>
      <c r="S10" s="16">
        <v>3</v>
      </c>
      <c r="T10" s="18" t="s">
        <v>35</v>
      </c>
      <c r="U10" s="17" t="s">
        <v>36</v>
      </c>
      <c r="V10" s="16" t="s">
        <v>36</v>
      </c>
      <c r="W10" s="18" t="s">
        <v>36</v>
      </c>
      <c r="X10" s="16" t="s">
        <v>36</v>
      </c>
      <c r="Y10" s="1">
        <v>10</v>
      </c>
      <c r="Z10" s="1">
        <v>0.5</v>
      </c>
      <c r="AA10" s="48" t="s">
        <v>80</v>
      </c>
      <c r="AB10" s="48" t="s">
        <v>35</v>
      </c>
      <c r="AC10" s="38" t="s">
        <v>35</v>
      </c>
      <c r="AD10" s="49">
        <v>0.55000000000000004</v>
      </c>
      <c r="AE10" s="49">
        <v>0.35</v>
      </c>
      <c r="AF10" s="1" t="s">
        <v>57</v>
      </c>
      <c r="AG10" s="28">
        <v>5</v>
      </c>
      <c r="AH10" s="29">
        <v>1.8</v>
      </c>
      <c r="AI10" s="30">
        <v>2.6</v>
      </c>
      <c r="AJ10" s="50" t="s">
        <v>57</v>
      </c>
      <c r="AK10" s="28">
        <v>5</v>
      </c>
      <c r="AL10" s="29">
        <v>1.8</v>
      </c>
      <c r="AM10" s="30">
        <v>2.6</v>
      </c>
      <c r="AN10" s="54">
        <v>125</v>
      </c>
      <c r="AO10" s="55">
        <v>125</v>
      </c>
      <c r="AP10" s="55">
        <v>125</v>
      </c>
      <c r="AQ10" s="55">
        <v>125</v>
      </c>
      <c r="AR10" s="55">
        <v>125</v>
      </c>
      <c r="AS10" s="54">
        <v>125</v>
      </c>
      <c r="AT10" s="55">
        <v>125</v>
      </c>
      <c r="AU10" s="55">
        <v>125</v>
      </c>
      <c r="AV10" s="55">
        <v>125</v>
      </c>
      <c r="AW10" s="56">
        <v>125</v>
      </c>
      <c r="AX10" s="54">
        <v>250</v>
      </c>
      <c r="AY10" s="55">
        <v>250</v>
      </c>
      <c r="AZ10" s="55">
        <v>250</v>
      </c>
      <c r="BA10" s="55">
        <v>250</v>
      </c>
      <c r="BB10" s="56">
        <v>250</v>
      </c>
    </row>
    <row r="11" spans="1:54" ht="15.6">
      <c r="D11" s="57" t="s">
        <v>81</v>
      </c>
      <c r="E11" s="97">
        <v>0.9</v>
      </c>
      <c r="F11" s="98">
        <v>0.9</v>
      </c>
      <c r="G11" s="98">
        <v>0.9</v>
      </c>
      <c r="H11" s="98">
        <v>0.9</v>
      </c>
      <c r="I11" s="98">
        <v>0.9</v>
      </c>
      <c r="J11" s="99">
        <v>7</v>
      </c>
      <c r="K11" s="97">
        <v>0.9</v>
      </c>
      <c r="L11" s="98">
        <v>0.9</v>
      </c>
      <c r="M11" s="98">
        <v>0.9</v>
      </c>
      <c r="N11" s="98">
        <v>0.9</v>
      </c>
      <c r="O11" s="98">
        <v>0.9</v>
      </c>
      <c r="P11" s="99">
        <v>7</v>
      </c>
      <c r="Q11" s="1" t="s">
        <v>36</v>
      </c>
      <c r="R11" s="1">
        <v>6</v>
      </c>
      <c r="S11" s="16">
        <v>3</v>
      </c>
      <c r="T11" s="18" t="s">
        <v>36</v>
      </c>
      <c r="U11" s="17" t="s">
        <v>36</v>
      </c>
      <c r="V11" s="16" t="s">
        <v>36</v>
      </c>
      <c r="W11" s="18" t="s">
        <v>36</v>
      </c>
      <c r="X11" s="16" t="s">
        <v>36</v>
      </c>
      <c r="Y11" s="1">
        <v>10</v>
      </c>
      <c r="Z11" s="1">
        <v>0.5</v>
      </c>
      <c r="AA11" s="48" t="s">
        <v>35</v>
      </c>
      <c r="AB11" s="48" t="s">
        <v>35</v>
      </c>
      <c r="AC11" s="38" t="s">
        <v>35</v>
      </c>
      <c r="AD11" s="49">
        <v>0.55000000000000004</v>
      </c>
      <c r="AE11" s="49" t="s">
        <v>35</v>
      </c>
      <c r="AF11" s="1" t="s">
        <v>57</v>
      </c>
      <c r="AG11" s="28">
        <v>5</v>
      </c>
      <c r="AH11" s="29">
        <v>1.8</v>
      </c>
      <c r="AI11" s="30">
        <v>2.6</v>
      </c>
      <c r="AJ11" s="50" t="s">
        <v>57</v>
      </c>
      <c r="AK11" s="28">
        <v>5</v>
      </c>
      <c r="AL11" s="29">
        <v>1.8</v>
      </c>
      <c r="AM11" s="30">
        <v>2.6</v>
      </c>
      <c r="AN11" s="58">
        <v>1</v>
      </c>
      <c r="AO11" s="58">
        <v>1</v>
      </c>
      <c r="AP11" s="58">
        <v>1</v>
      </c>
      <c r="AQ11" s="58">
        <v>1</v>
      </c>
      <c r="AR11" s="58">
        <v>1</v>
      </c>
      <c r="AS11" s="58">
        <v>1</v>
      </c>
      <c r="AT11" s="58">
        <v>1</v>
      </c>
      <c r="AU11" s="58">
        <v>1</v>
      </c>
      <c r="AV11" s="58">
        <v>1</v>
      </c>
      <c r="AW11" s="59">
        <v>1</v>
      </c>
      <c r="AX11" s="60">
        <v>1</v>
      </c>
      <c r="AY11" s="60">
        <v>1</v>
      </c>
      <c r="AZ11" s="60">
        <v>1</v>
      </c>
      <c r="BA11" s="60">
        <v>1</v>
      </c>
      <c r="BB11" s="61">
        <v>1</v>
      </c>
    </row>
    <row r="12" spans="1:54" s="62" customFormat="1">
      <c r="E12" s="63"/>
      <c r="F12" s="63"/>
      <c r="G12" s="63"/>
      <c r="H12" s="63"/>
      <c r="I12" s="63"/>
      <c r="J12" s="64"/>
      <c r="K12" s="63"/>
      <c r="L12" s="63"/>
      <c r="M12" s="63"/>
      <c r="N12" s="63"/>
      <c r="O12" s="63"/>
      <c r="P12" s="64"/>
      <c r="Q12" s="63"/>
      <c r="R12" s="63"/>
      <c r="S12" s="64"/>
      <c r="T12" s="65"/>
      <c r="U12" s="66"/>
      <c r="V12" s="64"/>
      <c r="W12" s="65"/>
      <c r="X12" s="63"/>
      <c r="Y12" s="63"/>
      <c r="Z12" s="64"/>
      <c r="AA12" s="65"/>
      <c r="AB12" s="65"/>
      <c r="AC12" s="64"/>
      <c r="AD12" s="67"/>
      <c r="AE12" s="67"/>
      <c r="AF12" s="63"/>
      <c r="AG12" s="68"/>
      <c r="AH12" s="69"/>
      <c r="AI12" s="70"/>
      <c r="AJ12" s="63"/>
      <c r="AK12" s="68"/>
      <c r="AL12" s="69"/>
      <c r="AM12" s="70"/>
      <c r="AN12" s="71"/>
      <c r="AO12" s="71"/>
      <c r="AP12" s="71"/>
      <c r="AQ12" s="71"/>
      <c r="AR12" s="71"/>
      <c r="AS12" s="71"/>
      <c r="AT12" s="71"/>
      <c r="AU12" s="71"/>
      <c r="AV12" s="71"/>
      <c r="AW12" s="71"/>
      <c r="AX12" s="71"/>
      <c r="AY12" s="71"/>
      <c r="AZ12" s="71"/>
      <c r="BA12" s="71"/>
      <c r="BB12" s="71"/>
    </row>
    <row r="13" spans="1:54">
      <c r="C13" t="s">
        <v>11</v>
      </c>
      <c r="D13" t="s">
        <v>42</v>
      </c>
      <c r="E13" s="17">
        <v>8</v>
      </c>
      <c r="F13" s="1">
        <v>3.2</v>
      </c>
      <c r="G13" s="1">
        <v>1.3</v>
      </c>
      <c r="H13" s="1" t="s">
        <v>28</v>
      </c>
      <c r="I13" s="1" t="s">
        <v>28</v>
      </c>
      <c r="J13" s="16">
        <v>7</v>
      </c>
      <c r="K13" s="17">
        <v>6.4</v>
      </c>
      <c r="L13" s="1">
        <v>2.5</v>
      </c>
      <c r="M13" s="1">
        <v>1</v>
      </c>
      <c r="N13" s="1" t="s">
        <v>28</v>
      </c>
      <c r="O13" s="1" t="s">
        <v>28</v>
      </c>
      <c r="P13" s="16">
        <v>7</v>
      </c>
      <c r="Q13" s="1" t="s">
        <v>36</v>
      </c>
      <c r="R13" s="1">
        <v>6</v>
      </c>
      <c r="S13" s="16">
        <v>3</v>
      </c>
      <c r="T13" s="18" t="s">
        <v>35</v>
      </c>
      <c r="U13" s="17" t="s">
        <v>36</v>
      </c>
      <c r="V13" s="16" t="s">
        <v>36</v>
      </c>
      <c r="W13" s="18" t="s">
        <v>36</v>
      </c>
      <c r="X13" s="16" t="s">
        <v>36</v>
      </c>
      <c r="Y13" s="1">
        <v>5</v>
      </c>
      <c r="Z13" s="16">
        <v>0.5</v>
      </c>
      <c r="AA13" s="18" t="s">
        <v>35</v>
      </c>
      <c r="AB13" s="18" t="s">
        <v>35</v>
      </c>
      <c r="AC13" s="16">
        <v>400</v>
      </c>
      <c r="AD13" s="49">
        <v>0.55000000000000004</v>
      </c>
      <c r="AE13" s="49">
        <v>0.4</v>
      </c>
      <c r="AF13" s="1" t="s">
        <v>35</v>
      </c>
      <c r="AG13" s="28">
        <v>5</v>
      </c>
      <c r="AH13" s="29">
        <v>1.8</v>
      </c>
      <c r="AI13" s="30">
        <v>2.6</v>
      </c>
      <c r="AJ13" s="55">
        <v>10</v>
      </c>
      <c r="AK13" s="28">
        <v>5</v>
      </c>
      <c r="AL13" s="29">
        <v>1.8</v>
      </c>
      <c r="AM13" s="30">
        <v>2.6</v>
      </c>
      <c r="AN13" s="54">
        <v>60</v>
      </c>
      <c r="AO13" s="28">
        <v>60</v>
      </c>
      <c r="AP13" s="28">
        <v>150</v>
      </c>
      <c r="AQ13" s="20" t="s">
        <v>28</v>
      </c>
      <c r="AR13" s="20" t="s">
        <v>28</v>
      </c>
      <c r="AS13" s="54">
        <v>30</v>
      </c>
      <c r="AT13" s="28">
        <v>30</v>
      </c>
      <c r="AU13" s="28">
        <v>75</v>
      </c>
      <c r="AV13" s="20" t="s">
        <v>28</v>
      </c>
      <c r="AW13" s="21" t="s">
        <v>28</v>
      </c>
      <c r="AX13" s="19"/>
      <c r="BB13" s="21"/>
    </row>
    <row r="14" spans="1:54">
      <c r="D14" t="s">
        <v>84</v>
      </c>
      <c r="E14" s="17">
        <v>8</v>
      </c>
      <c r="F14" s="1">
        <v>3.2</v>
      </c>
      <c r="G14" s="1">
        <v>1.3</v>
      </c>
      <c r="H14" s="1" t="s">
        <v>28</v>
      </c>
      <c r="I14" s="1" t="s">
        <v>28</v>
      </c>
      <c r="J14" s="16">
        <v>7</v>
      </c>
      <c r="K14" s="17">
        <v>6.4</v>
      </c>
      <c r="L14" s="1">
        <v>2.5</v>
      </c>
      <c r="M14" s="1">
        <v>1</v>
      </c>
      <c r="N14" s="1" t="s">
        <v>28</v>
      </c>
      <c r="O14" s="1" t="s">
        <v>28</v>
      </c>
      <c r="P14" s="16">
        <v>7</v>
      </c>
      <c r="Q14" s="1" t="s">
        <v>36</v>
      </c>
      <c r="R14" s="1">
        <v>6</v>
      </c>
      <c r="S14" s="16">
        <v>3</v>
      </c>
      <c r="T14" s="18" t="s">
        <v>35</v>
      </c>
      <c r="U14" s="17" t="s">
        <v>36</v>
      </c>
      <c r="V14" s="16" t="s">
        <v>36</v>
      </c>
      <c r="W14" s="18" t="s">
        <v>36</v>
      </c>
      <c r="X14" s="16" t="s">
        <v>36</v>
      </c>
      <c r="Y14" s="1" t="s">
        <v>35</v>
      </c>
      <c r="Z14" s="1" t="s">
        <v>35</v>
      </c>
      <c r="AA14" s="18" t="s">
        <v>35</v>
      </c>
      <c r="AB14" s="18" t="s">
        <v>35</v>
      </c>
      <c r="AC14" s="16">
        <v>400</v>
      </c>
      <c r="AD14" s="49">
        <v>0.55000000000000004</v>
      </c>
      <c r="AE14" s="49">
        <v>0.4</v>
      </c>
      <c r="AF14" s="1" t="s">
        <v>35</v>
      </c>
      <c r="AG14" s="28">
        <v>10</v>
      </c>
      <c r="AH14" s="29">
        <v>1.8</v>
      </c>
      <c r="AI14" s="30">
        <v>2.6</v>
      </c>
      <c r="AJ14" s="55">
        <v>5</v>
      </c>
      <c r="AK14" s="28">
        <v>5</v>
      </c>
      <c r="AL14" s="29">
        <v>1.8</v>
      </c>
      <c r="AM14" s="30">
        <v>2.6</v>
      </c>
      <c r="AN14" s="54">
        <v>60</v>
      </c>
      <c r="AO14" s="28">
        <v>60</v>
      </c>
      <c r="AP14" s="28">
        <v>150</v>
      </c>
      <c r="AQ14" s="20" t="s">
        <v>28</v>
      </c>
      <c r="AR14" s="20" t="s">
        <v>28</v>
      </c>
      <c r="AS14" s="54">
        <v>30</v>
      </c>
      <c r="AT14" s="28">
        <v>30</v>
      </c>
      <c r="AU14" s="28">
        <v>75</v>
      </c>
      <c r="AV14" s="20" t="s">
        <v>28</v>
      </c>
      <c r="AW14" s="21" t="s">
        <v>28</v>
      </c>
      <c r="AX14" s="19"/>
      <c r="BB14" s="21"/>
    </row>
    <row r="15" spans="1:54">
      <c r="D15" t="s">
        <v>43</v>
      </c>
      <c r="E15" s="17">
        <v>8</v>
      </c>
      <c r="F15" s="1">
        <v>3.2</v>
      </c>
      <c r="G15" s="1">
        <v>1.3</v>
      </c>
      <c r="H15" s="1" t="s">
        <v>28</v>
      </c>
      <c r="I15" s="1" t="s">
        <v>28</v>
      </c>
      <c r="J15" s="16">
        <v>7</v>
      </c>
      <c r="K15" s="17">
        <v>6.4</v>
      </c>
      <c r="L15" s="1">
        <v>2.5</v>
      </c>
      <c r="M15" s="1">
        <v>1</v>
      </c>
      <c r="N15" s="1" t="s">
        <v>28</v>
      </c>
      <c r="O15" s="1" t="s">
        <v>28</v>
      </c>
      <c r="P15" s="16">
        <v>7</v>
      </c>
      <c r="Q15" s="1" t="s">
        <v>36</v>
      </c>
      <c r="R15" s="1">
        <v>6</v>
      </c>
      <c r="S15" s="16">
        <v>3</v>
      </c>
      <c r="T15" s="18" t="s">
        <v>35</v>
      </c>
      <c r="U15" s="17" t="s">
        <v>36</v>
      </c>
      <c r="V15" s="16" t="s">
        <v>36</v>
      </c>
      <c r="W15" s="18" t="s">
        <v>36</v>
      </c>
      <c r="X15" s="16" t="s">
        <v>36</v>
      </c>
      <c r="Y15" s="1" t="s">
        <v>35</v>
      </c>
      <c r="Z15" s="1" t="s">
        <v>35</v>
      </c>
      <c r="AA15" s="18" t="s">
        <v>35</v>
      </c>
      <c r="AB15" s="18" t="s">
        <v>35</v>
      </c>
      <c r="AC15" s="16">
        <v>400</v>
      </c>
      <c r="AD15" s="49">
        <v>0.55000000000000004</v>
      </c>
      <c r="AE15" s="49">
        <v>0.4</v>
      </c>
      <c r="AF15" s="1" t="s">
        <v>35</v>
      </c>
      <c r="AG15" s="28">
        <v>5</v>
      </c>
      <c r="AH15" s="29">
        <v>1.8</v>
      </c>
      <c r="AI15" s="30">
        <v>2.6</v>
      </c>
      <c r="AJ15" s="55">
        <v>10</v>
      </c>
      <c r="AK15" s="28">
        <v>5</v>
      </c>
      <c r="AL15" s="29">
        <v>1.8</v>
      </c>
      <c r="AM15" s="30">
        <v>2.6</v>
      </c>
      <c r="AN15" s="54">
        <v>60</v>
      </c>
      <c r="AO15" s="28">
        <v>60</v>
      </c>
      <c r="AP15" s="28">
        <v>150</v>
      </c>
      <c r="AQ15" s="20" t="s">
        <v>28</v>
      </c>
      <c r="AR15" s="20" t="s">
        <v>28</v>
      </c>
      <c r="AS15" s="54">
        <v>30</v>
      </c>
      <c r="AT15" s="28">
        <v>30</v>
      </c>
      <c r="AU15" s="28">
        <v>75</v>
      </c>
      <c r="AV15" s="20" t="s">
        <v>28</v>
      </c>
      <c r="AW15" s="21" t="s">
        <v>28</v>
      </c>
      <c r="AX15" s="19"/>
      <c r="BB15" s="21"/>
    </row>
    <row r="16" spans="1:54">
      <c r="D16" t="s">
        <v>26</v>
      </c>
      <c r="E16" s="17">
        <v>4.8</v>
      </c>
      <c r="F16" s="1">
        <v>4.8</v>
      </c>
      <c r="G16" s="1">
        <v>4.8</v>
      </c>
      <c r="H16" s="1" t="s">
        <v>28</v>
      </c>
      <c r="I16" s="1" t="s">
        <v>28</v>
      </c>
      <c r="J16" s="16">
        <v>7</v>
      </c>
      <c r="K16" s="17">
        <v>3.8</v>
      </c>
      <c r="L16" s="1">
        <v>3.8</v>
      </c>
      <c r="M16" s="1">
        <v>3.8</v>
      </c>
      <c r="N16" s="1" t="s">
        <v>28</v>
      </c>
      <c r="O16" s="1" t="s">
        <v>28</v>
      </c>
      <c r="P16" s="16">
        <v>7</v>
      </c>
      <c r="Q16" s="1" t="s">
        <v>35</v>
      </c>
      <c r="R16" s="1" t="s">
        <v>98</v>
      </c>
      <c r="S16" s="16" t="s">
        <v>98</v>
      </c>
      <c r="T16" s="18" t="s">
        <v>35</v>
      </c>
      <c r="U16" s="17" t="s">
        <v>36</v>
      </c>
      <c r="V16" s="16" t="s">
        <v>36</v>
      </c>
      <c r="W16" s="18" t="s">
        <v>36</v>
      </c>
      <c r="X16" s="16" t="s">
        <v>36</v>
      </c>
      <c r="Y16" s="1" t="s">
        <v>35</v>
      </c>
      <c r="Z16" s="1" t="s">
        <v>35</v>
      </c>
      <c r="AA16" s="18" t="s">
        <v>35</v>
      </c>
      <c r="AB16" s="18" t="s">
        <v>35</v>
      </c>
      <c r="AC16" s="16">
        <v>150</v>
      </c>
      <c r="AD16" s="49">
        <v>0.55000000000000004</v>
      </c>
      <c r="AE16" s="49">
        <v>0.4</v>
      </c>
      <c r="AF16" s="55">
        <v>35</v>
      </c>
      <c r="AG16" s="28">
        <v>10</v>
      </c>
      <c r="AH16" s="29">
        <v>1.8</v>
      </c>
      <c r="AI16" s="30">
        <v>2.6</v>
      </c>
      <c r="AJ16" s="55">
        <v>35</v>
      </c>
      <c r="AK16" s="28">
        <v>10</v>
      </c>
      <c r="AL16" s="29">
        <v>1.8</v>
      </c>
      <c r="AM16" s="30">
        <v>2.6</v>
      </c>
      <c r="AN16" s="72">
        <v>2</v>
      </c>
      <c r="AO16" s="73">
        <v>2</v>
      </c>
      <c r="AP16" s="73">
        <v>2</v>
      </c>
      <c r="AQ16" s="73">
        <v>2</v>
      </c>
      <c r="AR16" s="74">
        <v>2</v>
      </c>
      <c r="AS16" s="72">
        <v>2</v>
      </c>
      <c r="AT16" s="73">
        <v>2</v>
      </c>
      <c r="AU16" s="73">
        <v>2</v>
      </c>
      <c r="AV16" s="73">
        <v>2</v>
      </c>
      <c r="AW16" s="74">
        <v>2</v>
      </c>
      <c r="AX16" s="19"/>
      <c r="BB16" s="21"/>
    </row>
    <row r="17" spans="3:54">
      <c r="D17" t="s">
        <v>27</v>
      </c>
      <c r="E17" s="17">
        <v>15</v>
      </c>
      <c r="F17" s="1">
        <v>6</v>
      </c>
      <c r="G17" s="1">
        <v>2.4</v>
      </c>
      <c r="H17" s="1" t="s">
        <v>28</v>
      </c>
      <c r="I17" s="1" t="s">
        <v>28</v>
      </c>
      <c r="J17" s="16">
        <v>7</v>
      </c>
      <c r="K17" s="17">
        <v>12</v>
      </c>
      <c r="L17" s="1">
        <v>4.8</v>
      </c>
      <c r="M17" s="1">
        <v>1.9</v>
      </c>
      <c r="N17" s="1" t="s">
        <v>28</v>
      </c>
      <c r="O17" s="1" t="s">
        <v>28</v>
      </c>
      <c r="P17" s="16">
        <v>7</v>
      </c>
      <c r="Q17" s="1" t="s">
        <v>35</v>
      </c>
      <c r="R17" s="1" t="s">
        <v>98</v>
      </c>
      <c r="S17" s="16" t="s">
        <v>98</v>
      </c>
      <c r="T17" s="18" t="s">
        <v>35</v>
      </c>
      <c r="U17" s="17" t="s">
        <v>36</v>
      </c>
      <c r="V17" s="16" t="s">
        <v>36</v>
      </c>
      <c r="W17" s="18" t="s">
        <v>36</v>
      </c>
      <c r="X17" s="16" t="s">
        <v>36</v>
      </c>
      <c r="Y17" s="1" t="s">
        <v>35</v>
      </c>
      <c r="Z17" s="1" t="s">
        <v>35</v>
      </c>
      <c r="AA17" s="18" t="s">
        <v>35</v>
      </c>
      <c r="AB17" s="18" t="s">
        <v>35</v>
      </c>
      <c r="AC17" s="16">
        <v>400</v>
      </c>
      <c r="AD17" s="49">
        <v>0.55000000000000004</v>
      </c>
      <c r="AE17" s="49">
        <v>0.4</v>
      </c>
      <c r="AF17" s="55" t="s">
        <v>35</v>
      </c>
      <c r="AG17" s="28">
        <v>10</v>
      </c>
      <c r="AH17" s="29">
        <v>1.8</v>
      </c>
      <c r="AI17" s="30">
        <v>2.6</v>
      </c>
      <c r="AJ17" s="55">
        <v>10</v>
      </c>
      <c r="AK17" s="28">
        <v>10</v>
      </c>
      <c r="AL17" s="29">
        <v>1.8</v>
      </c>
      <c r="AM17" s="30">
        <v>2.6</v>
      </c>
      <c r="AN17" s="72">
        <v>2</v>
      </c>
      <c r="AO17" s="73">
        <v>2</v>
      </c>
      <c r="AP17" s="73">
        <v>2</v>
      </c>
      <c r="AQ17" s="73">
        <v>2</v>
      </c>
      <c r="AR17" s="74">
        <v>2</v>
      </c>
      <c r="AS17" s="72">
        <v>2</v>
      </c>
      <c r="AT17" s="73">
        <v>2</v>
      </c>
      <c r="AU17" s="73">
        <v>2</v>
      </c>
      <c r="AV17" s="73">
        <v>2</v>
      </c>
      <c r="AW17" s="74">
        <v>2</v>
      </c>
      <c r="AX17" s="19"/>
      <c r="BB17" s="21"/>
    </row>
    <row r="18" spans="3:54">
      <c r="D18" t="s">
        <v>83</v>
      </c>
      <c r="E18" s="17">
        <v>4.8</v>
      </c>
      <c r="F18" s="1">
        <v>1.9</v>
      </c>
      <c r="G18" s="1" t="s">
        <v>28</v>
      </c>
      <c r="H18" s="1" t="s">
        <v>28</v>
      </c>
      <c r="I18" s="1" t="s">
        <v>28</v>
      </c>
      <c r="J18" s="16">
        <v>7</v>
      </c>
      <c r="K18" s="17">
        <v>3.8</v>
      </c>
      <c r="L18" s="1">
        <v>1.5</v>
      </c>
      <c r="M18" s="1" t="s">
        <v>28</v>
      </c>
      <c r="N18" s="1" t="s">
        <v>28</v>
      </c>
      <c r="O18" s="1" t="s">
        <v>28</v>
      </c>
      <c r="P18" s="16">
        <v>7</v>
      </c>
      <c r="Q18" s="1" t="s">
        <v>35</v>
      </c>
      <c r="R18" s="1" t="s">
        <v>98</v>
      </c>
      <c r="S18" s="16" t="s">
        <v>98</v>
      </c>
      <c r="T18" s="18" t="s">
        <v>35</v>
      </c>
      <c r="U18" s="17" t="s">
        <v>36</v>
      </c>
      <c r="V18" s="16" t="s">
        <v>36</v>
      </c>
      <c r="W18" s="18" t="s">
        <v>36</v>
      </c>
      <c r="X18" s="16" t="s">
        <v>36</v>
      </c>
      <c r="Y18" s="1" t="s">
        <v>35</v>
      </c>
      <c r="Z18" s="1" t="s">
        <v>35</v>
      </c>
      <c r="AA18" s="18" t="s">
        <v>35</v>
      </c>
      <c r="AB18" s="18" t="s">
        <v>35</v>
      </c>
      <c r="AC18" s="16">
        <v>400</v>
      </c>
      <c r="AD18" s="49">
        <v>0.55000000000000004</v>
      </c>
      <c r="AE18" s="49">
        <v>0.4</v>
      </c>
      <c r="AF18" s="55" t="s">
        <v>35</v>
      </c>
      <c r="AG18" s="28">
        <v>10</v>
      </c>
      <c r="AH18" s="29">
        <v>1.8</v>
      </c>
      <c r="AI18" s="30">
        <v>2.6</v>
      </c>
      <c r="AJ18" s="55">
        <v>10</v>
      </c>
      <c r="AK18" s="28">
        <v>10</v>
      </c>
      <c r="AL18" s="29">
        <v>1.8</v>
      </c>
      <c r="AM18" s="30">
        <v>2.6</v>
      </c>
      <c r="AN18" s="54">
        <v>60</v>
      </c>
      <c r="AO18" s="51">
        <v>60</v>
      </c>
      <c r="AP18" s="51" t="s">
        <v>28</v>
      </c>
      <c r="AQ18" s="51" t="s">
        <v>28</v>
      </c>
      <c r="AR18" s="51" t="s">
        <v>28</v>
      </c>
      <c r="AS18" s="51">
        <v>30</v>
      </c>
      <c r="AT18" s="51">
        <v>30</v>
      </c>
      <c r="AU18" s="51" t="s">
        <v>28</v>
      </c>
      <c r="AV18" s="51" t="s">
        <v>28</v>
      </c>
      <c r="AW18" s="51" t="s">
        <v>28</v>
      </c>
      <c r="AX18" s="19"/>
      <c r="BB18" s="21"/>
    </row>
    <row r="19" spans="3:54">
      <c r="D19" t="s">
        <v>46</v>
      </c>
      <c r="E19" s="17">
        <v>4.8</v>
      </c>
      <c r="F19" s="1">
        <v>1.9</v>
      </c>
      <c r="G19" s="1">
        <v>0.8</v>
      </c>
      <c r="H19" s="1" t="s">
        <v>28</v>
      </c>
      <c r="I19" s="1" t="s">
        <v>28</v>
      </c>
      <c r="J19" s="16">
        <v>7</v>
      </c>
      <c r="K19" s="17">
        <v>3.8</v>
      </c>
      <c r="L19" s="1">
        <v>1.5</v>
      </c>
      <c r="M19" s="1">
        <v>0.6</v>
      </c>
      <c r="N19" s="1" t="s">
        <v>28</v>
      </c>
      <c r="O19" s="1" t="s">
        <v>28</v>
      </c>
      <c r="P19" s="16">
        <v>7</v>
      </c>
      <c r="Q19" s="1" t="s">
        <v>35</v>
      </c>
      <c r="R19" s="1" t="s">
        <v>98</v>
      </c>
      <c r="S19" s="16" t="s">
        <v>98</v>
      </c>
      <c r="T19" s="18" t="s">
        <v>35</v>
      </c>
      <c r="U19" s="17" t="s">
        <v>36</v>
      </c>
      <c r="V19" s="16" t="s">
        <v>36</v>
      </c>
      <c r="W19" s="18" t="s">
        <v>36</v>
      </c>
      <c r="X19" s="16" t="s">
        <v>36</v>
      </c>
      <c r="Y19" s="1" t="s">
        <v>35</v>
      </c>
      <c r="Z19" s="1" t="s">
        <v>35</v>
      </c>
      <c r="AA19" s="18" t="s">
        <v>35</v>
      </c>
      <c r="AB19" s="18" t="s">
        <v>35</v>
      </c>
      <c r="AC19" s="16">
        <v>400</v>
      </c>
      <c r="AD19" s="49">
        <v>0.55000000000000004</v>
      </c>
      <c r="AE19" s="49">
        <v>0.4</v>
      </c>
      <c r="AF19" s="55" t="s">
        <v>35</v>
      </c>
      <c r="AG19" s="28">
        <v>10</v>
      </c>
      <c r="AH19" s="29">
        <v>1.8</v>
      </c>
      <c r="AI19" s="30">
        <v>2.6</v>
      </c>
      <c r="AJ19" s="55">
        <v>10</v>
      </c>
      <c r="AK19" s="28">
        <v>10</v>
      </c>
      <c r="AL19" s="29">
        <v>1.8</v>
      </c>
      <c r="AM19" s="30">
        <v>2.6</v>
      </c>
      <c r="AN19" s="51">
        <v>2</v>
      </c>
      <c r="AO19" s="51">
        <v>2</v>
      </c>
      <c r="AP19" s="51">
        <v>2</v>
      </c>
      <c r="AQ19" s="51">
        <v>2</v>
      </c>
      <c r="AR19" s="51">
        <v>2</v>
      </c>
      <c r="AS19" s="51">
        <v>2</v>
      </c>
      <c r="AT19" s="51">
        <v>2</v>
      </c>
      <c r="AU19" s="51">
        <v>2</v>
      </c>
      <c r="AV19" s="51">
        <v>2</v>
      </c>
      <c r="AW19" s="51">
        <v>2</v>
      </c>
      <c r="AX19" s="19"/>
      <c r="BB19" s="21"/>
    </row>
    <row r="20" spans="3:54" s="62" customFormat="1">
      <c r="E20" s="66"/>
      <c r="F20" s="63"/>
      <c r="G20" s="63"/>
      <c r="H20" s="63"/>
      <c r="I20" s="63"/>
      <c r="J20" s="64"/>
      <c r="K20" s="66"/>
      <c r="L20" s="63"/>
      <c r="M20" s="63"/>
      <c r="N20" s="63"/>
      <c r="O20" s="63"/>
      <c r="P20" s="64"/>
      <c r="Q20" s="63"/>
      <c r="R20" s="63"/>
      <c r="S20" s="64"/>
      <c r="T20" s="65"/>
      <c r="U20" s="66"/>
      <c r="V20" s="64"/>
      <c r="W20" s="65"/>
      <c r="X20" s="64"/>
      <c r="Y20" s="63"/>
      <c r="Z20" s="64"/>
      <c r="AA20" s="75"/>
      <c r="AB20" s="65"/>
      <c r="AC20" s="64"/>
      <c r="AD20" s="67"/>
      <c r="AE20" s="67"/>
      <c r="AF20" s="63"/>
      <c r="AG20" s="68"/>
      <c r="AH20" s="69"/>
      <c r="AI20" s="70"/>
      <c r="AJ20" s="76"/>
      <c r="AK20" s="68"/>
      <c r="AL20" s="69"/>
      <c r="AM20" s="70"/>
      <c r="AN20" s="77"/>
      <c r="AO20" s="71"/>
      <c r="AP20" s="71"/>
      <c r="AQ20" s="71"/>
      <c r="AR20" s="71"/>
      <c r="AS20" s="77"/>
      <c r="AT20" s="71"/>
      <c r="AU20" s="71"/>
      <c r="AV20" s="71"/>
      <c r="AW20" s="78"/>
      <c r="AX20" s="77"/>
      <c r="AY20" s="71"/>
      <c r="AZ20" s="71"/>
      <c r="BA20" s="71"/>
      <c r="BB20" s="78"/>
    </row>
    <row r="21" spans="3:54">
      <c r="C21" t="s">
        <v>13</v>
      </c>
      <c r="D21" s="79" t="s">
        <v>115</v>
      </c>
      <c r="E21" s="17">
        <v>8</v>
      </c>
      <c r="F21" s="1">
        <v>3.2</v>
      </c>
      <c r="G21" s="1">
        <v>1.3</v>
      </c>
      <c r="H21" s="1">
        <v>0.5</v>
      </c>
      <c r="I21" s="1" t="s">
        <v>28</v>
      </c>
      <c r="J21" s="16">
        <v>11</v>
      </c>
      <c r="K21" s="17">
        <v>6.4</v>
      </c>
      <c r="L21" s="1">
        <v>2.5</v>
      </c>
      <c r="M21" s="1">
        <v>1</v>
      </c>
      <c r="N21" s="1">
        <v>0.4</v>
      </c>
      <c r="O21" s="1" t="s">
        <v>28</v>
      </c>
      <c r="P21" s="16">
        <v>11</v>
      </c>
      <c r="Q21" s="1" t="s">
        <v>35</v>
      </c>
      <c r="R21" s="1" t="s">
        <v>98</v>
      </c>
      <c r="S21" s="16" t="s">
        <v>98</v>
      </c>
      <c r="T21" s="18" t="s">
        <v>35</v>
      </c>
      <c r="U21" s="17" t="s">
        <v>36</v>
      </c>
      <c r="V21" s="16" t="s">
        <v>36</v>
      </c>
      <c r="W21" s="18" t="s">
        <v>36</v>
      </c>
      <c r="X21" s="16" t="s">
        <v>36</v>
      </c>
      <c r="Y21" s="1" t="s">
        <v>35</v>
      </c>
      <c r="Z21" s="1" t="s">
        <v>35</v>
      </c>
      <c r="AA21" s="18" t="s">
        <v>35</v>
      </c>
      <c r="AB21" s="18" t="s">
        <v>35</v>
      </c>
      <c r="AC21" s="18" t="s">
        <v>35</v>
      </c>
      <c r="AD21" s="49">
        <v>0.55000000000000004</v>
      </c>
      <c r="AE21" s="49">
        <v>0.4</v>
      </c>
      <c r="AF21" s="1" t="s">
        <v>35</v>
      </c>
      <c r="AG21" s="80">
        <v>5</v>
      </c>
      <c r="AH21" s="29">
        <v>1.8</v>
      </c>
      <c r="AI21" s="30">
        <v>2.5</v>
      </c>
      <c r="AJ21" s="55">
        <v>4</v>
      </c>
      <c r="AK21" s="80">
        <v>5</v>
      </c>
      <c r="AL21" s="29">
        <v>1.8</v>
      </c>
      <c r="AM21" s="30">
        <v>2.5</v>
      </c>
      <c r="AN21" s="19" t="s">
        <v>35</v>
      </c>
      <c r="AO21" s="20" t="s">
        <v>35</v>
      </c>
      <c r="AP21" s="20" t="s">
        <v>35</v>
      </c>
      <c r="AQ21" s="20" t="s">
        <v>35</v>
      </c>
      <c r="AR21" s="20" t="s">
        <v>35</v>
      </c>
      <c r="AS21" s="19" t="s">
        <v>35</v>
      </c>
      <c r="AT21" s="20" t="s">
        <v>35</v>
      </c>
      <c r="AU21" s="20" t="s">
        <v>35</v>
      </c>
      <c r="AV21" s="20" t="s">
        <v>35</v>
      </c>
      <c r="AW21" s="21" t="s">
        <v>35</v>
      </c>
      <c r="AX21" s="19"/>
      <c r="BB21" s="21"/>
    </row>
    <row r="22" spans="3:54">
      <c r="D22" s="79" t="s">
        <v>116</v>
      </c>
      <c r="E22" s="17">
        <v>8</v>
      </c>
      <c r="F22" s="1">
        <v>3.2</v>
      </c>
      <c r="G22" s="1">
        <v>1.3</v>
      </c>
      <c r="H22" s="1">
        <v>0.5</v>
      </c>
      <c r="I22" s="1" t="s">
        <v>28</v>
      </c>
      <c r="J22" s="16">
        <v>7</v>
      </c>
      <c r="K22" s="17">
        <v>6.4</v>
      </c>
      <c r="L22" s="1">
        <v>2.5</v>
      </c>
      <c r="M22" s="1">
        <v>1</v>
      </c>
      <c r="N22" s="1">
        <v>0.4</v>
      </c>
      <c r="O22" s="1" t="s">
        <v>28</v>
      </c>
      <c r="P22" s="16">
        <v>7</v>
      </c>
      <c r="Q22" s="1" t="s">
        <v>35</v>
      </c>
      <c r="R22" s="1" t="s">
        <v>98</v>
      </c>
      <c r="S22" s="16" t="s">
        <v>98</v>
      </c>
      <c r="T22" s="18" t="s">
        <v>35</v>
      </c>
      <c r="U22" s="17" t="s">
        <v>36</v>
      </c>
      <c r="V22" s="16" t="s">
        <v>36</v>
      </c>
      <c r="W22" s="18" t="s">
        <v>36</v>
      </c>
      <c r="X22" s="16" t="s">
        <v>36</v>
      </c>
      <c r="Y22" s="1" t="s">
        <v>35</v>
      </c>
      <c r="Z22" s="1" t="s">
        <v>35</v>
      </c>
      <c r="AA22" s="18" t="s">
        <v>35</v>
      </c>
      <c r="AB22" s="18" t="s">
        <v>35</v>
      </c>
      <c r="AC22" s="18" t="s">
        <v>35</v>
      </c>
      <c r="AD22" s="49">
        <v>0.55000000000000004</v>
      </c>
      <c r="AE22" s="49">
        <v>0.4</v>
      </c>
      <c r="AF22" s="1" t="s">
        <v>35</v>
      </c>
      <c r="AG22" s="80">
        <v>5</v>
      </c>
      <c r="AH22" s="29">
        <v>1.8</v>
      </c>
      <c r="AI22" s="30">
        <v>2.5</v>
      </c>
      <c r="AJ22" s="55">
        <v>4</v>
      </c>
      <c r="AK22" s="80">
        <v>5</v>
      </c>
      <c r="AL22" s="29">
        <v>1.8</v>
      </c>
      <c r="AM22" s="30">
        <v>2.5</v>
      </c>
      <c r="AN22" s="19" t="s">
        <v>35</v>
      </c>
      <c r="AO22" s="20" t="s">
        <v>35</v>
      </c>
      <c r="AP22" s="20" t="s">
        <v>35</v>
      </c>
      <c r="AQ22" s="20" t="s">
        <v>35</v>
      </c>
      <c r="AR22" s="20" t="s">
        <v>35</v>
      </c>
      <c r="AS22" s="19" t="s">
        <v>35</v>
      </c>
      <c r="AT22" s="20" t="s">
        <v>35</v>
      </c>
      <c r="AU22" s="20" t="s">
        <v>35</v>
      </c>
      <c r="AV22" s="20" t="s">
        <v>35</v>
      </c>
      <c r="AW22" s="21" t="s">
        <v>35</v>
      </c>
      <c r="AX22" s="19"/>
      <c r="BB22" s="21"/>
    </row>
    <row r="23" spans="3:54">
      <c r="D23" s="81" t="s">
        <v>106</v>
      </c>
      <c r="E23" s="17"/>
      <c r="J23" s="16"/>
      <c r="K23" s="17"/>
      <c r="O23" s="1" t="s">
        <v>28</v>
      </c>
      <c r="P23" s="16"/>
      <c r="Q23" s="1" t="s">
        <v>35</v>
      </c>
      <c r="R23" s="1" t="s">
        <v>98</v>
      </c>
      <c r="S23" s="16" t="s">
        <v>98</v>
      </c>
      <c r="T23" s="18" t="s">
        <v>35</v>
      </c>
      <c r="U23" s="17" t="s">
        <v>36</v>
      </c>
      <c r="V23" s="16" t="s">
        <v>36</v>
      </c>
      <c r="W23" s="18" t="s">
        <v>36</v>
      </c>
      <c r="X23" s="16" t="s">
        <v>36</v>
      </c>
      <c r="Y23" s="1" t="s">
        <v>35</v>
      </c>
      <c r="Z23" s="1" t="s">
        <v>35</v>
      </c>
      <c r="AA23" s="18" t="s">
        <v>35</v>
      </c>
      <c r="AB23" s="18" t="s">
        <v>35</v>
      </c>
      <c r="AC23" s="18" t="s">
        <v>35</v>
      </c>
      <c r="AD23" s="49">
        <v>0.55000000000000004</v>
      </c>
      <c r="AE23" s="49" t="s">
        <v>35</v>
      </c>
      <c r="AF23" s="1" t="s">
        <v>35</v>
      </c>
      <c r="AG23" s="28">
        <v>4</v>
      </c>
      <c r="AH23" s="29">
        <v>1.8</v>
      </c>
      <c r="AI23" s="30">
        <v>2.5</v>
      </c>
      <c r="AJ23" s="55">
        <v>4</v>
      </c>
      <c r="AK23" s="80">
        <v>4</v>
      </c>
      <c r="AL23" s="29">
        <v>1.8</v>
      </c>
      <c r="AM23" s="30">
        <v>2.5</v>
      </c>
      <c r="AN23" s="19" t="s">
        <v>35</v>
      </c>
      <c r="AO23" s="20" t="s">
        <v>35</v>
      </c>
      <c r="AP23" s="20" t="s">
        <v>35</v>
      </c>
      <c r="AQ23" s="20" t="s">
        <v>35</v>
      </c>
      <c r="AR23" s="20" t="s">
        <v>35</v>
      </c>
      <c r="AS23" s="19" t="s">
        <v>35</v>
      </c>
      <c r="AT23" s="20" t="s">
        <v>35</v>
      </c>
      <c r="AU23" s="20" t="s">
        <v>35</v>
      </c>
      <c r="AV23" s="20" t="s">
        <v>35</v>
      </c>
      <c r="AW23" s="21" t="s">
        <v>35</v>
      </c>
      <c r="AX23" s="19"/>
      <c r="BB23" s="21"/>
    </row>
    <row r="24" spans="3:54">
      <c r="D24" s="15" t="s">
        <v>44</v>
      </c>
      <c r="E24" s="17">
        <v>15</v>
      </c>
      <c r="F24" s="1">
        <v>6</v>
      </c>
      <c r="G24" s="1">
        <v>2.4</v>
      </c>
      <c r="H24" s="1">
        <v>1</v>
      </c>
      <c r="I24" s="1" t="s">
        <v>28</v>
      </c>
      <c r="J24" s="16">
        <v>11</v>
      </c>
      <c r="K24" s="17">
        <v>12</v>
      </c>
      <c r="L24" s="1">
        <v>4.8</v>
      </c>
      <c r="M24" s="1">
        <v>1.9</v>
      </c>
      <c r="N24" s="1">
        <v>0.8</v>
      </c>
      <c r="O24" s="1" t="s">
        <v>28</v>
      </c>
      <c r="P24" s="16">
        <v>11</v>
      </c>
      <c r="Q24" s="1" t="s">
        <v>35</v>
      </c>
      <c r="R24" s="1" t="s">
        <v>98</v>
      </c>
      <c r="S24" s="16" t="s">
        <v>98</v>
      </c>
      <c r="T24" s="18" t="s">
        <v>35</v>
      </c>
      <c r="U24" s="17" t="s">
        <v>36</v>
      </c>
      <c r="V24" s="16" t="s">
        <v>36</v>
      </c>
      <c r="W24" s="18" t="s">
        <v>36</v>
      </c>
      <c r="X24" s="16" t="s">
        <v>36</v>
      </c>
      <c r="Y24" s="1">
        <v>3</v>
      </c>
      <c r="Z24" s="16">
        <v>0.15</v>
      </c>
      <c r="AA24" s="18" t="s">
        <v>35</v>
      </c>
      <c r="AB24" s="18" t="s">
        <v>35</v>
      </c>
      <c r="AC24" s="18">
        <v>400</v>
      </c>
      <c r="AD24" s="49">
        <v>0.55000000000000004</v>
      </c>
      <c r="AE24" s="49">
        <v>0.4</v>
      </c>
      <c r="AF24" s="1" t="s">
        <v>35</v>
      </c>
      <c r="AG24" s="80">
        <v>5</v>
      </c>
      <c r="AH24" s="29">
        <v>1.8</v>
      </c>
      <c r="AI24" s="30">
        <v>2.5</v>
      </c>
      <c r="AJ24" s="55">
        <v>4</v>
      </c>
      <c r="AK24" s="28">
        <v>6</v>
      </c>
      <c r="AL24" s="29">
        <v>1.8</v>
      </c>
      <c r="AM24" s="30">
        <v>2.5</v>
      </c>
      <c r="AN24" s="54">
        <v>360</v>
      </c>
      <c r="AO24" s="28">
        <v>360</v>
      </c>
      <c r="AP24" s="28">
        <v>360</v>
      </c>
      <c r="AQ24" s="28">
        <v>360</v>
      </c>
      <c r="AR24" s="28" t="s">
        <v>28</v>
      </c>
      <c r="AS24" s="54">
        <v>180</v>
      </c>
      <c r="AT24" s="28">
        <v>180</v>
      </c>
      <c r="AU24" s="28">
        <v>180</v>
      </c>
      <c r="AV24" s="28">
        <v>180</v>
      </c>
      <c r="AW24" s="28" t="s">
        <v>28</v>
      </c>
      <c r="AX24" s="19"/>
      <c r="BB24" s="21"/>
    </row>
    <row r="25" spans="3:54">
      <c r="D25" s="15" t="s">
        <v>107</v>
      </c>
      <c r="E25" s="17">
        <v>15</v>
      </c>
      <c r="F25" s="1">
        <v>6</v>
      </c>
      <c r="G25" s="1">
        <v>2.4</v>
      </c>
      <c r="H25" s="1">
        <v>1</v>
      </c>
      <c r="I25" s="1" t="s">
        <v>28</v>
      </c>
      <c r="J25" s="16">
        <v>11</v>
      </c>
      <c r="K25" s="17">
        <v>12</v>
      </c>
      <c r="L25" s="1">
        <v>4.8</v>
      </c>
      <c r="M25" s="1">
        <v>1.9</v>
      </c>
      <c r="N25" s="1">
        <v>0.8</v>
      </c>
      <c r="O25" s="1" t="s">
        <v>28</v>
      </c>
      <c r="P25" s="16">
        <v>11</v>
      </c>
      <c r="Q25" s="1" t="s">
        <v>35</v>
      </c>
      <c r="R25" s="1" t="s">
        <v>98</v>
      </c>
      <c r="S25" s="16" t="s">
        <v>98</v>
      </c>
      <c r="T25" s="18" t="s">
        <v>35</v>
      </c>
      <c r="U25" s="17" t="s">
        <v>36</v>
      </c>
      <c r="V25" s="16" t="s">
        <v>36</v>
      </c>
      <c r="W25" s="18" t="s">
        <v>36</v>
      </c>
      <c r="X25" s="16" t="s">
        <v>36</v>
      </c>
      <c r="Y25" s="1">
        <v>3</v>
      </c>
      <c r="Z25" s="16">
        <v>0.15</v>
      </c>
      <c r="AA25" s="18" t="s">
        <v>35</v>
      </c>
      <c r="AB25" s="18" t="s">
        <v>35</v>
      </c>
      <c r="AC25" s="18">
        <v>400</v>
      </c>
      <c r="AD25" s="49">
        <v>0.55000000000000004</v>
      </c>
      <c r="AE25" s="49">
        <v>0.4</v>
      </c>
      <c r="AF25" s="1" t="s">
        <v>35</v>
      </c>
      <c r="AG25" s="28">
        <v>6</v>
      </c>
      <c r="AH25" s="29">
        <v>1.8</v>
      </c>
      <c r="AI25" s="30">
        <v>2.5</v>
      </c>
      <c r="AJ25" s="55">
        <v>4</v>
      </c>
      <c r="AK25" s="28">
        <v>6</v>
      </c>
      <c r="AL25" s="29">
        <v>1.8</v>
      </c>
      <c r="AM25" s="30">
        <v>2.5</v>
      </c>
      <c r="AN25" s="54">
        <v>360</v>
      </c>
      <c r="AO25" s="28">
        <v>360</v>
      </c>
      <c r="AP25" s="28">
        <v>360</v>
      </c>
      <c r="AQ25" s="28">
        <v>360</v>
      </c>
      <c r="AR25" s="28" t="s">
        <v>28</v>
      </c>
      <c r="AS25" s="54">
        <v>180</v>
      </c>
      <c r="AT25" s="28">
        <v>180</v>
      </c>
      <c r="AU25" s="28">
        <v>180</v>
      </c>
      <c r="AV25" s="28">
        <v>180</v>
      </c>
      <c r="AW25" s="28" t="s">
        <v>28</v>
      </c>
      <c r="AX25" s="19"/>
      <c r="BB25" s="21"/>
    </row>
    <row r="26" spans="3:54">
      <c r="D26" s="15" t="s">
        <v>45</v>
      </c>
      <c r="E26" s="17">
        <v>15</v>
      </c>
      <c r="F26" s="1">
        <v>6</v>
      </c>
      <c r="G26" s="1">
        <v>2.4</v>
      </c>
      <c r="H26" s="1">
        <v>1</v>
      </c>
      <c r="I26" s="1" t="s">
        <v>28</v>
      </c>
      <c r="J26" s="16">
        <v>7</v>
      </c>
      <c r="K26" s="17">
        <v>12</v>
      </c>
      <c r="L26" s="1">
        <v>4.8</v>
      </c>
      <c r="M26" s="1">
        <v>1.9</v>
      </c>
      <c r="N26" s="1">
        <v>0.8</v>
      </c>
      <c r="O26" s="1" t="s">
        <v>28</v>
      </c>
      <c r="P26" s="16">
        <v>7</v>
      </c>
      <c r="Q26" s="1" t="s">
        <v>35</v>
      </c>
      <c r="R26" s="1" t="s">
        <v>98</v>
      </c>
      <c r="S26" s="16" t="s">
        <v>98</v>
      </c>
      <c r="T26" s="18" t="s">
        <v>35</v>
      </c>
      <c r="U26" s="17" t="s">
        <v>36</v>
      </c>
      <c r="V26" s="16" t="s">
        <v>36</v>
      </c>
      <c r="W26" s="18" t="s">
        <v>36</v>
      </c>
      <c r="X26" s="16" t="s">
        <v>36</v>
      </c>
      <c r="Y26" s="1">
        <v>3</v>
      </c>
      <c r="Z26" s="16">
        <v>0.15</v>
      </c>
      <c r="AA26" s="18" t="s">
        <v>35</v>
      </c>
      <c r="AB26" s="18" t="s">
        <v>35</v>
      </c>
      <c r="AC26" s="18">
        <v>400</v>
      </c>
      <c r="AD26" s="49">
        <v>0.55000000000000004</v>
      </c>
      <c r="AE26" s="49">
        <v>0.4</v>
      </c>
      <c r="AF26" s="1" t="s">
        <v>35</v>
      </c>
      <c r="AG26" s="28">
        <v>5</v>
      </c>
      <c r="AH26" s="29">
        <v>1.8</v>
      </c>
      <c r="AI26" s="30">
        <v>2.5</v>
      </c>
      <c r="AJ26" s="55">
        <v>4</v>
      </c>
      <c r="AK26" s="28">
        <v>5</v>
      </c>
      <c r="AL26" s="29">
        <v>1.8</v>
      </c>
      <c r="AM26" s="30">
        <v>2.5</v>
      </c>
      <c r="AN26" s="19" t="s">
        <v>35</v>
      </c>
      <c r="AO26" s="20" t="s">
        <v>35</v>
      </c>
      <c r="AP26" s="20" t="s">
        <v>35</v>
      </c>
      <c r="AQ26" s="20" t="s">
        <v>35</v>
      </c>
      <c r="AR26" s="20" t="s">
        <v>35</v>
      </c>
      <c r="AS26" s="19" t="s">
        <v>35</v>
      </c>
      <c r="AT26" s="20" t="s">
        <v>35</v>
      </c>
      <c r="AU26" s="20" t="s">
        <v>35</v>
      </c>
      <c r="AV26" s="20" t="s">
        <v>35</v>
      </c>
      <c r="AW26" s="21" t="s">
        <v>35</v>
      </c>
      <c r="AX26" s="19"/>
      <c r="BB26" s="21"/>
    </row>
    <row r="27" spans="3:54">
      <c r="D27" s="15" t="s">
        <v>125</v>
      </c>
      <c r="E27" s="17"/>
      <c r="J27" s="16"/>
      <c r="K27" s="17"/>
      <c r="P27" s="16"/>
      <c r="S27" s="16"/>
      <c r="T27" s="18"/>
      <c r="U27" s="17"/>
      <c r="V27" s="16"/>
      <c r="W27" s="18"/>
      <c r="X27" s="16"/>
      <c r="AA27" s="18"/>
      <c r="AB27" s="18"/>
      <c r="AC27" s="18"/>
      <c r="AD27" s="49"/>
      <c r="AE27" s="49"/>
      <c r="AJ27" s="55">
        <v>4</v>
      </c>
      <c r="AK27" s="28">
        <v>4</v>
      </c>
      <c r="AL27" s="29">
        <v>1.8</v>
      </c>
      <c r="AM27" s="30">
        <v>2.5</v>
      </c>
      <c r="AN27" s="19" t="s">
        <v>35</v>
      </c>
      <c r="AO27" s="20" t="s">
        <v>35</v>
      </c>
      <c r="AP27" s="20" t="s">
        <v>35</v>
      </c>
      <c r="AQ27" s="20" t="s">
        <v>35</v>
      </c>
      <c r="AR27" s="20" t="s">
        <v>35</v>
      </c>
      <c r="AS27" s="19" t="s">
        <v>35</v>
      </c>
      <c r="AT27" s="20" t="s">
        <v>35</v>
      </c>
      <c r="AU27" s="20" t="s">
        <v>35</v>
      </c>
      <c r="AV27" s="20" t="s">
        <v>35</v>
      </c>
      <c r="AW27" s="21" t="s">
        <v>35</v>
      </c>
      <c r="AX27" s="19"/>
      <c r="BB27" s="21"/>
    </row>
    <row r="28" spans="3:54">
      <c r="D28" s="15" t="s">
        <v>87</v>
      </c>
      <c r="E28" s="17">
        <v>8</v>
      </c>
      <c r="F28" s="1">
        <v>3.2</v>
      </c>
      <c r="G28" s="1">
        <v>1.3</v>
      </c>
      <c r="H28" s="1" t="s">
        <v>28</v>
      </c>
      <c r="I28" s="1" t="s">
        <v>28</v>
      </c>
      <c r="J28" s="16">
        <v>7</v>
      </c>
      <c r="K28" s="17">
        <v>6.4</v>
      </c>
      <c r="L28" s="1">
        <v>2.5</v>
      </c>
      <c r="M28" s="1">
        <v>1</v>
      </c>
      <c r="N28" s="1" t="s">
        <v>28</v>
      </c>
      <c r="O28" s="1" t="s">
        <v>28</v>
      </c>
      <c r="P28" s="16">
        <v>7</v>
      </c>
      <c r="Q28" s="1" t="s">
        <v>35</v>
      </c>
      <c r="R28" s="1" t="s">
        <v>98</v>
      </c>
      <c r="S28" s="16" t="s">
        <v>98</v>
      </c>
      <c r="T28" s="18" t="s">
        <v>35</v>
      </c>
      <c r="U28" s="17" t="s">
        <v>36</v>
      </c>
      <c r="V28" s="16" t="s">
        <v>36</v>
      </c>
      <c r="W28" s="18" t="s">
        <v>36</v>
      </c>
      <c r="X28" s="16" t="s">
        <v>36</v>
      </c>
      <c r="Y28" s="1" t="s">
        <v>35</v>
      </c>
      <c r="Z28" s="1" t="s">
        <v>35</v>
      </c>
      <c r="AA28" s="18" t="s">
        <v>35</v>
      </c>
      <c r="AB28" s="18" t="s">
        <v>35</v>
      </c>
      <c r="AC28" s="18" t="s">
        <v>35</v>
      </c>
      <c r="AD28" s="49">
        <v>0.55000000000000004</v>
      </c>
      <c r="AE28" s="49">
        <v>0.4</v>
      </c>
      <c r="AF28" s="1" t="s">
        <v>35</v>
      </c>
      <c r="AG28" s="28">
        <v>5</v>
      </c>
      <c r="AH28" s="29">
        <v>1.8</v>
      </c>
      <c r="AI28" s="30">
        <v>2.5</v>
      </c>
      <c r="AJ28" s="55">
        <v>4</v>
      </c>
      <c r="AK28" s="28">
        <v>5</v>
      </c>
      <c r="AL28" s="29">
        <v>1.8</v>
      </c>
      <c r="AM28" s="30">
        <v>2.5</v>
      </c>
      <c r="AN28" s="19" t="s">
        <v>35</v>
      </c>
      <c r="AO28" s="20" t="s">
        <v>35</v>
      </c>
      <c r="AP28" s="20" t="s">
        <v>35</v>
      </c>
      <c r="AQ28" s="20" t="s">
        <v>35</v>
      </c>
      <c r="AR28" s="20" t="s">
        <v>35</v>
      </c>
      <c r="AS28" s="19" t="s">
        <v>35</v>
      </c>
      <c r="AT28" s="20" t="s">
        <v>35</v>
      </c>
      <c r="AU28" s="20" t="s">
        <v>35</v>
      </c>
      <c r="AV28" s="20" t="s">
        <v>35</v>
      </c>
      <c r="AW28" s="21" t="s">
        <v>35</v>
      </c>
      <c r="AX28" s="19"/>
      <c r="BB28" s="21"/>
    </row>
    <row r="29" spans="3:54">
      <c r="D29" t="s">
        <v>27</v>
      </c>
      <c r="E29" s="17">
        <v>15</v>
      </c>
      <c r="F29" s="1">
        <v>6</v>
      </c>
      <c r="G29" s="1">
        <v>2.4</v>
      </c>
      <c r="H29" s="1">
        <v>1</v>
      </c>
      <c r="I29" s="1" t="s">
        <v>28</v>
      </c>
      <c r="J29" s="16">
        <v>7</v>
      </c>
      <c r="K29" s="17">
        <v>12</v>
      </c>
      <c r="L29" s="1">
        <v>4.8</v>
      </c>
      <c r="M29" s="1">
        <v>1.9</v>
      </c>
      <c r="N29" s="1">
        <v>1</v>
      </c>
      <c r="O29" s="1" t="s">
        <v>28</v>
      </c>
      <c r="P29" s="16">
        <v>7</v>
      </c>
      <c r="Q29" s="1" t="s">
        <v>35</v>
      </c>
      <c r="R29" s="1" t="s">
        <v>98</v>
      </c>
      <c r="S29" s="16" t="s">
        <v>98</v>
      </c>
      <c r="T29" s="18" t="s">
        <v>35</v>
      </c>
      <c r="U29" s="17" t="s">
        <v>36</v>
      </c>
      <c r="V29" s="16" t="s">
        <v>36</v>
      </c>
      <c r="W29" s="18" t="s">
        <v>36</v>
      </c>
      <c r="X29" s="16" t="s">
        <v>36</v>
      </c>
      <c r="Y29" s="1" t="s">
        <v>35</v>
      </c>
      <c r="Z29" s="1" t="s">
        <v>35</v>
      </c>
      <c r="AA29" s="18" t="s">
        <v>35</v>
      </c>
      <c r="AB29" s="18" t="s">
        <v>35</v>
      </c>
      <c r="AC29" s="18" t="s">
        <v>35</v>
      </c>
      <c r="AD29" s="49">
        <v>0.55000000000000004</v>
      </c>
      <c r="AE29" s="49">
        <v>0.4</v>
      </c>
      <c r="AF29" s="1" t="s">
        <v>35</v>
      </c>
      <c r="AG29" s="28">
        <v>5</v>
      </c>
      <c r="AH29" s="29">
        <v>1.8</v>
      </c>
      <c r="AI29" s="30">
        <v>2.5</v>
      </c>
      <c r="AJ29" s="55">
        <v>4</v>
      </c>
      <c r="AK29" s="28">
        <v>5</v>
      </c>
      <c r="AL29" s="29">
        <v>1.8</v>
      </c>
      <c r="AM29" s="30">
        <v>2.5</v>
      </c>
      <c r="AN29" s="19" t="s">
        <v>35</v>
      </c>
      <c r="AO29" s="20" t="s">
        <v>35</v>
      </c>
      <c r="AP29" s="20" t="s">
        <v>35</v>
      </c>
      <c r="AQ29" s="20" t="s">
        <v>35</v>
      </c>
      <c r="AR29" s="20" t="s">
        <v>35</v>
      </c>
      <c r="AS29" s="19" t="s">
        <v>35</v>
      </c>
      <c r="AT29" s="20" t="s">
        <v>35</v>
      </c>
      <c r="AU29" s="20" t="s">
        <v>35</v>
      </c>
      <c r="AV29" s="20" t="s">
        <v>35</v>
      </c>
      <c r="AW29" s="21" t="s">
        <v>35</v>
      </c>
      <c r="AX29" s="19"/>
      <c r="BB29" s="21"/>
    </row>
    <row r="30" spans="3:54">
      <c r="D30" s="15" t="s">
        <v>46</v>
      </c>
      <c r="E30" s="17">
        <v>8</v>
      </c>
      <c r="F30" s="1">
        <v>3.2</v>
      </c>
      <c r="G30" s="1">
        <v>1.3</v>
      </c>
      <c r="H30" s="1">
        <v>0.5</v>
      </c>
      <c r="I30" s="1" t="s">
        <v>28</v>
      </c>
      <c r="J30" s="16">
        <v>7</v>
      </c>
      <c r="K30" s="17">
        <v>6.4</v>
      </c>
      <c r="L30" s="1">
        <v>2.5</v>
      </c>
      <c r="M30" s="1">
        <v>1</v>
      </c>
      <c r="N30" s="1">
        <v>0.4</v>
      </c>
      <c r="O30" s="1" t="s">
        <v>28</v>
      </c>
      <c r="P30" s="16">
        <v>7</v>
      </c>
      <c r="Q30" s="1" t="s">
        <v>35</v>
      </c>
      <c r="R30" s="1" t="s">
        <v>98</v>
      </c>
      <c r="S30" s="16" t="s">
        <v>98</v>
      </c>
      <c r="T30" s="18" t="s">
        <v>35</v>
      </c>
      <c r="U30" s="17" t="s">
        <v>36</v>
      </c>
      <c r="V30" s="16" t="s">
        <v>36</v>
      </c>
      <c r="W30" s="18" t="s">
        <v>36</v>
      </c>
      <c r="X30" s="16" t="s">
        <v>36</v>
      </c>
      <c r="Y30" s="1" t="s">
        <v>35</v>
      </c>
      <c r="Z30" s="1" t="s">
        <v>35</v>
      </c>
      <c r="AA30" s="18" t="s">
        <v>35</v>
      </c>
      <c r="AB30" s="18" t="s">
        <v>35</v>
      </c>
      <c r="AC30" s="18" t="s">
        <v>35</v>
      </c>
      <c r="AD30" s="49">
        <v>0.55000000000000004</v>
      </c>
      <c r="AE30" s="49">
        <v>0.4</v>
      </c>
      <c r="AF30" s="1" t="s">
        <v>35</v>
      </c>
      <c r="AG30" s="28">
        <v>5</v>
      </c>
      <c r="AH30" s="29">
        <v>1.8</v>
      </c>
      <c r="AI30" s="30">
        <v>2.5</v>
      </c>
      <c r="AJ30" s="55">
        <v>4</v>
      </c>
      <c r="AK30" s="28">
        <v>5</v>
      </c>
      <c r="AL30" s="29">
        <v>1.8</v>
      </c>
      <c r="AM30" s="30">
        <v>2.5</v>
      </c>
      <c r="AN30" s="19" t="s">
        <v>35</v>
      </c>
      <c r="AO30" s="20" t="s">
        <v>35</v>
      </c>
      <c r="AP30" s="20" t="s">
        <v>35</v>
      </c>
      <c r="AQ30" s="20" t="s">
        <v>35</v>
      </c>
      <c r="AR30" s="20" t="s">
        <v>35</v>
      </c>
      <c r="AS30" s="19" t="s">
        <v>35</v>
      </c>
      <c r="AT30" s="20" t="s">
        <v>35</v>
      </c>
      <c r="AU30" s="20" t="s">
        <v>35</v>
      </c>
      <c r="AV30" s="20" t="s">
        <v>35</v>
      </c>
      <c r="AW30" s="21" t="s">
        <v>35</v>
      </c>
      <c r="AX30" s="19"/>
      <c r="BB30" s="21"/>
    </row>
    <row r="31" spans="3:54" s="62" customFormat="1">
      <c r="E31" s="66"/>
      <c r="F31" s="63"/>
      <c r="G31" s="63"/>
      <c r="H31" s="63"/>
      <c r="I31" s="63"/>
      <c r="J31" s="64"/>
      <c r="K31" s="66"/>
      <c r="L31" s="63"/>
      <c r="M31" s="63"/>
      <c r="N31" s="63"/>
      <c r="O31" s="63"/>
      <c r="P31" s="64"/>
      <c r="Q31" s="63"/>
      <c r="R31" s="63"/>
      <c r="S31" s="64"/>
      <c r="T31" s="65"/>
      <c r="U31" s="66"/>
      <c r="V31" s="64"/>
      <c r="W31" s="65"/>
      <c r="X31" s="64"/>
      <c r="Y31" s="63"/>
      <c r="Z31" s="64"/>
      <c r="AA31" s="75"/>
      <c r="AB31" s="65"/>
      <c r="AC31" s="65"/>
      <c r="AD31" s="67"/>
      <c r="AE31" s="67"/>
      <c r="AF31" s="63"/>
      <c r="AG31" s="68"/>
      <c r="AH31" s="69"/>
      <c r="AI31" s="70"/>
      <c r="AJ31" s="76"/>
      <c r="AK31" s="68"/>
      <c r="AL31" s="69"/>
      <c r="AM31" s="70"/>
      <c r="AN31" s="77"/>
      <c r="AO31" s="71"/>
      <c r="AP31" s="71"/>
      <c r="AQ31" s="71"/>
      <c r="AR31" s="71"/>
      <c r="AS31" s="77"/>
      <c r="AT31" s="71"/>
      <c r="AU31" s="71"/>
      <c r="AV31" s="71"/>
      <c r="AW31" s="78"/>
      <c r="AX31" s="77"/>
      <c r="AY31" s="71"/>
      <c r="AZ31" s="71"/>
      <c r="BA31" s="71"/>
      <c r="BB31" s="78"/>
    </row>
    <row r="32" spans="3:54">
      <c r="C32" t="s">
        <v>14</v>
      </c>
      <c r="D32" s="15" t="s">
        <v>88</v>
      </c>
      <c r="E32" s="17">
        <v>4.8</v>
      </c>
      <c r="F32" s="1">
        <v>1.9</v>
      </c>
      <c r="G32" s="1">
        <v>1.3</v>
      </c>
      <c r="H32" s="1" t="s">
        <v>28</v>
      </c>
      <c r="I32" s="1" t="s">
        <v>28</v>
      </c>
      <c r="J32" s="16">
        <v>13</v>
      </c>
      <c r="K32" s="17">
        <v>3.8</v>
      </c>
      <c r="L32" s="1">
        <v>1.5</v>
      </c>
      <c r="M32" s="1">
        <v>1</v>
      </c>
      <c r="N32" s="1" t="s">
        <v>28</v>
      </c>
      <c r="O32" s="1" t="s">
        <v>28</v>
      </c>
      <c r="P32" s="16">
        <v>10</v>
      </c>
      <c r="Q32" s="1" t="s">
        <v>35</v>
      </c>
      <c r="R32" s="1" t="s">
        <v>98</v>
      </c>
      <c r="S32" s="16" t="s">
        <v>98</v>
      </c>
      <c r="T32" s="18" t="s">
        <v>35</v>
      </c>
      <c r="U32" s="17" t="s">
        <v>36</v>
      </c>
      <c r="V32" s="16" t="s">
        <v>36</v>
      </c>
      <c r="W32" s="18" t="s">
        <v>36</v>
      </c>
      <c r="X32" s="16" t="s">
        <v>36</v>
      </c>
      <c r="Y32" s="1" t="s">
        <v>35</v>
      </c>
      <c r="Z32" s="1" t="s">
        <v>35</v>
      </c>
      <c r="AA32" s="18" t="s">
        <v>35</v>
      </c>
      <c r="AB32" s="18" t="s">
        <v>35</v>
      </c>
      <c r="AC32" s="18">
        <v>400</v>
      </c>
      <c r="AD32" s="49">
        <v>0.55000000000000004</v>
      </c>
      <c r="AE32" s="49">
        <v>0.4</v>
      </c>
      <c r="AF32" s="1" t="s">
        <v>35</v>
      </c>
      <c r="AG32" s="28">
        <v>10</v>
      </c>
      <c r="AH32" s="29">
        <v>1.8</v>
      </c>
      <c r="AI32" s="30">
        <v>2.6</v>
      </c>
      <c r="AJ32" s="55">
        <v>5</v>
      </c>
      <c r="AK32" s="28">
        <v>10</v>
      </c>
      <c r="AL32" s="29">
        <v>1.8</v>
      </c>
      <c r="AM32" s="30">
        <v>2.6</v>
      </c>
      <c r="AN32" s="54">
        <v>360</v>
      </c>
      <c r="AO32" s="28">
        <v>360</v>
      </c>
      <c r="AP32" s="28">
        <v>360</v>
      </c>
      <c r="AQ32" s="28">
        <v>360</v>
      </c>
      <c r="AR32" s="28" t="s">
        <v>28</v>
      </c>
      <c r="AS32" s="54">
        <v>180</v>
      </c>
      <c r="AT32" s="28">
        <v>180</v>
      </c>
      <c r="AU32" s="28">
        <v>180</v>
      </c>
      <c r="AV32" s="28">
        <v>180</v>
      </c>
      <c r="AW32" s="28" t="s">
        <v>28</v>
      </c>
      <c r="AX32" s="19"/>
      <c r="BB32" s="21"/>
    </row>
    <row r="33" spans="3:54">
      <c r="D33" t="s">
        <v>27</v>
      </c>
      <c r="E33" s="17">
        <v>15</v>
      </c>
      <c r="F33" s="1">
        <v>6</v>
      </c>
      <c r="G33" s="1">
        <v>2.4</v>
      </c>
      <c r="H33" s="1">
        <v>1</v>
      </c>
      <c r="I33" s="1" t="s">
        <v>28</v>
      </c>
      <c r="J33" s="16">
        <v>13</v>
      </c>
      <c r="K33" s="17">
        <v>12</v>
      </c>
      <c r="L33" s="1">
        <v>4.8</v>
      </c>
      <c r="M33" s="1">
        <v>1.9</v>
      </c>
      <c r="N33" s="1">
        <v>1</v>
      </c>
      <c r="O33" s="1" t="s">
        <v>28</v>
      </c>
      <c r="P33" s="16">
        <v>10</v>
      </c>
      <c r="Q33" s="1" t="s">
        <v>35</v>
      </c>
      <c r="R33" s="1" t="s">
        <v>98</v>
      </c>
      <c r="S33" s="16" t="s">
        <v>98</v>
      </c>
      <c r="T33" s="18" t="s">
        <v>35</v>
      </c>
      <c r="U33" s="17" t="s">
        <v>36</v>
      </c>
      <c r="V33" s="16" t="s">
        <v>36</v>
      </c>
      <c r="W33" s="18" t="s">
        <v>36</v>
      </c>
      <c r="X33" s="16" t="s">
        <v>36</v>
      </c>
      <c r="Y33" s="1" t="s">
        <v>35</v>
      </c>
      <c r="Z33" s="1" t="s">
        <v>35</v>
      </c>
      <c r="AA33" s="18" t="s">
        <v>35</v>
      </c>
      <c r="AB33" s="18" t="s">
        <v>35</v>
      </c>
      <c r="AC33" s="18">
        <v>400</v>
      </c>
      <c r="AD33" s="49">
        <v>0.55000000000000004</v>
      </c>
      <c r="AE33" s="49">
        <v>0.4</v>
      </c>
      <c r="AF33" s="1" t="s">
        <v>35</v>
      </c>
      <c r="AG33" s="28">
        <v>10</v>
      </c>
      <c r="AH33" s="29">
        <v>1.8</v>
      </c>
      <c r="AI33" s="30">
        <v>2.6</v>
      </c>
      <c r="AJ33" s="55">
        <v>5</v>
      </c>
      <c r="AK33" s="28">
        <v>10</v>
      </c>
      <c r="AL33" s="29">
        <v>1.8</v>
      </c>
      <c r="AM33" s="30">
        <v>2.6</v>
      </c>
      <c r="AN33" s="54">
        <v>360</v>
      </c>
      <c r="AO33" s="28">
        <v>360</v>
      </c>
      <c r="AP33" s="28">
        <v>360</v>
      </c>
      <c r="AQ33" s="28">
        <v>360</v>
      </c>
      <c r="AR33" s="28" t="s">
        <v>28</v>
      </c>
      <c r="AS33" s="54">
        <v>180</v>
      </c>
      <c r="AT33" s="28">
        <v>180</v>
      </c>
      <c r="AU33" s="28">
        <v>180</v>
      </c>
      <c r="AV33" s="28">
        <v>180</v>
      </c>
      <c r="AW33" s="28" t="s">
        <v>28</v>
      </c>
      <c r="AX33" s="19"/>
      <c r="BB33" s="21"/>
    </row>
    <row r="34" spans="3:54">
      <c r="D34" s="15" t="s">
        <v>89</v>
      </c>
      <c r="E34" s="17">
        <v>15</v>
      </c>
      <c r="F34" s="1">
        <v>6</v>
      </c>
      <c r="G34" s="1">
        <v>2.4</v>
      </c>
      <c r="H34" s="1">
        <v>1</v>
      </c>
      <c r="I34" s="1" t="s">
        <v>28</v>
      </c>
      <c r="J34" s="16">
        <v>13</v>
      </c>
      <c r="K34" s="17">
        <v>12</v>
      </c>
      <c r="L34" s="1">
        <v>4.8</v>
      </c>
      <c r="M34" s="1">
        <v>1.9</v>
      </c>
      <c r="N34" s="1">
        <v>0.8</v>
      </c>
      <c r="O34" s="1" t="s">
        <v>28</v>
      </c>
      <c r="P34" s="16">
        <v>10</v>
      </c>
      <c r="Q34" s="1" t="s">
        <v>35</v>
      </c>
      <c r="R34" s="1" t="s">
        <v>98</v>
      </c>
      <c r="S34" s="16" t="s">
        <v>98</v>
      </c>
      <c r="T34" s="18" t="s">
        <v>35</v>
      </c>
      <c r="U34" s="17" t="s">
        <v>36</v>
      </c>
      <c r="V34" s="16" t="s">
        <v>36</v>
      </c>
      <c r="W34" s="18" t="s">
        <v>36</v>
      </c>
      <c r="X34" s="16" t="s">
        <v>36</v>
      </c>
      <c r="Y34" s="1">
        <v>5</v>
      </c>
      <c r="Z34" s="16">
        <v>0.5</v>
      </c>
      <c r="AA34" s="18" t="s">
        <v>35</v>
      </c>
      <c r="AB34" s="18" t="s">
        <v>35</v>
      </c>
      <c r="AC34" s="18">
        <v>400</v>
      </c>
      <c r="AD34" s="49">
        <v>0.55000000000000004</v>
      </c>
      <c r="AE34" s="49">
        <v>0.4</v>
      </c>
      <c r="AF34" s="1" t="s">
        <v>35</v>
      </c>
      <c r="AG34" s="28">
        <v>10</v>
      </c>
      <c r="AH34" s="29">
        <v>1.8</v>
      </c>
      <c r="AI34" s="30">
        <v>2.6</v>
      </c>
      <c r="AJ34" s="55">
        <v>5</v>
      </c>
      <c r="AK34" s="28">
        <v>10</v>
      </c>
      <c r="AL34" s="29">
        <v>1.8</v>
      </c>
      <c r="AM34" s="30">
        <v>2.6</v>
      </c>
      <c r="AN34" s="54">
        <v>360</v>
      </c>
      <c r="AO34" s="28">
        <v>360</v>
      </c>
      <c r="AP34" s="28">
        <v>360</v>
      </c>
      <c r="AQ34" s="28">
        <v>360</v>
      </c>
      <c r="AR34" s="28" t="s">
        <v>28</v>
      </c>
      <c r="AS34" s="54">
        <v>180</v>
      </c>
      <c r="AT34" s="28">
        <v>180</v>
      </c>
      <c r="AU34" s="28">
        <v>180</v>
      </c>
      <c r="AV34" s="28">
        <v>180</v>
      </c>
      <c r="AW34" s="28" t="s">
        <v>28</v>
      </c>
      <c r="AX34" s="19"/>
      <c r="BB34" s="21"/>
    </row>
    <row r="35" spans="3:54">
      <c r="D35" s="15" t="s">
        <v>126</v>
      </c>
      <c r="E35" s="17"/>
      <c r="J35" s="16"/>
      <c r="K35" s="17"/>
      <c r="P35" s="16"/>
      <c r="S35" s="16"/>
      <c r="T35" s="18"/>
      <c r="U35" s="17"/>
      <c r="V35" s="16"/>
      <c r="W35" s="18"/>
      <c r="X35" s="16"/>
      <c r="AA35" s="18"/>
      <c r="AB35" s="18"/>
      <c r="AC35" s="18"/>
      <c r="AD35" s="49"/>
      <c r="AE35" s="49"/>
      <c r="AJ35" s="55"/>
      <c r="AK35" s="28">
        <v>5</v>
      </c>
      <c r="AL35" s="29">
        <v>1.8</v>
      </c>
      <c r="AM35" s="30">
        <v>2.6</v>
      </c>
      <c r="AN35" s="54">
        <v>360</v>
      </c>
      <c r="AO35" s="28">
        <v>360</v>
      </c>
      <c r="AP35" s="28">
        <v>360</v>
      </c>
      <c r="AQ35" s="28">
        <v>360</v>
      </c>
      <c r="AR35" s="28" t="s">
        <v>28</v>
      </c>
      <c r="AS35" s="54">
        <v>180</v>
      </c>
      <c r="AT35" s="28">
        <v>180</v>
      </c>
      <c r="AU35" s="28">
        <v>180</v>
      </c>
      <c r="AV35" s="28">
        <v>180</v>
      </c>
      <c r="AW35" s="28" t="s">
        <v>28</v>
      </c>
      <c r="AX35" s="19"/>
      <c r="BB35" s="21"/>
    </row>
    <row r="36" spans="3:54">
      <c r="D36" t="s">
        <v>46</v>
      </c>
      <c r="E36" s="17">
        <v>8</v>
      </c>
      <c r="F36" s="1">
        <v>3.2</v>
      </c>
      <c r="G36" s="1">
        <v>1.3</v>
      </c>
      <c r="H36" s="1">
        <v>0.5</v>
      </c>
      <c r="I36" s="1" t="s">
        <v>28</v>
      </c>
      <c r="J36" s="16">
        <v>13</v>
      </c>
      <c r="K36" s="17">
        <v>6.4</v>
      </c>
      <c r="L36" s="1">
        <v>2.5</v>
      </c>
      <c r="M36" s="1">
        <v>1</v>
      </c>
      <c r="N36" s="1">
        <v>0.8</v>
      </c>
      <c r="O36" s="1" t="s">
        <v>28</v>
      </c>
      <c r="P36" s="16">
        <v>10</v>
      </c>
      <c r="Q36" s="1" t="s">
        <v>35</v>
      </c>
      <c r="R36" s="1" t="s">
        <v>98</v>
      </c>
      <c r="S36" s="16" t="s">
        <v>98</v>
      </c>
      <c r="T36" s="18" t="s">
        <v>35</v>
      </c>
      <c r="U36" s="17" t="s">
        <v>36</v>
      </c>
      <c r="V36" s="16" t="s">
        <v>36</v>
      </c>
      <c r="W36" s="18" t="s">
        <v>36</v>
      </c>
      <c r="X36" s="16" t="s">
        <v>36</v>
      </c>
      <c r="Y36" s="1" t="s">
        <v>35</v>
      </c>
      <c r="Z36" s="1" t="s">
        <v>35</v>
      </c>
      <c r="AA36" s="18" t="s">
        <v>35</v>
      </c>
      <c r="AB36" s="18" t="s">
        <v>35</v>
      </c>
      <c r="AC36" s="18">
        <v>400</v>
      </c>
      <c r="AD36" s="49">
        <v>0.55000000000000004</v>
      </c>
      <c r="AE36" s="49">
        <v>0.4</v>
      </c>
      <c r="AF36" s="1" t="s">
        <v>35</v>
      </c>
      <c r="AG36" s="28">
        <v>10</v>
      </c>
      <c r="AH36" s="29">
        <v>1.8</v>
      </c>
      <c r="AI36" s="30">
        <v>2.6</v>
      </c>
      <c r="AJ36" s="55">
        <v>5</v>
      </c>
      <c r="AK36" s="28">
        <v>10</v>
      </c>
      <c r="AL36" s="29">
        <v>1.8</v>
      </c>
      <c r="AM36" s="30">
        <v>2.6</v>
      </c>
      <c r="AN36" s="54">
        <v>360</v>
      </c>
      <c r="AO36" s="28">
        <v>360</v>
      </c>
      <c r="AP36" s="28">
        <v>360</v>
      </c>
      <c r="AQ36" s="28">
        <v>360</v>
      </c>
      <c r="AR36" s="28" t="s">
        <v>28</v>
      </c>
      <c r="AS36" s="54">
        <v>180</v>
      </c>
      <c r="AT36" s="28">
        <v>180</v>
      </c>
      <c r="AU36" s="28">
        <v>180</v>
      </c>
      <c r="AV36" s="28">
        <v>180</v>
      </c>
      <c r="AW36" s="28" t="s">
        <v>28</v>
      </c>
      <c r="AX36" s="19"/>
      <c r="BB36" s="21"/>
    </row>
    <row r="37" spans="3:54" s="62" customFormat="1">
      <c r="E37" s="66"/>
      <c r="F37" s="63"/>
      <c r="G37" s="63"/>
      <c r="H37" s="63"/>
      <c r="I37" s="63"/>
      <c r="J37" s="64"/>
      <c r="K37" s="63"/>
      <c r="L37" s="63"/>
      <c r="M37" s="63"/>
      <c r="N37" s="63"/>
      <c r="O37" s="63"/>
      <c r="P37" s="64"/>
      <c r="Q37" s="63"/>
      <c r="R37" s="63"/>
      <c r="S37" s="64"/>
      <c r="T37" s="65"/>
      <c r="U37" s="66"/>
      <c r="V37" s="64"/>
      <c r="W37" s="65"/>
      <c r="X37" s="64"/>
      <c r="Y37" s="63"/>
      <c r="Z37" s="64"/>
      <c r="AA37" s="75"/>
      <c r="AB37" s="65"/>
      <c r="AC37" s="65"/>
      <c r="AD37" s="67"/>
      <c r="AE37" s="67"/>
      <c r="AF37" s="63"/>
      <c r="AG37" s="68"/>
      <c r="AH37" s="69"/>
      <c r="AI37" s="70"/>
      <c r="AJ37" s="76"/>
      <c r="AK37" s="68"/>
      <c r="AL37" s="69"/>
      <c r="AM37" s="70"/>
      <c r="AN37" s="77"/>
      <c r="AO37" s="71"/>
      <c r="AP37" s="71"/>
      <c r="AQ37" s="71"/>
      <c r="AR37" s="71"/>
      <c r="AS37" s="77"/>
      <c r="AT37" s="71"/>
      <c r="AU37" s="71"/>
      <c r="AV37" s="71"/>
      <c r="AW37" s="78"/>
      <c r="AX37" s="77"/>
      <c r="AY37" s="71"/>
      <c r="AZ37" s="71"/>
      <c r="BA37" s="71"/>
      <c r="BB37" s="78"/>
    </row>
    <row r="38" spans="3:54">
      <c r="C38" t="s">
        <v>30</v>
      </c>
      <c r="D38" t="s">
        <v>90</v>
      </c>
      <c r="E38" s="17"/>
      <c r="G38" s="1" t="s">
        <v>98</v>
      </c>
      <c r="H38" s="1" t="s">
        <v>98</v>
      </c>
      <c r="I38" s="1" t="s">
        <v>98</v>
      </c>
      <c r="J38" s="16" t="s">
        <v>98</v>
      </c>
      <c r="K38" s="1" t="s">
        <v>98</v>
      </c>
      <c r="L38" s="1" t="s">
        <v>98</v>
      </c>
      <c r="M38" s="1" t="s">
        <v>98</v>
      </c>
      <c r="N38" s="1" t="s">
        <v>98</v>
      </c>
      <c r="O38" s="1" t="s">
        <v>98</v>
      </c>
      <c r="P38" s="16" t="s">
        <v>98</v>
      </c>
      <c r="Q38" s="1" t="s">
        <v>35</v>
      </c>
      <c r="R38" s="1" t="s">
        <v>98</v>
      </c>
      <c r="S38" s="16" t="s">
        <v>98</v>
      </c>
      <c r="T38" s="18" t="s">
        <v>35</v>
      </c>
      <c r="U38" s="17" t="s">
        <v>36</v>
      </c>
      <c r="V38" s="16" t="s">
        <v>36</v>
      </c>
      <c r="W38" s="18" t="s">
        <v>36</v>
      </c>
      <c r="X38" s="16" t="s">
        <v>36</v>
      </c>
      <c r="Y38" s="1" t="s">
        <v>35</v>
      </c>
      <c r="Z38" s="1" t="s">
        <v>35</v>
      </c>
      <c r="AA38" s="18" t="s">
        <v>35</v>
      </c>
      <c r="AB38" s="18" t="s">
        <v>35</v>
      </c>
      <c r="AC38" s="18" t="s">
        <v>35</v>
      </c>
      <c r="AD38" s="49">
        <v>0.55000000000000004</v>
      </c>
      <c r="AE38" s="49" t="s">
        <v>35</v>
      </c>
      <c r="AF38" s="1" t="s">
        <v>35</v>
      </c>
      <c r="AG38" s="28">
        <v>5</v>
      </c>
      <c r="AH38" s="29">
        <v>1.8</v>
      </c>
      <c r="AI38" s="30">
        <v>2.6</v>
      </c>
      <c r="AJ38" s="55">
        <v>5</v>
      </c>
      <c r="AK38" s="28">
        <v>10</v>
      </c>
      <c r="AL38" s="29">
        <v>1.8</v>
      </c>
      <c r="AM38" s="30">
        <v>2.6</v>
      </c>
      <c r="AN38" s="19" t="s">
        <v>35</v>
      </c>
      <c r="AO38" s="20" t="s">
        <v>35</v>
      </c>
      <c r="AP38" s="20" t="s">
        <v>35</v>
      </c>
      <c r="AQ38" s="20" t="s">
        <v>35</v>
      </c>
      <c r="AR38" s="20" t="s">
        <v>35</v>
      </c>
      <c r="AS38" s="19" t="s">
        <v>35</v>
      </c>
      <c r="AT38" s="20" t="s">
        <v>35</v>
      </c>
      <c r="AU38" s="20" t="s">
        <v>35</v>
      </c>
      <c r="AV38" s="20" t="s">
        <v>35</v>
      </c>
      <c r="AW38" s="21" t="s">
        <v>35</v>
      </c>
      <c r="AX38" s="19"/>
      <c r="BB38" s="21"/>
    </row>
    <row r="39" spans="3:54">
      <c r="D39" t="s">
        <v>91</v>
      </c>
      <c r="E39" s="17">
        <v>15</v>
      </c>
      <c r="F39" s="1">
        <v>6</v>
      </c>
      <c r="G39" s="1">
        <v>2.4</v>
      </c>
      <c r="H39" s="1">
        <v>1</v>
      </c>
      <c r="I39" s="1">
        <v>1</v>
      </c>
      <c r="J39" s="16">
        <v>7</v>
      </c>
      <c r="K39" s="1">
        <v>12</v>
      </c>
      <c r="L39" s="1">
        <v>4.8</v>
      </c>
      <c r="M39" s="1">
        <v>1.9</v>
      </c>
      <c r="N39" s="1">
        <v>1</v>
      </c>
      <c r="O39" s="1">
        <v>1</v>
      </c>
      <c r="P39" s="16">
        <v>7</v>
      </c>
      <c r="Q39" s="1" t="s">
        <v>35</v>
      </c>
      <c r="R39" s="1" t="s">
        <v>98</v>
      </c>
      <c r="S39" s="16" t="s">
        <v>98</v>
      </c>
      <c r="T39" s="18" t="s">
        <v>35</v>
      </c>
      <c r="U39" s="17" t="s">
        <v>36</v>
      </c>
      <c r="V39" s="16" t="s">
        <v>36</v>
      </c>
      <c r="W39" s="18" t="s">
        <v>36</v>
      </c>
      <c r="X39" s="16" t="s">
        <v>36</v>
      </c>
      <c r="Y39" s="1" t="s">
        <v>35</v>
      </c>
      <c r="Z39" s="1" t="s">
        <v>35</v>
      </c>
      <c r="AA39" s="18" t="s">
        <v>35</v>
      </c>
      <c r="AB39" s="18" t="s">
        <v>35</v>
      </c>
      <c r="AC39" s="18">
        <v>400</v>
      </c>
      <c r="AD39" s="49">
        <v>0.55000000000000004</v>
      </c>
      <c r="AE39" s="49">
        <v>0.4</v>
      </c>
      <c r="AF39" s="1" t="s">
        <v>35</v>
      </c>
      <c r="AG39" s="28">
        <v>5</v>
      </c>
      <c r="AH39" s="29">
        <v>1.8</v>
      </c>
      <c r="AI39" s="30">
        <v>2.6</v>
      </c>
      <c r="AJ39" s="55">
        <v>5</v>
      </c>
      <c r="AK39" s="28">
        <v>10</v>
      </c>
      <c r="AL39" s="29">
        <v>1.8</v>
      </c>
      <c r="AM39" s="30">
        <v>2.6</v>
      </c>
      <c r="AN39" s="54">
        <v>60</v>
      </c>
      <c r="AO39" s="55">
        <v>60</v>
      </c>
      <c r="AP39" s="55">
        <v>150</v>
      </c>
      <c r="AQ39" s="55">
        <v>360</v>
      </c>
      <c r="AR39" s="55" t="s">
        <v>130</v>
      </c>
      <c r="AS39" s="54">
        <v>30</v>
      </c>
      <c r="AT39" s="55">
        <v>30</v>
      </c>
      <c r="AU39" s="55">
        <v>75</v>
      </c>
      <c r="AV39" s="55">
        <v>180</v>
      </c>
      <c r="AW39" s="21">
        <v>450</v>
      </c>
      <c r="AX39" s="19"/>
      <c r="BB39" s="21"/>
    </row>
    <row r="40" spans="3:54">
      <c r="D40" t="s">
        <v>92</v>
      </c>
      <c r="E40" s="17">
        <v>8</v>
      </c>
      <c r="F40" s="1">
        <v>3.2</v>
      </c>
      <c r="G40" s="1">
        <v>1.3</v>
      </c>
      <c r="H40" s="1">
        <v>0.5</v>
      </c>
      <c r="I40" s="1">
        <v>0.5</v>
      </c>
      <c r="J40" s="16">
        <v>7</v>
      </c>
      <c r="K40" s="1">
        <v>6.4</v>
      </c>
      <c r="L40" s="1">
        <v>2.5</v>
      </c>
      <c r="M40" s="1">
        <v>1</v>
      </c>
      <c r="N40" s="1">
        <v>0.4</v>
      </c>
      <c r="O40" s="1">
        <v>0.4</v>
      </c>
      <c r="P40" s="16">
        <v>7</v>
      </c>
      <c r="Q40" s="1" t="s">
        <v>35</v>
      </c>
      <c r="R40" s="1" t="s">
        <v>98</v>
      </c>
      <c r="S40" s="16" t="s">
        <v>98</v>
      </c>
      <c r="T40" s="18" t="s">
        <v>35</v>
      </c>
      <c r="U40" s="17" t="s">
        <v>36</v>
      </c>
      <c r="V40" s="16" t="s">
        <v>36</v>
      </c>
      <c r="W40" s="18" t="s">
        <v>36</v>
      </c>
      <c r="X40" s="16" t="s">
        <v>36</v>
      </c>
      <c r="Y40" s="1" t="s">
        <v>35</v>
      </c>
      <c r="Z40" s="1" t="s">
        <v>35</v>
      </c>
      <c r="AA40" s="18" t="s">
        <v>35</v>
      </c>
      <c r="AB40" s="18" t="s">
        <v>35</v>
      </c>
      <c r="AC40" s="18">
        <v>400</v>
      </c>
      <c r="AD40" s="49">
        <v>0.55000000000000004</v>
      </c>
      <c r="AE40" s="49">
        <v>0.4</v>
      </c>
      <c r="AF40" s="1" t="s">
        <v>35</v>
      </c>
      <c r="AG40" s="28">
        <v>5</v>
      </c>
      <c r="AH40" s="29">
        <v>1.8</v>
      </c>
      <c r="AI40" s="30">
        <v>2.6</v>
      </c>
      <c r="AJ40" s="55">
        <v>5</v>
      </c>
      <c r="AK40" s="28">
        <v>10</v>
      </c>
      <c r="AL40" s="29">
        <v>1.8</v>
      </c>
      <c r="AM40" s="30">
        <v>2.6</v>
      </c>
      <c r="AN40" s="54">
        <v>60</v>
      </c>
      <c r="AO40" s="55">
        <v>60</v>
      </c>
      <c r="AP40" s="55">
        <v>150</v>
      </c>
      <c r="AQ40" s="55">
        <v>360</v>
      </c>
      <c r="AR40" s="55" t="s">
        <v>130</v>
      </c>
      <c r="AS40" s="54">
        <v>30</v>
      </c>
      <c r="AT40" s="55">
        <v>30</v>
      </c>
      <c r="AU40" s="55">
        <v>75</v>
      </c>
      <c r="AV40" s="55">
        <v>180</v>
      </c>
      <c r="AW40" s="21">
        <v>450</v>
      </c>
      <c r="AX40" s="19"/>
      <c r="BB40" s="21"/>
    </row>
    <row r="41" spans="3:54" s="62" customFormat="1">
      <c r="E41" s="66"/>
      <c r="F41" s="63"/>
      <c r="G41" s="63"/>
      <c r="H41" s="63"/>
      <c r="I41" s="63"/>
      <c r="J41" s="64"/>
      <c r="K41" s="63"/>
      <c r="L41" s="63"/>
      <c r="M41" s="63"/>
      <c r="N41" s="63"/>
      <c r="O41" s="63"/>
      <c r="P41" s="64"/>
      <c r="Q41" s="63"/>
      <c r="R41" s="63"/>
      <c r="S41" s="64"/>
      <c r="T41" s="65" t="s">
        <v>35</v>
      </c>
      <c r="U41" s="66" t="s">
        <v>36</v>
      </c>
      <c r="V41" s="64" t="s">
        <v>36</v>
      </c>
      <c r="W41" s="65" t="s">
        <v>36</v>
      </c>
      <c r="X41" s="64" t="s">
        <v>36</v>
      </c>
      <c r="Y41" s="63"/>
      <c r="Z41" s="64"/>
      <c r="AA41" s="75"/>
      <c r="AB41" s="65"/>
      <c r="AC41" s="64"/>
      <c r="AD41" s="67"/>
      <c r="AE41" s="67"/>
      <c r="AF41" s="63"/>
      <c r="AG41" s="68"/>
      <c r="AH41" s="69"/>
      <c r="AI41" s="70"/>
      <c r="AJ41" s="76"/>
      <c r="AK41" s="68"/>
      <c r="AL41" s="69"/>
      <c r="AM41" s="70"/>
      <c r="AN41" s="82"/>
      <c r="AO41" s="76"/>
      <c r="AP41" s="76"/>
      <c r="AQ41" s="76"/>
      <c r="AR41" s="76"/>
      <c r="AS41" s="82"/>
      <c r="AT41" s="76"/>
      <c r="AU41" s="76"/>
      <c r="AV41" s="76"/>
      <c r="AW41" s="83"/>
      <c r="AX41" s="77"/>
      <c r="AY41" s="71"/>
      <c r="AZ41" s="71"/>
      <c r="BA41" s="71"/>
      <c r="BB41" s="78"/>
    </row>
    <row r="42" spans="3:54">
      <c r="C42" t="s">
        <v>31</v>
      </c>
      <c r="D42" s="84" t="s">
        <v>31</v>
      </c>
      <c r="E42" s="1">
        <v>1.3</v>
      </c>
      <c r="F42" s="1">
        <v>1.3</v>
      </c>
      <c r="G42" s="1">
        <v>1.3</v>
      </c>
      <c r="H42" s="1">
        <v>1.3</v>
      </c>
      <c r="I42" s="1" t="s">
        <v>28</v>
      </c>
      <c r="J42" s="16">
        <v>13</v>
      </c>
      <c r="K42" s="1">
        <v>1</v>
      </c>
      <c r="L42" s="1">
        <v>1</v>
      </c>
      <c r="M42" s="1">
        <v>1</v>
      </c>
      <c r="N42" s="1">
        <v>1</v>
      </c>
      <c r="O42" s="1" t="s">
        <v>28</v>
      </c>
      <c r="P42" s="16">
        <v>10</v>
      </c>
      <c r="Q42" s="1" t="s">
        <v>35</v>
      </c>
      <c r="R42" s="1" t="s">
        <v>98</v>
      </c>
      <c r="S42" s="16" t="s">
        <v>98</v>
      </c>
      <c r="T42" s="18" t="s">
        <v>35</v>
      </c>
      <c r="U42" s="17" t="s">
        <v>36</v>
      </c>
      <c r="V42" s="16" t="s">
        <v>36</v>
      </c>
      <c r="W42" s="18" t="s">
        <v>36</v>
      </c>
      <c r="X42" s="16" t="s">
        <v>36</v>
      </c>
      <c r="Y42" s="1">
        <v>2.5</v>
      </c>
      <c r="Z42" s="16">
        <v>0.5</v>
      </c>
      <c r="AA42" s="18" t="s">
        <v>35</v>
      </c>
      <c r="AB42" s="18" t="s">
        <v>35</v>
      </c>
      <c r="AC42" s="16">
        <v>400</v>
      </c>
      <c r="AD42" s="49">
        <v>0.55000000000000004</v>
      </c>
      <c r="AE42" s="49">
        <v>0.4</v>
      </c>
      <c r="AF42" s="50"/>
      <c r="AG42" s="28">
        <v>10</v>
      </c>
      <c r="AH42" s="29">
        <v>1.8</v>
      </c>
      <c r="AI42" s="30">
        <v>2.6</v>
      </c>
      <c r="AJ42" s="55">
        <v>10</v>
      </c>
      <c r="AK42" s="28">
        <v>10</v>
      </c>
      <c r="AL42" s="29">
        <v>1.8</v>
      </c>
      <c r="AM42" s="30">
        <v>2.6</v>
      </c>
      <c r="AN42" s="54">
        <v>60</v>
      </c>
      <c r="AO42" s="55">
        <v>60</v>
      </c>
      <c r="AP42" s="55">
        <v>150</v>
      </c>
      <c r="AQ42" s="55">
        <v>360</v>
      </c>
      <c r="AR42" s="55" t="s">
        <v>28</v>
      </c>
      <c r="AS42" s="54">
        <v>30</v>
      </c>
      <c r="AT42" s="55">
        <v>30</v>
      </c>
      <c r="AU42" s="55">
        <v>75</v>
      </c>
      <c r="AV42" s="55">
        <v>180</v>
      </c>
      <c r="AW42" s="21" t="s">
        <v>28</v>
      </c>
      <c r="AX42" s="19"/>
      <c r="BB42" s="21"/>
    </row>
    <row r="43" spans="3:54">
      <c r="D43" s="84"/>
      <c r="J43" s="16"/>
      <c r="P43" s="16"/>
      <c r="S43" s="16"/>
      <c r="T43" s="18" t="s">
        <v>35</v>
      </c>
      <c r="U43" s="17" t="s">
        <v>36</v>
      </c>
      <c r="V43" s="16" t="s">
        <v>36</v>
      </c>
      <c r="W43" s="18" t="s">
        <v>36</v>
      </c>
      <c r="X43" s="16" t="s">
        <v>36</v>
      </c>
      <c r="Z43" s="16"/>
      <c r="AA43" s="18" t="s">
        <v>35</v>
      </c>
      <c r="AB43" s="18" t="s">
        <v>35</v>
      </c>
      <c r="AC43" s="16"/>
      <c r="AD43" s="49"/>
      <c r="AE43" s="49"/>
      <c r="AJ43" s="55"/>
      <c r="AN43" s="54"/>
      <c r="AO43" s="55"/>
      <c r="AP43" s="55"/>
      <c r="AQ43" s="55"/>
      <c r="AR43" s="55"/>
      <c r="AS43" s="54"/>
      <c r="AT43" s="55"/>
      <c r="AU43" s="55"/>
      <c r="AV43" s="55"/>
      <c r="AW43" s="56"/>
      <c r="AX43" s="19"/>
      <c r="BB43" s="21"/>
    </row>
    <row r="44" spans="3:54" s="62" customFormat="1">
      <c r="D44" s="85"/>
      <c r="E44" s="63"/>
      <c r="F44" s="63"/>
      <c r="G44" s="63"/>
      <c r="H44" s="63"/>
      <c r="I44" s="63"/>
      <c r="J44" s="64"/>
      <c r="K44" s="63"/>
      <c r="L44" s="63"/>
      <c r="M44" s="63"/>
      <c r="N44" s="63"/>
      <c r="O44" s="63"/>
      <c r="P44" s="64"/>
      <c r="Q44" s="63"/>
      <c r="R44" s="63"/>
      <c r="S44" s="64"/>
      <c r="T44" s="65" t="s">
        <v>35</v>
      </c>
      <c r="U44" s="66" t="s">
        <v>36</v>
      </c>
      <c r="V44" s="64" t="s">
        <v>36</v>
      </c>
      <c r="W44" s="65" t="s">
        <v>36</v>
      </c>
      <c r="X44" s="64" t="s">
        <v>36</v>
      </c>
      <c r="Y44" s="63"/>
      <c r="Z44" s="64"/>
      <c r="AA44" s="75"/>
      <c r="AB44" s="75"/>
      <c r="AC44" s="64"/>
      <c r="AD44" s="67"/>
      <c r="AE44" s="67"/>
      <c r="AF44" s="63"/>
      <c r="AG44" s="68"/>
      <c r="AH44" s="69"/>
      <c r="AI44" s="70"/>
      <c r="AJ44" s="76"/>
      <c r="AK44" s="68"/>
      <c r="AL44" s="69"/>
      <c r="AM44" s="70"/>
      <c r="AN44" s="82"/>
      <c r="AO44" s="76"/>
      <c r="AP44" s="76"/>
      <c r="AQ44" s="76"/>
      <c r="AR44" s="76"/>
      <c r="AS44" s="82"/>
      <c r="AT44" s="76"/>
      <c r="AU44" s="76"/>
      <c r="AV44" s="76"/>
      <c r="AW44" s="83"/>
      <c r="AX44" s="77"/>
      <c r="AY44" s="71"/>
      <c r="AZ44" s="71"/>
      <c r="BA44" s="71"/>
      <c r="BB44" s="78"/>
    </row>
    <row r="45" spans="3:54">
      <c r="C45" t="s">
        <v>99</v>
      </c>
      <c r="D45" s="84" t="s">
        <v>76</v>
      </c>
      <c r="E45" s="1">
        <v>15</v>
      </c>
      <c r="F45" s="1">
        <v>6</v>
      </c>
      <c r="G45" s="1">
        <v>2.4</v>
      </c>
      <c r="H45" s="1">
        <v>1</v>
      </c>
      <c r="I45" s="1" t="s">
        <v>28</v>
      </c>
      <c r="J45" s="16">
        <v>7</v>
      </c>
      <c r="K45" s="1">
        <v>12</v>
      </c>
      <c r="L45" s="1">
        <v>4.8</v>
      </c>
      <c r="M45" s="1">
        <v>1.9</v>
      </c>
      <c r="N45" s="1">
        <v>0.8</v>
      </c>
      <c r="O45" s="1" t="s">
        <v>28</v>
      </c>
      <c r="P45" s="16">
        <v>7</v>
      </c>
      <c r="Q45" s="1" t="s">
        <v>35</v>
      </c>
      <c r="R45" s="1" t="s">
        <v>98</v>
      </c>
      <c r="S45" s="16" t="s">
        <v>98</v>
      </c>
      <c r="T45" s="18" t="s">
        <v>36</v>
      </c>
      <c r="U45" s="17" t="s">
        <v>36</v>
      </c>
      <c r="V45" s="16" t="s">
        <v>36</v>
      </c>
      <c r="W45" s="18" t="s">
        <v>36</v>
      </c>
      <c r="X45" s="16" t="s">
        <v>36</v>
      </c>
      <c r="Y45" s="1">
        <v>7</v>
      </c>
      <c r="Z45" s="16">
        <v>0.35</v>
      </c>
      <c r="AA45" s="18" t="s">
        <v>35</v>
      </c>
      <c r="AB45" s="18" t="s">
        <v>35</v>
      </c>
      <c r="AC45" s="16">
        <v>400</v>
      </c>
      <c r="AD45" s="49">
        <v>0.55000000000000004</v>
      </c>
      <c r="AE45" s="49">
        <v>0.4</v>
      </c>
      <c r="AF45" s="1" t="s">
        <v>35</v>
      </c>
      <c r="AG45" s="28">
        <v>5</v>
      </c>
      <c r="AH45" s="29">
        <v>1.8</v>
      </c>
      <c r="AI45" s="30">
        <v>2.6</v>
      </c>
      <c r="AJ45" s="55">
        <v>5</v>
      </c>
      <c r="AK45" s="28">
        <v>5</v>
      </c>
      <c r="AL45" s="29">
        <v>1.8</v>
      </c>
      <c r="AM45" s="30">
        <v>2.6</v>
      </c>
      <c r="AN45" s="19">
        <v>1</v>
      </c>
      <c r="AR45" s="21"/>
      <c r="AW45" s="21"/>
      <c r="AX45" s="19"/>
      <c r="BB45" s="21"/>
    </row>
    <row r="46" spans="3:54">
      <c r="D46" s="84" t="s">
        <v>127</v>
      </c>
      <c r="J46" s="16"/>
      <c r="P46" s="16"/>
      <c r="S46" s="16"/>
      <c r="T46" s="18"/>
      <c r="U46" s="17"/>
      <c r="V46" s="16"/>
      <c r="W46" s="18"/>
      <c r="X46" s="16"/>
      <c r="Z46" s="16"/>
      <c r="AA46" s="18"/>
      <c r="AB46" s="18"/>
      <c r="AC46" s="16">
        <v>400</v>
      </c>
      <c r="AD46" s="49"/>
      <c r="AE46" s="49"/>
      <c r="AG46" s="28">
        <v>14</v>
      </c>
      <c r="AH46" s="29">
        <v>3.2</v>
      </c>
      <c r="AI46" s="30">
        <v>2.6</v>
      </c>
      <c r="AJ46" s="55">
        <v>5</v>
      </c>
      <c r="AK46" s="28">
        <v>14</v>
      </c>
      <c r="AL46" s="29">
        <v>3.2</v>
      </c>
      <c r="AM46" s="30">
        <v>2.6</v>
      </c>
      <c r="AR46" s="21"/>
    </row>
    <row r="47" spans="3:54">
      <c r="D47" s="84" t="s">
        <v>75</v>
      </c>
      <c r="E47" s="1">
        <v>15</v>
      </c>
      <c r="F47" s="1">
        <v>6</v>
      </c>
      <c r="G47" s="1">
        <v>2.4</v>
      </c>
      <c r="H47" s="1">
        <v>1</v>
      </c>
      <c r="I47" s="1" t="s">
        <v>28</v>
      </c>
      <c r="J47" s="16">
        <v>7</v>
      </c>
      <c r="K47" s="1">
        <v>12</v>
      </c>
      <c r="L47" s="1">
        <v>4.8</v>
      </c>
      <c r="M47" s="1">
        <v>1.9</v>
      </c>
      <c r="N47" s="1">
        <v>0.8</v>
      </c>
      <c r="O47" s="1" t="s">
        <v>28</v>
      </c>
      <c r="P47" s="16">
        <v>7</v>
      </c>
      <c r="Q47" s="1" t="s">
        <v>35</v>
      </c>
      <c r="R47" s="1" t="s">
        <v>98</v>
      </c>
      <c r="S47" s="16" t="s">
        <v>98</v>
      </c>
      <c r="T47" s="18" t="s">
        <v>35</v>
      </c>
      <c r="U47" s="17" t="s">
        <v>35</v>
      </c>
      <c r="V47" s="16" t="s">
        <v>35</v>
      </c>
      <c r="W47" s="18" t="s">
        <v>35</v>
      </c>
      <c r="X47" s="16" t="s">
        <v>35</v>
      </c>
      <c r="Y47" s="1">
        <v>7</v>
      </c>
      <c r="Z47" s="16">
        <v>0.35</v>
      </c>
      <c r="AA47" s="18" t="s">
        <v>35</v>
      </c>
      <c r="AB47" s="18" t="s">
        <v>35</v>
      </c>
      <c r="AC47" s="16">
        <v>400</v>
      </c>
      <c r="AD47" s="49">
        <v>0.55000000000000004</v>
      </c>
      <c r="AE47" s="49">
        <v>0.4</v>
      </c>
      <c r="AF47" s="1" t="s">
        <v>35</v>
      </c>
      <c r="AG47" s="28">
        <v>4</v>
      </c>
      <c r="AH47" s="29">
        <v>1.5</v>
      </c>
      <c r="AI47" s="30">
        <v>2.1</v>
      </c>
      <c r="AJ47" s="55">
        <v>4</v>
      </c>
      <c r="AK47" s="28">
        <v>4</v>
      </c>
      <c r="AL47" s="29">
        <v>1.5</v>
      </c>
      <c r="AM47" s="30">
        <v>2.1</v>
      </c>
      <c r="AR47" s="21"/>
    </row>
    <row r="48" spans="3:54">
      <c r="D48" s="84" t="s">
        <v>128</v>
      </c>
      <c r="J48" s="16"/>
      <c r="P48" s="16"/>
      <c r="S48" s="16"/>
      <c r="T48" s="18"/>
      <c r="U48" s="17"/>
      <c r="V48" s="16"/>
      <c r="W48" s="18"/>
      <c r="X48" s="16"/>
      <c r="Z48" s="16"/>
      <c r="AA48" s="18"/>
      <c r="AB48" s="18"/>
      <c r="AC48" s="16">
        <v>400</v>
      </c>
      <c r="AD48" s="49"/>
      <c r="AE48" s="49"/>
      <c r="AG48" s="28">
        <v>14</v>
      </c>
      <c r="AH48" s="29">
        <v>3.2</v>
      </c>
      <c r="AI48" s="30">
        <v>2.6</v>
      </c>
      <c r="AJ48" s="55">
        <v>4</v>
      </c>
      <c r="AK48" s="28">
        <v>14</v>
      </c>
      <c r="AL48" s="29">
        <v>3.2</v>
      </c>
      <c r="AM48" s="30">
        <v>2.6</v>
      </c>
      <c r="AR48" s="21"/>
    </row>
    <row r="49" spans="3:54" s="62" customFormat="1">
      <c r="D49" s="85"/>
      <c r="E49" s="63"/>
      <c r="F49" s="63"/>
      <c r="G49" s="63"/>
      <c r="H49" s="63"/>
      <c r="I49" s="63"/>
      <c r="J49" s="64"/>
      <c r="K49" s="63"/>
      <c r="L49" s="63"/>
      <c r="M49" s="63"/>
      <c r="N49" s="63"/>
      <c r="O49" s="63"/>
      <c r="P49" s="64"/>
      <c r="Q49" s="63"/>
      <c r="R49" s="63"/>
      <c r="S49" s="64"/>
      <c r="T49" s="65"/>
      <c r="U49" s="66" t="s">
        <v>36</v>
      </c>
      <c r="V49" s="64" t="s">
        <v>36</v>
      </c>
      <c r="W49" s="65" t="s">
        <v>36</v>
      </c>
      <c r="X49" s="64" t="s">
        <v>36</v>
      </c>
      <c r="Y49" s="63"/>
      <c r="Z49" s="64"/>
      <c r="AA49" s="75"/>
      <c r="AB49" s="75"/>
      <c r="AC49" s="64"/>
      <c r="AD49" s="67"/>
      <c r="AE49" s="67"/>
      <c r="AF49" s="63"/>
      <c r="AG49" s="68"/>
      <c r="AH49" s="69"/>
      <c r="AI49" s="70"/>
      <c r="AJ49" s="76"/>
      <c r="AK49" s="68"/>
      <c r="AL49" s="69"/>
      <c r="AM49" s="70"/>
      <c r="AN49" s="76"/>
      <c r="AO49" s="76"/>
      <c r="AP49" s="76"/>
      <c r="AQ49" s="76"/>
      <c r="AR49" s="83"/>
      <c r="AS49" s="76"/>
      <c r="AT49" s="76"/>
      <c r="AU49" s="76"/>
      <c r="AV49" s="76"/>
      <c r="AW49" s="76"/>
      <c r="AX49" s="71"/>
      <c r="AY49" s="71"/>
      <c r="AZ49" s="71"/>
      <c r="BA49" s="71"/>
      <c r="BB49" s="71"/>
    </row>
    <row r="50" spans="3:54">
      <c r="C50" t="s">
        <v>100</v>
      </c>
      <c r="D50" s="84" t="s">
        <v>27</v>
      </c>
      <c r="E50" s="1">
        <v>15</v>
      </c>
      <c r="F50" s="1">
        <v>6</v>
      </c>
      <c r="G50" s="1">
        <v>2.4</v>
      </c>
      <c r="H50" s="1" t="s">
        <v>28</v>
      </c>
      <c r="I50" s="1" t="s">
        <v>28</v>
      </c>
      <c r="J50" s="16">
        <v>7</v>
      </c>
      <c r="K50" s="1">
        <v>12</v>
      </c>
      <c r="L50" s="1">
        <v>4.8</v>
      </c>
      <c r="M50" s="1">
        <v>1.9</v>
      </c>
      <c r="N50" s="1" t="s">
        <v>28</v>
      </c>
      <c r="O50" s="1" t="s">
        <v>28</v>
      </c>
      <c r="P50" s="16">
        <v>7</v>
      </c>
      <c r="Q50" s="1" t="s">
        <v>35</v>
      </c>
      <c r="R50" s="1" t="s">
        <v>98</v>
      </c>
      <c r="S50" s="16" t="s">
        <v>98</v>
      </c>
      <c r="T50" s="18" t="s">
        <v>35</v>
      </c>
      <c r="U50" s="17" t="s">
        <v>36</v>
      </c>
      <c r="V50" s="16" t="s">
        <v>36</v>
      </c>
      <c r="W50" s="18" t="s">
        <v>36</v>
      </c>
      <c r="X50" s="16" t="s">
        <v>36</v>
      </c>
      <c r="Y50" s="1">
        <v>5</v>
      </c>
      <c r="Z50" s="16">
        <v>0.5</v>
      </c>
      <c r="AA50" s="18" t="s">
        <v>35</v>
      </c>
      <c r="AB50" s="18" t="s">
        <v>35</v>
      </c>
      <c r="AC50" s="16">
        <v>400</v>
      </c>
      <c r="AD50" s="49">
        <v>0.55000000000000004</v>
      </c>
      <c r="AE50" s="49">
        <v>0.01</v>
      </c>
      <c r="AF50" s="1" t="s">
        <v>35</v>
      </c>
      <c r="AG50" s="28">
        <v>8</v>
      </c>
      <c r="AH50" s="29">
        <v>1.8</v>
      </c>
      <c r="AI50" s="30">
        <v>2.6</v>
      </c>
      <c r="AJ50" s="55">
        <v>8</v>
      </c>
      <c r="AK50" s="28">
        <v>8</v>
      </c>
      <c r="AL50" s="29">
        <v>1.8</v>
      </c>
      <c r="AM50" s="30">
        <v>2.6</v>
      </c>
      <c r="AN50" s="55"/>
      <c r="AO50" s="55"/>
      <c r="AP50" s="55"/>
      <c r="AQ50" s="55"/>
      <c r="AR50" s="56"/>
      <c r="AS50" s="55"/>
      <c r="AT50" s="55"/>
      <c r="AU50" s="55"/>
      <c r="AV50" s="55"/>
      <c r="AW50" s="55"/>
    </row>
    <row r="51" spans="3:54">
      <c r="D51" s="84" t="s">
        <v>46</v>
      </c>
      <c r="E51" s="1">
        <v>8.8000000000000007</v>
      </c>
      <c r="F51" s="1">
        <v>3.5</v>
      </c>
      <c r="G51" s="1">
        <v>1.4</v>
      </c>
      <c r="H51" s="1" t="s">
        <v>28</v>
      </c>
      <c r="I51" s="1" t="s">
        <v>28</v>
      </c>
      <c r="J51" s="16">
        <v>7</v>
      </c>
      <c r="K51" s="1">
        <v>7</v>
      </c>
      <c r="L51" s="1">
        <v>2.8</v>
      </c>
      <c r="M51" s="1">
        <v>1.1000000000000001</v>
      </c>
      <c r="N51" s="1" t="s">
        <v>28</v>
      </c>
      <c r="O51" s="1" t="s">
        <v>28</v>
      </c>
      <c r="P51" s="16">
        <v>7</v>
      </c>
      <c r="Q51" s="1" t="s">
        <v>35</v>
      </c>
      <c r="R51" s="1" t="s">
        <v>98</v>
      </c>
      <c r="S51" s="16" t="s">
        <v>98</v>
      </c>
      <c r="T51" s="18" t="s">
        <v>35</v>
      </c>
      <c r="U51" s="17" t="s">
        <v>36</v>
      </c>
      <c r="V51" s="16" t="s">
        <v>36</v>
      </c>
      <c r="W51" s="18" t="s">
        <v>36</v>
      </c>
      <c r="X51" s="16" t="s">
        <v>36</v>
      </c>
      <c r="Y51" s="1">
        <v>5</v>
      </c>
      <c r="Z51" s="16">
        <v>0.5</v>
      </c>
      <c r="AA51" s="18" t="s">
        <v>35</v>
      </c>
      <c r="AB51" s="18" t="s">
        <v>35</v>
      </c>
      <c r="AC51" s="16">
        <v>400</v>
      </c>
      <c r="AD51" s="49">
        <v>0.55000000000000004</v>
      </c>
      <c r="AE51" s="49">
        <v>0.01</v>
      </c>
      <c r="AF51" s="1" t="s">
        <v>35</v>
      </c>
      <c r="AG51" s="28">
        <v>8</v>
      </c>
      <c r="AH51" s="29">
        <v>1.8</v>
      </c>
      <c r="AI51" s="30">
        <v>2.6</v>
      </c>
      <c r="AJ51" s="55">
        <v>8</v>
      </c>
      <c r="AK51" s="28">
        <v>8</v>
      </c>
      <c r="AL51" s="29">
        <v>1.8</v>
      </c>
      <c r="AM51" s="30">
        <v>2.6</v>
      </c>
      <c r="AN51" s="55"/>
      <c r="AO51" s="55"/>
      <c r="AP51" s="55"/>
      <c r="AQ51" s="55"/>
      <c r="AR51" s="56"/>
      <c r="AS51" s="55"/>
      <c r="AT51" s="55"/>
      <c r="AU51" s="55"/>
      <c r="AV51" s="55"/>
      <c r="AW51" s="55"/>
    </row>
    <row r="52" spans="3:54" s="62" customFormat="1">
      <c r="D52" s="85"/>
      <c r="E52" s="63"/>
      <c r="F52" s="63"/>
      <c r="G52" s="63"/>
      <c r="H52" s="63"/>
      <c r="I52" s="63"/>
      <c r="J52" s="64"/>
      <c r="K52" s="63"/>
      <c r="L52" s="63"/>
      <c r="M52" s="63"/>
      <c r="N52" s="63"/>
      <c r="O52" s="63"/>
      <c r="P52" s="64"/>
      <c r="Q52" s="63"/>
      <c r="R52" s="63"/>
      <c r="S52" s="64"/>
      <c r="T52" s="65"/>
      <c r="U52" s="66"/>
      <c r="V52" s="64"/>
      <c r="W52" s="65"/>
      <c r="X52" s="64"/>
      <c r="Y52" s="63"/>
      <c r="Z52" s="64"/>
      <c r="AA52" s="75"/>
      <c r="AB52" s="75"/>
      <c r="AC52" s="64"/>
      <c r="AD52" s="67"/>
      <c r="AE52" s="67"/>
      <c r="AF52" s="63"/>
      <c r="AG52" s="68"/>
      <c r="AH52" s="69"/>
      <c r="AI52" s="70"/>
      <c r="AJ52" s="76"/>
      <c r="AK52" s="68"/>
      <c r="AL52" s="69"/>
      <c r="AM52" s="70"/>
      <c r="AN52" s="76"/>
      <c r="AO52" s="76"/>
      <c r="AP52" s="76"/>
      <c r="AQ52" s="76"/>
      <c r="AR52" s="83"/>
      <c r="AS52" s="76"/>
      <c r="AT52" s="76"/>
      <c r="AU52" s="76"/>
      <c r="AV52" s="76"/>
      <c r="AW52" s="76"/>
      <c r="AX52" s="71"/>
      <c r="AY52" s="71"/>
      <c r="AZ52" s="71"/>
      <c r="BA52" s="71"/>
      <c r="BB52" s="71"/>
    </row>
    <row r="53" spans="3:54">
      <c r="C53" t="s">
        <v>101</v>
      </c>
      <c r="D53" s="84" t="s">
        <v>93</v>
      </c>
      <c r="E53" s="1">
        <v>8</v>
      </c>
      <c r="F53" s="1">
        <v>3.2</v>
      </c>
      <c r="G53" s="1">
        <v>1.3</v>
      </c>
      <c r="H53" s="1">
        <v>0.5</v>
      </c>
      <c r="I53" s="1">
        <v>0.5</v>
      </c>
      <c r="J53" s="16">
        <v>7</v>
      </c>
      <c r="K53" s="1">
        <v>6.4</v>
      </c>
      <c r="L53" s="1">
        <v>2.5</v>
      </c>
      <c r="M53" s="1">
        <v>1</v>
      </c>
      <c r="N53" s="1">
        <v>0.4</v>
      </c>
      <c r="O53" s="1">
        <v>0.4</v>
      </c>
      <c r="P53" s="16">
        <v>7</v>
      </c>
      <c r="Q53" s="1" t="s">
        <v>35</v>
      </c>
      <c r="R53" s="1" t="s">
        <v>98</v>
      </c>
      <c r="S53" s="16" t="s">
        <v>98</v>
      </c>
      <c r="T53" s="18" t="s">
        <v>35</v>
      </c>
      <c r="U53" s="17" t="s">
        <v>36</v>
      </c>
      <c r="V53" s="16" t="s">
        <v>36</v>
      </c>
      <c r="W53" s="18" t="s">
        <v>36</v>
      </c>
      <c r="X53" s="16" t="s">
        <v>36</v>
      </c>
      <c r="Y53" s="1" t="s">
        <v>35</v>
      </c>
      <c r="Z53" s="1" t="s">
        <v>35</v>
      </c>
      <c r="AA53" s="18" t="s">
        <v>35</v>
      </c>
      <c r="AB53" s="18" t="s">
        <v>35</v>
      </c>
      <c r="AC53" s="16">
        <v>400</v>
      </c>
      <c r="AD53" s="49">
        <v>0.55000000000000004</v>
      </c>
      <c r="AE53" s="49">
        <v>0.4</v>
      </c>
      <c r="AF53" s="1" t="s">
        <v>35</v>
      </c>
      <c r="AG53" s="28">
        <v>10</v>
      </c>
      <c r="AH53" s="29">
        <v>1.8</v>
      </c>
      <c r="AI53" s="30">
        <v>2.6</v>
      </c>
      <c r="AJ53" s="28">
        <v>10</v>
      </c>
      <c r="AK53" s="28">
        <v>10</v>
      </c>
      <c r="AL53" s="29">
        <v>1.8</v>
      </c>
      <c r="AM53" s="30">
        <v>2.6</v>
      </c>
      <c r="AN53" s="55"/>
      <c r="AO53" s="55"/>
      <c r="AP53" s="55"/>
      <c r="AQ53" s="55"/>
      <c r="AR53" s="56"/>
      <c r="AS53" s="55"/>
      <c r="AT53" s="55"/>
      <c r="AU53" s="55"/>
      <c r="AV53" s="55"/>
      <c r="AW53" s="55"/>
    </row>
    <row r="54" spans="3:54">
      <c r="D54" s="84" t="s">
        <v>117</v>
      </c>
      <c r="J54" s="16"/>
      <c r="P54" s="16"/>
      <c r="S54" s="16"/>
      <c r="T54" s="18"/>
      <c r="U54" s="17"/>
      <c r="V54" s="16"/>
      <c r="W54" s="18"/>
      <c r="X54" s="16"/>
      <c r="AA54" s="18"/>
      <c r="AB54" s="18"/>
      <c r="AC54" s="16">
        <v>400</v>
      </c>
      <c r="AD54" s="49">
        <v>0.55000000000000004</v>
      </c>
      <c r="AE54" s="49">
        <v>0.4</v>
      </c>
      <c r="AF54" s="1" t="s">
        <v>35</v>
      </c>
      <c r="AG54" s="28">
        <v>252</v>
      </c>
      <c r="AH54" s="86">
        <v>1.8</v>
      </c>
      <c r="AI54" s="30">
        <v>5</v>
      </c>
      <c r="AJ54" s="28">
        <v>10</v>
      </c>
      <c r="AK54" s="28">
        <v>252</v>
      </c>
      <c r="AL54" s="86">
        <v>1.8</v>
      </c>
      <c r="AM54" s="30">
        <v>5</v>
      </c>
      <c r="AN54" s="55"/>
      <c r="AO54" s="55"/>
      <c r="AP54" s="55"/>
      <c r="AQ54" s="55"/>
      <c r="AR54" s="56"/>
      <c r="AS54" s="55"/>
      <c r="AT54" s="55"/>
      <c r="AU54" s="55"/>
      <c r="AV54" s="55"/>
      <c r="AW54" s="55"/>
    </row>
    <row r="55" spans="3:54">
      <c r="D55" s="84" t="s">
        <v>27</v>
      </c>
      <c r="E55" s="1">
        <v>15</v>
      </c>
      <c r="F55" s="1">
        <v>6</v>
      </c>
      <c r="G55" s="1">
        <v>2.4</v>
      </c>
      <c r="H55" s="1">
        <v>1</v>
      </c>
      <c r="I55" s="1">
        <v>1</v>
      </c>
      <c r="J55" s="16">
        <v>7</v>
      </c>
      <c r="K55" s="1">
        <v>12</v>
      </c>
      <c r="L55" s="1">
        <v>4.8</v>
      </c>
      <c r="M55" s="1">
        <v>1.9</v>
      </c>
      <c r="N55" s="1">
        <v>1</v>
      </c>
      <c r="O55" s="1">
        <v>1</v>
      </c>
      <c r="P55" s="16">
        <v>7</v>
      </c>
      <c r="Q55" s="1" t="s">
        <v>35</v>
      </c>
      <c r="R55" s="1" t="s">
        <v>98</v>
      </c>
      <c r="S55" s="16" t="s">
        <v>98</v>
      </c>
      <c r="T55" s="18" t="s">
        <v>35</v>
      </c>
      <c r="U55" s="17" t="s">
        <v>36</v>
      </c>
      <c r="V55" s="16" t="s">
        <v>36</v>
      </c>
      <c r="W55" s="18" t="s">
        <v>36</v>
      </c>
      <c r="X55" s="16" t="s">
        <v>36</v>
      </c>
      <c r="Y55" s="1" t="s">
        <v>35</v>
      </c>
      <c r="Z55" s="1" t="s">
        <v>35</v>
      </c>
      <c r="AA55" s="18" t="s">
        <v>35</v>
      </c>
      <c r="AB55" s="18" t="s">
        <v>35</v>
      </c>
      <c r="AC55" s="16">
        <v>400</v>
      </c>
      <c r="AD55" s="49">
        <v>0.55000000000000004</v>
      </c>
      <c r="AE55" s="49">
        <v>0.4</v>
      </c>
      <c r="AF55" s="1" t="s">
        <v>35</v>
      </c>
      <c r="AG55" s="28">
        <v>10</v>
      </c>
      <c r="AH55" s="29">
        <v>1.8</v>
      </c>
      <c r="AI55" s="30">
        <v>2.6</v>
      </c>
      <c r="AJ55" s="28">
        <v>10</v>
      </c>
      <c r="AK55" s="28">
        <v>10</v>
      </c>
      <c r="AL55" s="29">
        <v>1.8</v>
      </c>
      <c r="AM55" s="30">
        <v>2.6</v>
      </c>
      <c r="AN55" s="55"/>
      <c r="AO55" s="55"/>
      <c r="AP55" s="55"/>
      <c r="AQ55" s="55"/>
      <c r="AR55" s="56"/>
      <c r="AS55" s="55"/>
      <c r="AT55" s="55"/>
      <c r="AU55" s="55"/>
      <c r="AV55" s="55"/>
      <c r="AW55" s="55"/>
    </row>
    <row r="56" spans="3:54">
      <c r="D56" s="84" t="s">
        <v>46</v>
      </c>
      <c r="E56" s="1">
        <v>4.8</v>
      </c>
      <c r="F56" s="1">
        <v>1.9</v>
      </c>
      <c r="G56" s="1">
        <v>0.8</v>
      </c>
      <c r="H56" s="1">
        <v>0.5</v>
      </c>
      <c r="I56" s="1">
        <v>0.5</v>
      </c>
      <c r="J56" s="16">
        <v>7</v>
      </c>
      <c r="K56" s="1">
        <v>3.8</v>
      </c>
      <c r="L56" s="1">
        <v>1.5</v>
      </c>
      <c r="M56" s="1">
        <v>0.6</v>
      </c>
      <c r="N56" s="1">
        <v>0.4</v>
      </c>
      <c r="O56" s="1">
        <v>0.4</v>
      </c>
      <c r="P56" s="16">
        <v>7</v>
      </c>
      <c r="Q56" s="1" t="s">
        <v>35</v>
      </c>
      <c r="R56" s="1" t="s">
        <v>98</v>
      </c>
      <c r="S56" s="16" t="s">
        <v>98</v>
      </c>
      <c r="T56" s="18" t="s">
        <v>35</v>
      </c>
      <c r="U56" s="17" t="s">
        <v>36</v>
      </c>
      <c r="V56" s="16" t="s">
        <v>36</v>
      </c>
      <c r="W56" s="18" t="s">
        <v>36</v>
      </c>
      <c r="X56" s="16" t="s">
        <v>36</v>
      </c>
      <c r="Y56" s="1" t="s">
        <v>35</v>
      </c>
      <c r="Z56" s="1" t="s">
        <v>35</v>
      </c>
      <c r="AA56" s="18" t="s">
        <v>35</v>
      </c>
      <c r="AB56" s="18" t="s">
        <v>35</v>
      </c>
      <c r="AC56" s="16">
        <v>400</v>
      </c>
      <c r="AD56" s="49">
        <v>0.55000000000000004</v>
      </c>
      <c r="AE56" s="49">
        <v>0.4</v>
      </c>
      <c r="AF56" s="1" t="s">
        <v>35</v>
      </c>
      <c r="AG56" s="28">
        <v>10</v>
      </c>
      <c r="AH56" s="29">
        <v>1.8</v>
      </c>
      <c r="AI56" s="30">
        <v>2.6</v>
      </c>
      <c r="AJ56" s="28">
        <v>10</v>
      </c>
      <c r="AK56" s="28">
        <v>10</v>
      </c>
      <c r="AL56" s="29">
        <v>1.8</v>
      </c>
      <c r="AM56" s="30">
        <v>2.6</v>
      </c>
      <c r="AN56" s="55"/>
      <c r="AO56" s="55"/>
      <c r="AP56" s="55"/>
      <c r="AQ56" s="55"/>
      <c r="AR56" s="56"/>
      <c r="AS56" s="55"/>
      <c r="AT56" s="55"/>
      <c r="AU56" s="55"/>
      <c r="AV56" s="55"/>
      <c r="AW56" s="55"/>
    </row>
    <row r="57" spans="3:54" s="62" customFormat="1">
      <c r="D57" s="85"/>
      <c r="E57" s="63"/>
      <c r="F57" s="63"/>
      <c r="G57" s="63"/>
      <c r="H57" s="63"/>
      <c r="I57" s="63"/>
      <c r="J57" s="64"/>
      <c r="K57" s="63"/>
      <c r="L57" s="63"/>
      <c r="M57" s="63"/>
      <c r="N57" s="63"/>
      <c r="O57" s="63"/>
      <c r="P57" s="64"/>
      <c r="Q57" s="63"/>
      <c r="R57" s="63"/>
      <c r="S57" s="64"/>
      <c r="T57" s="65"/>
      <c r="U57" s="66"/>
      <c r="V57" s="64"/>
      <c r="W57" s="65"/>
      <c r="X57" s="64"/>
      <c r="Y57" s="63"/>
      <c r="Z57" s="64"/>
      <c r="AA57" s="75"/>
      <c r="AB57" s="75"/>
      <c r="AC57" s="64"/>
      <c r="AD57" s="67"/>
      <c r="AE57" s="67"/>
      <c r="AF57" s="63"/>
      <c r="AG57" s="68"/>
      <c r="AH57" s="69"/>
      <c r="AI57" s="70"/>
      <c r="AJ57" s="76"/>
      <c r="AK57" s="68"/>
      <c r="AL57" s="69"/>
      <c r="AM57" s="70"/>
      <c r="AN57" s="76"/>
      <c r="AO57" s="76"/>
      <c r="AP57" s="76"/>
      <c r="AQ57" s="76"/>
      <c r="AR57" s="83"/>
      <c r="AS57" s="76"/>
      <c r="AT57" s="76"/>
      <c r="AU57" s="76"/>
      <c r="AV57" s="76"/>
      <c r="AW57" s="76"/>
      <c r="AX57" s="71"/>
      <c r="AY57" s="71"/>
      <c r="AZ57" s="71"/>
      <c r="BA57" s="71"/>
      <c r="BB57" s="71"/>
    </row>
    <row r="58" spans="3:54">
      <c r="C58" t="s">
        <v>102</v>
      </c>
      <c r="D58" s="84" t="s">
        <v>94</v>
      </c>
      <c r="E58" s="1">
        <v>4.8</v>
      </c>
      <c r="F58" s="1">
        <v>1.9</v>
      </c>
      <c r="G58" s="1">
        <v>0.8</v>
      </c>
      <c r="H58" s="1">
        <v>0.5</v>
      </c>
      <c r="I58" s="1">
        <v>0.5</v>
      </c>
      <c r="J58" s="16">
        <v>7</v>
      </c>
      <c r="K58" s="1">
        <v>3.8</v>
      </c>
      <c r="L58" s="1">
        <v>1.5</v>
      </c>
      <c r="M58" s="1">
        <v>0.6</v>
      </c>
      <c r="N58" s="1">
        <v>0.4</v>
      </c>
      <c r="O58" s="1">
        <v>0.4</v>
      </c>
      <c r="P58" s="16">
        <v>7</v>
      </c>
      <c r="Q58" s="1" t="s">
        <v>35</v>
      </c>
      <c r="R58" s="1" t="s">
        <v>98</v>
      </c>
      <c r="S58" s="16" t="s">
        <v>98</v>
      </c>
      <c r="T58" s="18" t="s">
        <v>35</v>
      </c>
      <c r="U58" s="17" t="s">
        <v>36</v>
      </c>
      <c r="V58" s="16" t="s">
        <v>36</v>
      </c>
      <c r="W58" s="18" t="s">
        <v>36</v>
      </c>
      <c r="X58" s="16" t="s">
        <v>36</v>
      </c>
      <c r="Y58" s="1" t="s">
        <v>35</v>
      </c>
      <c r="Z58" s="1" t="s">
        <v>35</v>
      </c>
      <c r="AA58" s="18" t="s">
        <v>35</v>
      </c>
      <c r="AB58" s="18" t="s">
        <v>35</v>
      </c>
      <c r="AC58" s="16">
        <v>400</v>
      </c>
      <c r="AD58" s="49">
        <v>0.55000000000000004</v>
      </c>
      <c r="AE58" s="49">
        <v>0.4</v>
      </c>
      <c r="AF58" s="1" t="s">
        <v>35</v>
      </c>
      <c r="AG58" s="28">
        <v>10</v>
      </c>
      <c r="AH58" s="29">
        <v>1.8</v>
      </c>
      <c r="AI58" s="30">
        <v>2.6</v>
      </c>
      <c r="AJ58" s="55">
        <v>10</v>
      </c>
      <c r="AK58" s="28">
        <v>10</v>
      </c>
      <c r="AL58" s="29">
        <v>1.8</v>
      </c>
      <c r="AM58" s="30">
        <v>2.6</v>
      </c>
      <c r="AN58" s="55"/>
      <c r="AO58" s="55"/>
      <c r="AP58" s="55"/>
      <c r="AQ58" s="55"/>
      <c r="AR58" s="56"/>
      <c r="AS58" s="55"/>
      <c r="AT58" s="55"/>
      <c r="AU58" s="55"/>
      <c r="AV58" s="55"/>
      <c r="AW58" s="55"/>
    </row>
    <row r="59" spans="3:54">
      <c r="D59" s="84" t="s">
        <v>27</v>
      </c>
      <c r="E59" s="1">
        <v>15</v>
      </c>
      <c r="F59" s="1">
        <v>6</v>
      </c>
      <c r="G59" s="1">
        <v>2.4</v>
      </c>
      <c r="H59" s="1">
        <v>1</v>
      </c>
      <c r="I59" s="1">
        <v>1</v>
      </c>
      <c r="J59" s="16">
        <v>7</v>
      </c>
      <c r="K59" s="1">
        <v>12</v>
      </c>
      <c r="L59" s="1">
        <v>4.8</v>
      </c>
      <c r="M59" s="1">
        <v>1.9</v>
      </c>
      <c r="N59" s="1">
        <v>1</v>
      </c>
      <c r="O59" s="1">
        <v>1</v>
      </c>
      <c r="P59" s="16">
        <v>7</v>
      </c>
      <c r="Q59" s="1" t="s">
        <v>35</v>
      </c>
      <c r="R59" s="1" t="s">
        <v>98</v>
      </c>
      <c r="S59" s="16" t="s">
        <v>98</v>
      </c>
      <c r="T59" s="18" t="s">
        <v>35</v>
      </c>
      <c r="U59" s="17" t="s">
        <v>36</v>
      </c>
      <c r="V59" s="16" t="s">
        <v>36</v>
      </c>
      <c r="W59" s="18" t="s">
        <v>36</v>
      </c>
      <c r="X59" s="16" t="s">
        <v>36</v>
      </c>
      <c r="Y59" s="1" t="s">
        <v>35</v>
      </c>
      <c r="Z59" s="1" t="s">
        <v>35</v>
      </c>
      <c r="AA59" s="18" t="s">
        <v>35</v>
      </c>
      <c r="AB59" s="18" t="s">
        <v>35</v>
      </c>
      <c r="AC59" s="16">
        <v>400</v>
      </c>
      <c r="AD59" s="49">
        <v>0.55000000000000004</v>
      </c>
      <c r="AE59" s="49">
        <v>0.4</v>
      </c>
      <c r="AF59" s="1" t="s">
        <v>35</v>
      </c>
      <c r="AG59" s="28">
        <v>10</v>
      </c>
      <c r="AH59" s="29">
        <v>1.8</v>
      </c>
      <c r="AI59" s="30">
        <v>2.6</v>
      </c>
      <c r="AJ59" s="55">
        <v>10</v>
      </c>
      <c r="AK59" s="28">
        <v>10</v>
      </c>
      <c r="AL59" s="29">
        <v>1.8</v>
      </c>
      <c r="AM59" s="30">
        <v>2.6</v>
      </c>
      <c r="AN59" s="55"/>
      <c r="AO59" s="55"/>
      <c r="AP59" s="55"/>
      <c r="AQ59" s="55"/>
      <c r="AR59" s="56"/>
      <c r="AS59" s="55"/>
      <c r="AT59" s="55"/>
      <c r="AU59" s="55"/>
      <c r="AV59" s="55"/>
      <c r="AW59" s="55"/>
    </row>
    <row r="60" spans="3:54">
      <c r="D60" s="84" t="s">
        <v>118</v>
      </c>
      <c r="J60" s="16"/>
      <c r="P60" s="16"/>
      <c r="S60" s="16"/>
      <c r="T60" s="18"/>
      <c r="U60" s="17"/>
      <c r="V60" s="16"/>
      <c r="W60" s="18"/>
      <c r="X60" s="16"/>
      <c r="AA60" s="18"/>
      <c r="AB60" s="18"/>
      <c r="AC60" s="16">
        <v>400</v>
      </c>
      <c r="AD60" s="49">
        <v>0.55000000000000004</v>
      </c>
      <c r="AE60" s="49">
        <v>0.4</v>
      </c>
      <c r="AF60" s="1" t="s">
        <v>35</v>
      </c>
      <c r="AG60" s="28">
        <v>15</v>
      </c>
      <c r="AH60" s="29">
        <v>1.8</v>
      </c>
      <c r="AI60" s="30">
        <v>2.6</v>
      </c>
      <c r="AJ60" s="55">
        <v>15</v>
      </c>
      <c r="AK60" s="28">
        <v>15</v>
      </c>
      <c r="AL60" s="29">
        <v>1.8</v>
      </c>
      <c r="AM60" s="30">
        <v>2.6</v>
      </c>
      <c r="AN60" s="55"/>
      <c r="AO60" s="55"/>
      <c r="AP60" s="55"/>
      <c r="AQ60" s="55"/>
      <c r="AR60" s="56"/>
      <c r="AS60" s="55"/>
      <c r="AT60" s="55"/>
      <c r="AU60" s="55"/>
      <c r="AV60" s="55"/>
      <c r="AW60" s="55"/>
    </row>
    <row r="61" spans="3:54">
      <c r="D61" s="84" t="s">
        <v>46</v>
      </c>
      <c r="E61" s="1">
        <v>8</v>
      </c>
      <c r="F61" s="1">
        <v>3.2</v>
      </c>
      <c r="G61" s="1">
        <v>1.3</v>
      </c>
      <c r="H61" s="1">
        <v>0.5</v>
      </c>
      <c r="I61" s="1">
        <v>0.5</v>
      </c>
      <c r="J61" s="16">
        <v>7</v>
      </c>
      <c r="K61" s="1">
        <v>6.4</v>
      </c>
      <c r="L61" s="1">
        <v>2.5</v>
      </c>
      <c r="M61" s="1">
        <v>1</v>
      </c>
      <c r="N61" s="1">
        <v>0.4</v>
      </c>
      <c r="O61" s="1">
        <v>0.4</v>
      </c>
      <c r="P61" s="16">
        <v>7</v>
      </c>
      <c r="Q61" s="1" t="s">
        <v>35</v>
      </c>
      <c r="R61" s="1" t="s">
        <v>98</v>
      </c>
      <c r="S61" s="16" t="s">
        <v>98</v>
      </c>
      <c r="T61" s="18" t="s">
        <v>35</v>
      </c>
      <c r="U61" s="17" t="s">
        <v>36</v>
      </c>
      <c r="V61" s="16" t="s">
        <v>36</v>
      </c>
      <c r="W61" s="18" t="s">
        <v>36</v>
      </c>
      <c r="X61" s="16" t="s">
        <v>36</v>
      </c>
      <c r="Y61" s="1" t="s">
        <v>35</v>
      </c>
      <c r="Z61" s="1" t="s">
        <v>35</v>
      </c>
      <c r="AA61" s="18" t="s">
        <v>35</v>
      </c>
      <c r="AB61" s="18" t="s">
        <v>35</v>
      </c>
      <c r="AC61" s="16">
        <v>400</v>
      </c>
      <c r="AD61" s="49">
        <v>0.55000000000000004</v>
      </c>
      <c r="AE61" s="49">
        <v>0.4</v>
      </c>
      <c r="AF61" s="1" t="s">
        <v>35</v>
      </c>
      <c r="AG61" s="28">
        <v>10</v>
      </c>
      <c r="AH61" s="29">
        <v>1.8</v>
      </c>
      <c r="AI61" s="30">
        <v>2.6</v>
      </c>
      <c r="AJ61" s="55">
        <v>10</v>
      </c>
      <c r="AK61" s="28">
        <v>10</v>
      </c>
      <c r="AL61" s="29">
        <v>1.8</v>
      </c>
      <c r="AM61" s="30">
        <v>2.6</v>
      </c>
      <c r="AN61" s="55"/>
      <c r="AO61" s="55"/>
      <c r="AP61" s="55"/>
      <c r="AQ61" s="55"/>
      <c r="AR61" s="56"/>
      <c r="AS61" s="55"/>
      <c r="AT61" s="55"/>
      <c r="AU61" s="55"/>
      <c r="AV61" s="55"/>
      <c r="AW61" s="55"/>
    </row>
    <row r="62" spans="3:54" s="62" customFormat="1">
      <c r="D62" s="85"/>
      <c r="E62" s="63"/>
      <c r="F62" s="63"/>
      <c r="G62" s="63"/>
      <c r="H62" s="63"/>
      <c r="I62" s="63"/>
      <c r="J62" s="64"/>
      <c r="K62" s="63"/>
      <c r="L62" s="63"/>
      <c r="M62" s="63"/>
      <c r="N62" s="63"/>
      <c r="O62" s="63"/>
      <c r="P62" s="64"/>
      <c r="Q62" s="63"/>
      <c r="R62" s="63"/>
      <c r="S62" s="64"/>
      <c r="T62" s="65"/>
      <c r="U62" s="66"/>
      <c r="V62" s="64"/>
      <c r="W62" s="65"/>
      <c r="X62" s="64"/>
      <c r="Y62" s="63"/>
      <c r="Z62" s="64"/>
      <c r="AA62" s="75"/>
      <c r="AB62" s="75"/>
      <c r="AC62" s="64"/>
      <c r="AD62" s="67"/>
      <c r="AE62" s="67"/>
      <c r="AF62" s="63"/>
      <c r="AG62" s="68"/>
      <c r="AH62" s="69"/>
      <c r="AI62" s="70"/>
      <c r="AJ62" s="76"/>
      <c r="AK62" s="68"/>
      <c r="AL62" s="69"/>
      <c r="AM62" s="70"/>
      <c r="AN62" s="76"/>
      <c r="AO62" s="76"/>
      <c r="AP62" s="76"/>
      <c r="AQ62" s="76"/>
      <c r="AR62" s="83"/>
      <c r="AS62" s="76"/>
      <c r="AT62" s="76"/>
      <c r="AU62" s="76"/>
      <c r="AV62" s="76"/>
      <c r="AW62" s="76"/>
      <c r="AX62" s="71"/>
      <c r="AY62" s="71"/>
      <c r="AZ62" s="71"/>
      <c r="BA62" s="71"/>
      <c r="BB62" s="71"/>
    </row>
    <row r="63" spans="3:54">
      <c r="C63" t="s">
        <v>103</v>
      </c>
      <c r="D63" s="84" t="s">
        <v>95</v>
      </c>
      <c r="E63" s="1">
        <v>3</v>
      </c>
      <c r="F63" s="1">
        <v>3</v>
      </c>
      <c r="G63" s="1">
        <v>3</v>
      </c>
      <c r="H63" s="1">
        <v>3</v>
      </c>
      <c r="I63" s="1">
        <v>3</v>
      </c>
      <c r="J63" s="16"/>
      <c r="K63" s="1">
        <v>3</v>
      </c>
      <c r="L63" s="1">
        <v>3</v>
      </c>
      <c r="M63" s="1">
        <v>3</v>
      </c>
      <c r="N63" s="1">
        <v>3</v>
      </c>
      <c r="O63" s="1">
        <v>3</v>
      </c>
      <c r="P63" s="16"/>
      <c r="Q63" s="1" t="s">
        <v>35</v>
      </c>
      <c r="R63" s="1" t="s">
        <v>98</v>
      </c>
      <c r="S63" s="16" t="s">
        <v>98</v>
      </c>
      <c r="T63" s="18" t="s">
        <v>35</v>
      </c>
      <c r="U63" s="17" t="s">
        <v>36</v>
      </c>
      <c r="V63" s="16" t="s">
        <v>36</v>
      </c>
      <c r="W63" s="18" t="s">
        <v>36</v>
      </c>
      <c r="X63" s="16"/>
      <c r="Y63" s="1" t="s">
        <v>35</v>
      </c>
      <c r="Z63" s="1" t="s">
        <v>35</v>
      </c>
      <c r="AA63" s="18" t="s">
        <v>35</v>
      </c>
      <c r="AB63" s="18" t="s">
        <v>35</v>
      </c>
      <c r="AC63" s="1" t="s">
        <v>35</v>
      </c>
      <c r="AD63" s="49">
        <v>0.55000000000000004</v>
      </c>
      <c r="AE63" s="49" t="s">
        <v>35</v>
      </c>
      <c r="AF63" s="1" t="s">
        <v>35</v>
      </c>
      <c r="AG63" s="28" t="s">
        <v>35</v>
      </c>
      <c r="AH63" s="29" t="s">
        <v>35</v>
      </c>
      <c r="AI63" s="30" t="s">
        <v>35</v>
      </c>
      <c r="AJ63" s="1" t="s">
        <v>35</v>
      </c>
      <c r="AK63" s="28" t="s">
        <v>35</v>
      </c>
      <c r="AL63" s="29" t="s">
        <v>35</v>
      </c>
      <c r="AM63" s="30" t="s">
        <v>35</v>
      </c>
      <c r="AR63" s="21"/>
    </row>
    <row r="64" spans="3:54">
      <c r="D64" s="84" t="s">
        <v>96</v>
      </c>
      <c r="H64" s="1" t="s">
        <v>98</v>
      </c>
      <c r="I64" s="1" t="s">
        <v>98</v>
      </c>
      <c r="J64" s="16">
        <v>100</v>
      </c>
      <c r="K64" s="1" t="s">
        <v>98</v>
      </c>
      <c r="L64" s="1" t="s">
        <v>98</v>
      </c>
      <c r="M64" s="1" t="s">
        <v>98</v>
      </c>
      <c r="N64" s="1" t="s">
        <v>98</v>
      </c>
      <c r="O64" s="1" t="s">
        <v>98</v>
      </c>
      <c r="P64" s="16">
        <v>100</v>
      </c>
      <c r="Q64" s="1" t="s">
        <v>35</v>
      </c>
      <c r="R64" s="1" t="s">
        <v>98</v>
      </c>
      <c r="S64" s="16" t="s">
        <v>98</v>
      </c>
      <c r="T64" s="18" t="s">
        <v>35</v>
      </c>
      <c r="U64" s="17" t="s">
        <v>36</v>
      </c>
      <c r="V64" s="16" t="s">
        <v>36</v>
      </c>
      <c r="W64" s="18" t="s">
        <v>36</v>
      </c>
      <c r="X64" s="16"/>
      <c r="Y64" s="1" t="s">
        <v>35</v>
      </c>
      <c r="Z64" s="1" t="s">
        <v>35</v>
      </c>
      <c r="AA64" s="18" t="s">
        <v>35</v>
      </c>
      <c r="AB64" s="18" t="s">
        <v>35</v>
      </c>
      <c r="AC64" s="1" t="s">
        <v>35</v>
      </c>
      <c r="AD64" s="49">
        <v>0.55000000000000004</v>
      </c>
      <c r="AE64" s="49" t="s">
        <v>35</v>
      </c>
      <c r="AF64" s="1" t="s">
        <v>35</v>
      </c>
      <c r="AG64" s="28" t="s">
        <v>35</v>
      </c>
      <c r="AH64" s="29" t="s">
        <v>35</v>
      </c>
      <c r="AI64" s="30" t="s">
        <v>35</v>
      </c>
      <c r="AJ64" s="1" t="s">
        <v>35</v>
      </c>
      <c r="AK64" s="28" t="s">
        <v>35</v>
      </c>
      <c r="AL64" s="29" t="s">
        <v>35</v>
      </c>
      <c r="AM64" s="30" t="s">
        <v>35</v>
      </c>
      <c r="AR64" s="21"/>
    </row>
    <row r="65" spans="1:63">
      <c r="D65" s="84" t="s">
        <v>129</v>
      </c>
      <c r="J65" s="16"/>
      <c r="P65" s="16"/>
      <c r="S65" s="16"/>
      <c r="T65" s="18"/>
      <c r="U65" s="17"/>
      <c r="V65" s="16"/>
      <c r="W65" s="18"/>
      <c r="X65" s="16"/>
      <c r="AA65" s="18"/>
      <c r="AB65" s="18"/>
      <c r="AC65" s="1" t="s">
        <v>35</v>
      </c>
      <c r="AD65" s="49">
        <v>0.55000000000000004</v>
      </c>
      <c r="AE65" s="49" t="s">
        <v>35</v>
      </c>
      <c r="AF65" s="1" t="s">
        <v>35</v>
      </c>
      <c r="AG65" s="28">
        <v>5</v>
      </c>
      <c r="AH65" s="29">
        <v>1.8</v>
      </c>
      <c r="AI65" s="30">
        <v>2.6</v>
      </c>
      <c r="AJ65" s="55">
        <v>5</v>
      </c>
      <c r="AK65" s="28">
        <v>5</v>
      </c>
      <c r="AL65" s="29">
        <v>1.8</v>
      </c>
      <c r="AM65" s="30">
        <v>2.6</v>
      </c>
      <c r="AR65" s="21"/>
    </row>
    <row r="66" spans="1:63">
      <c r="D66" s="84" t="s">
        <v>119</v>
      </c>
      <c r="J66" s="16"/>
      <c r="P66" s="16"/>
      <c r="S66" s="16"/>
      <c r="T66" s="18"/>
      <c r="U66" s="17"/>
      <c r="V66" s="16"/>
      <c r="W66" s="18"/>
      <c r="X66" s="16"/>
      <c r="AA66" s="18"/>
      <c r="AB66" s="18"/>
      <c r="AC66" s="1" t="s">
        <v>35</v>
      </c>
      <c r="AD66" s="49" t="s">
        <v>35</v>
      </c>
      <c r="AE66" s="49" t="s">
        <v>35</v>
      </c>
      <c r="AF66" s="1" t="s">
        <v>35</v>
      </c>
      <c r="AG66" s="28" t="s">
        <v>35</v>
      </c>
      <c r="AH66" s="29" t="s">
        <v>35</v>
      </c>
      <c r="AI66" s="30" t="s">
        <v>35</v>
      </c>
      <c r="AJ66" s="1" t="s">
        <v>35</v>
      </c>
      <c r="AK66" s="28" t="s">
        <v>35</v>
      </c>
      <c r="AL66" s="29" t="s">
        <v>35</v>
      </c>
      <c r="AM66" s="30" t="s">
        <v>35</v>
      </c>
      <c r="AR66" s="21"/>
    </row>
    <row r="67" spans="1:63">
      <c r="D67" s="84" t="s">
        <v>97</v>
      </c>
      <c r="H67" s="1" t="s">
        <v>98</v>
      </c>
      <c r="I67" s="1" t="s">
        <v>98</v>
      </c>
      <c r="J67" s="16" t="s">
        <v>98</v>
      </c>
      <c r="K67" s="1" t="s">
        <v>98</v>
      </c>
      <c r="L67" s="1" t="s">
        <v>98</v>
      </c>
      <c r="M67" s="1" t="s">
        <v>98</v>
      </c>
      <c r="N67" s="1" t="s">
        <v>98</v>
      </c>
      <c r="O67" s="1" t="s">
        <v>98</v>
      </c>
      <c r="P67" s="16" t="s">
        <v>98</v>
      </c>
      <c r="Q67" s="1" t="s">
        <v>35</v>
      </c>
      <c r="R67" s="1" t="s">
        <v>98</v>
      </c>
      <c r="S67" s="16" t="s">
        <v>98</v>
      </c>
      <c r="T67" s="18" t="s">
        <v>35</v>
      </c>
      <c r="U67" s="17" t="s">
        <v>36</v>
      </c>
      <c r="V67" s="16" t="s">
        <v>36</v>
      </c>
      <c r="W67" s="18" t="s">
        <v>36</v>
      </c>
      <c r="X67" s="16"/>
      <c r="Y67" s="1" t="s">
        <v>35</v>
      </c>
      <c r="Z67" s="1" t="s">
        <v>35</v>
      </c>
      <c r="AA67" s="18" t="s">
        <v>35</v>
      </c>
      <c r="AB67" s="18" t="s">
        <v>35</v>
      </c>
      <c r="AC67" s="1" t="s">
        <v>35</v>
      </c>
      <c r="AD67" s="49">
        <v>0.55000000000000004</v>
      </c>
      <c r="AE67" s="49" t="s">
        <v>35</v>
      </c>
      <c r="AF67" s="1" t="s">
        <v>35</v>
      </c>
      <c r="AG67" s="28" t="s">
        <v>35</v>
      </c>
      <c r="AH67" s="29" t="s">
        <v>35</v>
      </c>
      <c r="AI67" s="30" t="s">
        <v>35</v>
      </c>
      <c r="AJ67" s="1" t="s">
        <v>35</v>
      </c>
      <c r="AK67" s="28" t="s">
        <v>35</v>
      </c>
      <c r="AL67" s="29" t="s">
        <v>35</v>
      </c>
      <c r="AM67" s="30" t="s">
        <v>35</v>
      </c>
      <c r="AR67" s="21"/>
    </row>
    <row r="68" spans="1:63">
      <c r="D68" s="84"/>
      <c r="J68" s="16"/>
      <c r="P68" s="16"/>
      <c r="AJ68" s="55"/>
      <c r="AR68" s="21"/>
    </row>
    <row r="69" spans="1:63">
      <c r="J69" s="16"/>
      <c r="P69" s="16"/>
      <c r="AJ69" s="55"/>
    </row>
    <row r="70" spans="1:63">
      <c r="J70" s="16"/>
      <c r="P70" s="16"/>
      <c r="AJ70" s="55"/>
    </row>
    <row r="71" spans="1:63">
      <c r="J71" s="16"/>
      <c r="P71" s="16"/>
      <c r="AJ71" s="55"/>
    </row>
    <row r="72" spans="1:63">
      <c r="AJ72" s="55"/>
    </row>
    <row r="73" spans="1:63">
      <c r="AJ73" s="55"/>
    </row>
    <row r="74" spans="1:63">
      <c r="AJ74" s="55"/>
    </row>
    <row r="75" spans="1:63">
      <c r="AJ75" s="55"/>
    </row>
    <row r="76" spans="1:63">
      <c r="A76" s="87"/>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row>
    <row r="77" spans="1:63" ht="15.6">
      <c r="A77" s="102" t="s">
        <v>136</v>
      </c>
      <c r="B77" s="103"/>
      <c r="C77" s="103"/>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row>
    <row r="78" spans="1:63">
      <c r="A78" s="925" t="s">
        <v>137</v>
      </c>
      <c r="B78" s="926"/>
      <c r="C78" s="104" t="s">
        <v>138</v>
      </c>
      <c r="D78" s="105"/>
      <c r="E78" s="105"/>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c r="AQ78" s="105"/>
      <c r="AR78" s="105"/>
      <c r="AS78" s="105"/>
      <c r="AT78" s="105"/>
      <c r="AU78" s="105"/>
      <c r="AV78" s="105"/>
      <c r="AW78" s="105"/>
      <c r="AX78" s="105"/>
      <c r="AY78" s="105"/>
      <c r="AZ78" s="105"/>
      <c r="BA78" s="105"/>
      <c r="BB78" s="105"/>
      <c r="BC78" s="105"/>
      <c r="BD78" s="105"/>
      <c r="BE78" s="105"/>
      <c r="BF78" s="105"/>
      <c r="BG78" s="105"/>
      <c r="BH78" s="105"/>
      <c r="BI78" s="105"/>
      <c r="BJ78" s="105"/>
      <c r="BK78" s="106"/>
    </row>
    <row r="79" spans="1:63">
      <c r="A79" s="927"/>
      <c r="B79" s="928"/>
      <c r="C79" s="107"/>
      <c r="D79" s="108"/>
      <c r="E79" s="108"/>
      <c r="F79" s="108"/>
      <c r="G79" s="108"/>
      <c r="H79" s="108"/>
      <c r="I79" s="108"/>
      <c r="J79" s="108"/>
      <c r="K79" s="108"/>
      <c r="L79" s="108"/>
      <c r="M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9"/>
    </row>
    <row r="80" spans="1:63">
      <c r="A80" s="110" t="s">
        <v>139</v>
      </c>
      <c r="B80" s="111"/>
      <c r="C80" s="112"/>
      <c r="D80" s="113"/>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4"/>
    </row>
    <row r="81" spans="1:63">
      <c r="A81" s="115"/>
      <c r="B81" s="115">
        <v>19</v>
      </c>
      <c r="C81" s="116">
        <v>20</v>
      </c>
      <c r="D81" s="116">
        <v>21</v>
      </c>
      <c r="E81" s="116">
        <v>22</v>
      </c>
      <c r="F81" s="116">
        <v>23</v>
      </c>
      <c r="G81" s="116">
        <v>24</v>
      </c>
      <c r="H81" s="116">
        <v>25</v>
      </c>
      <c r="I81" s="116">
        <v>26</v>
      </c>
      <c r="J81" s="116">
        <v>27</v>
      </c>
      <c r="K81" s="116">
        <v>28</v>
      </c>
      <c r="L81" s="116">
        <v>29</v>
      </c>
      <c r="M81" s="116">
        <v>30</v>
      </c>
      <c r="N81" s="116">
        <v>31</v>
      </c>
      <c r="O81" s="116">
        <v>32</v>
      </c>
      <c r="P81" s="14">
        <v>33</v>
      </c>
      <c r="Q81" s="14">
        <v>34</v>
      </c>
      <c r="R81" s="14">
        <v>35</v>
      </c>
      <c r="S81" s="14">
        <v>36</v>
      </c>
      <c r="T81" s="14">
        <v>37</v>
      </c>
      <c r="U81" s="14">
        <v>38</v>
      </c>
      <c r="V81" s="14">
        <v>39</v>
      </c>
      <c r="W81" s="14">
        <v>40</v>
      </c>
      <c r="X81" s="14">
        <v>41</v>
      </c>
      <c r="Y81" s="14">
        <v>42</v>
      </c>
      <c r="Z81" s="14">
        <v>43</v>
      </c>
      <c r="AA81" s="14">
        <v>44</v>
      </c>
      <c r="AB81" s="14">
        <v>45</v>
      </c>
      <c r="AC81" s="14">
        <v>46</v>
      </c>
      <c r="AD81" s="14">
        <v>47</v>
      </c>
      <c r="AE81" s="14">
        <v>48</v>
      </c>
      <c r="AF81" s="14">
        <v>49</v>
      </c>
      <c r="AG81" s="14">
        <v>50</v>
      </c>
      <c r="AH81" s="14">
        <v>51</v>
      </c>
      <c r="AI81" s="14">
        <v>52</v>
      </c>
      <c r="AJ81" s="14">
        <v>53</v>
      </c>
      <c r="AK81" s="14">
        <v>54</v>
      </c>
      <c r="AL81" s="14">
        <v>55</v>
      </c>
      <c r="AM81" s="14">
        <v>56</v>
      </c>
      <c r="AN81" s="14">
        <v>57</v>
      </c>
      <c r="AO81" s="14">
        <v>58</v>
      </c>
      <c r="AP81" s="14">
        <v>59</v>
      </c>
      <c r="AQ81" s="14">
        <v>60</v>
      </c>
      <c r="AR81" s="14">
        <v>61</v>
      </c>
      <c r="AS81" s="14">
        <v>62</v>
      </c>
      <c r="AT81" s="14">
        <v>63</v>
      </c>
      <c r="AU81" s="117">
        <v>64</v>
      </c>
      <c r="AV81" s="117">
        <v>65</v>
      </c>
      <c r="AW81" s="117">
        <v>66</v>
      </c>
      <c r="AX81" s="117">
        <v>67</v>
      </c>
      <c r="AY81" s="117">
        <v>68</v>
      </c>
      <c r="AZ81" s="117">
        <v>69</v>
      </c>
      <c r="BA81" s="117">
        <v>70</v>
      </c>
      <c r="BB81" s="117">
        <v>71</v>
      </c>
      <c r="BC81" s="117">
        <v>72</v>
      </c>
      <c r="BD81" s="117">
        <v>73</v>
      </c>
      <c r="BE81" s="117">
        <v>74</v>
      </c>
      <c r="BF81" s="117">
        <v>75</v>
      </c>
      <c r="BG81" s="117">
        <v>76</v>
      </c>
      <c r="BH81" s="117">
        <v>77</v>
      </c>
      <c r="BI81" s="117">
        <v>78</v>
      </c>
      <c r="BJ81" s="117">
        <v>79</v>
      </c>
      <c r="BK81" s="117">
        <v>80</v>
      </c>
    </row>
    <row r="82" spans="1:63">
      <c r="A82" s="118">
        <v>0</v>
      </c>
      <c r="B82" s="119">
        <v>0.8</v>
      </c>
      <c r="C82" s="120">
        <v>0.8</v>
      </c>
      <c r="D82" s="120">
        <v>0.79</v>
      </c>
      <c r="E82" s="120">
        <v>0.79</v>
      </c>
      <c r="F82" s="120">
        <v>0.78</v>
      </c>
      <c r="G82" s="120">
        <v>0.77</v>
      </c>
      <c r="H82" s="120">
        <v>0.77</v>
      </c>
      <c r="I82" s="120">
        <v>0.76</v>
      </c>
      <c r="J82" s="120">
        <v>0.75</v>
      </c>
      <c r="K82" s="120">
        <v>0.75</v>
      </c>
      <c r="L82" s="120">
        <v>0.74</v>
      </c>
      <c r="M82" s="120">
        <v>0.73</v>
      </c>
      <c r="N82" s="120">
        <v>0.73</v>
      </c>
      <c r="O82" s="120">
        <v>0.72</v>
      </c>
      <c r="P82" s="120">
        <v>0.71</v>
      </c>
      <c r="Q82" s="120">
        <v>0.71</v>
      </c>
      <c r="R82" s="120">
        <v>0.7</v>
      </c>
      <c r="S82" s="120">
        <v>0.69</v>
      </c>
      <c r="T82" s="120">
        <v>0.69</v>
      </c>
      <c r="U82" s="120">
        <v>0.68</v>
      </c>
      <c r="V82" s="120">
        <v>0.67</v>
      </c>
      <c r="W82" s="120">
        <v>0.67</v>
      </c>
      <c r="X82" s="120">
        <v>0.66</v>
      </c>
      <c r="Y82" s="120">
        <v>0.65</v>
      </c>
      <c r="Z82" s="120">
        <v>0.65</v>
      </c>
      <c r="AA82" s="120">
        <v>0.64</v>
      </c>
      <c r="AB82" s="120">
        <v>0.63</v>
      </c>
      <c r="AC82" s="120">
        <v>0.63</v>
      </c>
      <c r="AD82" s="120">
        <v>0.62</v>
      </c>
      <c r="AE82" s="120">
        <v>0.61</v>
      </c>
      <c r="AF82" s="120">
        <v>0.61</v>
      </c>
      <c r="AG82" s="120">
        <v>0.6</v>
      </c>
      <c r="AH82" s="120">
        <v>0.59</v>
      </c>
      <c r="AI82" s="120">
        <v>0.59</v>
      </c>
      <c r="AJ82" s="120">
        <v>0.57999999999999996</v>
      </c>
      <c r="AK82" s="120">
        <v>0.56999999999999995</v>
      </c>
      <c r="AL82" s="120">
        <v>0.56999999999999995</v>
      </c>
      <c r="AM82" s="120">
        <v>0.56000000000000005</v>
      </c>
      <c r="AN82" s="120">
        <v>0.55000000000000004</v>
      </c>
      <c r="AO82" s="120">
        <v>0.55000000000000004</v>
      </c>
      <c r="AP82" s="120">
        <v>0.54</v>
      </c>
      <c r="AQ82" s="120">
        <v>0.53</v>
      </c>
      <c r="AR82" s="120">
        <v>0.53</v>
      </c>
      <c r="AS82" s="120">
        <v>0.52</v>
      </c>
      <c r="AT82" s="120">
        <v>0.51</v>
      </c>
      <c r="AU82" s="120">
        <v>0.51</v>
      </c>
      <c r="AV82" s="120">
        <v>0.5</v>
      </c>
      <c r="AW82" s="120">
        <v>0.49</v>
      </c>
      <c r="AX82" s="120">
        <v>0.49</v>
      </c>
      <c r="AY82" s="120">
        <v>0.48</v>
      </c>
      <c r="AZ82" s="120">
        <v>0.47</v>
      </c>
      <c r="BA82" s="120">
        <v>0.47</v>
      </c>
      <c r="BB82" s="120">
        <v>0.46</v>
      </c>
      <c r="BC82" s="120">
        <v>0.45</v>
      </c>
      <c r="BD82" s="120">
        <v>0.45</v>
      </c>
      <c r="BE82" s="120">
        <v>0.44</v>
      </c>
      <c r="BF82" s="120">
        <v>0.43</v>
      </c>
      <c r="BG82" s="120">
        <v>0.43</v>
      </c>
      <c r="BH82" s="120">
        <v>0.42</v>
      </c>
      <c r="BI82" s="120">
        <v>0.41</v>
      </c>
      <c r="BJ82" s="120">
        <v>0.41</v>
      </c>
      <c r="BK82" s="121">
        <v>0</v>
      </c>
    </row>
    <row r="83" spans="1:63">
      <c r="A83" s="122">
        <v>1</v>
      </c>
      <c r="B83" s="14">
        <v>0.8</v>
      </c>
      <c r="C83">
        <v>0.8</v>
      </c>
      <c r="D83">
        <v>0.79</v>
      </c>
      <c r="E83">
        <v>0.79</v>
      </c>
      <c r="F83">
        <v>0.78</v>
      </c>
      <c r="G83">
        <v>0.77</v>
      </c>
      <c r="H83">
        <v>0.77</v>
      </c>
      <c r="I83">
        <v>0.76</v>
      </c>
      <c r="J83">
        <v>0.75</v>
      </c>
      <c r="K83">
        <v>0.75</v>
      </c>
      <c r="L83">
        <v>0.74</v>
      </c>
      <c r="M83">
        <v>0.73</v>
      </c>
      <c r="N83">
        <v>0.73</v>
      </c>
      <c r="O83">
        <v>0.72</v>
      </c>
      <c r="P83">
        <v>0.71</v>
      </c>
      <c r="Q83">
        <v>0.71</v>
      </c>
      <c r="R83">
        <v>0.7</v>
      </c>
      <c r="S83">
        <v>0.69</v>
      </c>
      <c r="T83">
        <v>0.69</v>
      </c>
      <c r="U83">
        <v>0.68</v>
      </c>
      <c r="V83">
        <v>0.67</v>
      </c>
      <c r="W83">
        <v>0.67</v>
      </c>
      <c r="X83">
        <v>0.66</v>
      </c>
      <c r="Y83">
        <v>0.65</v>
      </c>
      <c r="Z83">
        <v>0.65</v>
      </c>
      <c r="AA83">
        <v>0.64</v>
      </c>
      <c r="AB83">
        <v>0.63</v>
      </c>
      <c r="AC83">
        <v>0.63</v>
      </c>
      <c r="AD83">
        <v>0.62</v>
      </c>
      <c r="AE83">
        <v>0.61</v>
      </c>
      <c r="AF83">
        <v>0.61</v>
      </c>
      <c r="AG83">
        <v>0.6</v>
      </c>
      <c r="AH83">
        <v>0.59</v>
      </c>
      <c r="AI83">
        <v>0.59</v>
      </c>
      <c r="AJ83">
        <v>0.57999999999999996</v>
      </c>
      <c r="AK83">
        <v>0.56999999999999995</v>
      </c>
      <c r="AL83">
        <v>0.56999999999999995</v>
      </c>
      <c r="AM83">
        <v>0.56000000000000005</v>
      </c>
      <c r="AN83">
        <v>0.55000000000000004</v>
      </c>
      <c r="AO83">
        <v>0.55000000000000004</v>
      </c>
      <c r="AP83">
        <v>0.54</v>
      </c>
      <c r="AQ83">
        <v>0.53</v>
      </c>
      <c r="AR83">
        <v>0.53</v>
      </c>
      <c r="AS83">
        <v>0.52</v>
      </c>
      <c r="AT83">
        <v>0.51</v>
      </c>
      <c r="AU83">
        <v>0.51</v>
      </c>
      <c r="AV83">
        <v>0.5</v>
      </c>
      <c r="AW83">
        <v>0.49</v>
      </c>
      <c r="AX83">
        <v>0.49</v>
      </c>
      <c r="AY83">
        <v>0.48</v>
      </c>
      <c r="AZ83">
        <v>0.47</v>
      </c>
      <c r="BA83">
        <v>0.47</v>
      </c>
      <c r="BB83">
        <v>0.46</v>
      </c>
      <c r="BC83">
        <v>0.45</v>
      </c>
      <c r="BD83">
        <v>0.45</v>
      </c>
      <c r="BE83">
        <v>0.44</v>
      </c>
      <c r="BF83">
        <v>0.43</v>
      </c>
      <c r="BG83">
        <v>0.43</v>
      </c>
      <c r="BH83">
        <v>0.42</v>
      </c>
      <c r="BI83">
        <v>0.41</v>
      </c>
      <c r="BJ83">
        <v>0.41</v>
      </c>
      <c r="BK83" s="84">
        <v>0</v>
      </c>
    </row>
    <row r="84" spans="1:63">
      <c r="A84" s="122">
        <v>2</v>
      </c>
      <c r="B84" s="14">
        <v>0.8</v>
      </c>
      <c r="C84">
        <v>0.8</v>
      </c>
      <c r="D84">
        <v>0.79</v>
      </c>
      <c r="E84">
        <v>0.79</v>
      </c>
      <c r="F84">
        <v>0.78</v>
      </c>
      <c r="G84">
        <v>0.77</v>
      </c>
      <c r="H84">
        <v>0.77</v>
      </c>
      <c r="I84">
        <v>0.76</v>
      </c>
      <c r="J84">
        <v>0.75</v>
      </c>
      <c r="K84">
        <v>0.75</v>
      </c>
      <c r="L84">
        <v>0.74</v>
      </c>
      <c r="M84">
        <v>0.73</v>
      </c>
      <c r="N84">
        <v>0.73</v>
      </c>
      <c r="O84">
        <v>0.72</v>
      </c>
      <c r="P84">
        <v>0.71</v>
      </c>
      <c r="Q84">
        <v>0.71</v>
      </c>
      <c r="R84">
        <v>0.7</v>
      </c>
      <c r="S84">
        <v>0.69</v>
      </c>
      <c r="T84">
        <v>0.69</v>
      </c>
      <c r="U84">
        <v>0.68</v>
      </c>
      <c r="V84">
        <v>0.67</v>
      </c>
      <c r="W84">
        <v>0.67</v>
      </c>
      <c r="X84">
        <v>0.66</v>
      </c>
      <c r="Y84">
        <v>0.65</v>
      </c>
      <c r="Z84">
        <v>0.65</v>
      </c>
      <c r="AA84">
        <v>0.64</v>
      </c>
      <c r="AB84">
        <v>0.63</v>
      </c>
      <c r="AC84">
        <v>0.63</v>
      </c>
      <c r="AD84">
        <v>0.62</v>
      </c>
      <c r="AE84">
        <v>0.61</v>
      </c>
      <c r="AF84">
        <v>0.61</v>
      </c>
      <c r="AG84">
        <v>0.6</v>
      </c>
      <c r="AH84">
        <v>0.59</v>
      </c>
      <c r="AI84">
        <v>0.59</v>
      </c>
      <c r="AJ84">
        <v>0.57999999999999996</v>
      </c>
      <c r="AK84">
        <v>0.56999999999999995</v>
      </c>
      <c r="AL84">
        <v>0.56999999999999995</v>
      </c>
      <c r="AM84">
        <v>0.56000000000000005</v>
      </c>
      <c r="AN84">
        <v>0.55000000000000004</v>
      </c>
      <c r="AO84">
        <v>0.55000000000000004</v>
      </c>
      <c r="AP84">
        <v>0.54</v>
      </c>
      <c r="AQ84">
        <v>0.53</v>
      </c>
      <c r="AR84">
        <v>0.53</v>
      </c>
      <c r="AS84">
        <v>0.52</v>
      </c>
      <c r="AT84">
        <v>0.51</v>
      </c>
      <c r="AU84">
        <v>0.51</v>
      </c>
      <c r="AV84">
        <v>0.5</v>
      </c>
      <c r="AW84">
        <v>0.49</v>
      </c>
      <c r="AX84">
        <v>0.49</v>
      </c>
      <c r="AY84">
        <v>0.48</v>
      </c>
      <c r="AZ84">
        <v>0.47</v>
      </c>
      <c r="BA84">
        <v>0.47</v>
      </c>
      <c r="BB84">
        <v>0.46</v>
      </c>
      <c r="BC84">
        <v>0.45</v>
      </c>
      <c r="BD84">
        <v>0.45</v>
      </c>
      <c r="BE84">
        <v>0.44</v>
      </c>
      <c r="BF84">
        <v>0.43</v>
      </c>
      <c r="BG84">
        <v>0.43</v>
      </c>
      <c r="BH84">
        <v>0.42</v>
      </c>
      <c r="BI84">
        <v>0.41</v>
      </c>
      <c r="BJ84">
        <v>0.41</v>
      </c>
      <c r="BK84" s="84">
        <v>0</v>
      </c>
    </row>
    <row r="85" spans="1:63">
      <c r="A85" s="122">
        <v>3</v>
      </c>
      <c r="B85" s="14">
        <v>0.8</v>
      </c>
      <c r="C85">
        <v>0.8</v>
      </c>
      <c r="D85">
        <v>0.79</v>
      </c>
      <c r="E85">
        <v>0.79</v>
      </c>
      <c r="F85">
        <v>0.78</v>
      </c>
      <c r="G85">
        <v>0.77</v>
      </c>
      <c r="H85">
        <v>0.77</v>
      </c>
      <c r="I85">
        <v>0.76</v>
      </c>
      <c r="J85">
        <v>0.75</v>
      </c>
      <c r="K85">
        <v>0.75</v>
      </c>
      <c r="L85">
        <v>0.74</v>
      </c>
      <c r="M85">
        <v>0.73</v>
      </c>
      <c r="N85">
        <v>0.73</v>
      </c>
      <c r="O85">
        <v>0.72</v>
      </c>
      <c r="P85">
        <v>0.71</v>
      </c>
      <c r="Q85">
        <v>0.71</v>
      </c>
      <c r="R85">
        <v>0.7</v>
      </c>
      <c r="S85">
        <v>0.69</v>
      </c>
      <c r="T85">
        <v>0.69</v>
      </c>
      <c r="U85">
        <v>0.68</v>
      </c>
      <c r="V85">
        <v>0.67</v>
      </c>
      <c r="W85">
        <v>0.67</v>
      </c>
      <c r="X85">
        <v>0.66</v>
      </c>
      <c r="Y85">
        <v>0.65</v>
      </c>
      <c r="Z85">
        <v>0.65</v>
      </c>
      <c r="AA85">
        <v>0.64</v>
      </c>
      <c r="AB85">
        <v>0.63</v>
      </c>
      <c r="AC85">
        <v>0.63</v>
      </c>
      <c r="AD85">
        <v>0.62</v>
      </c>
      <c r="AE85">
        <v>0.61</v>
      </c>
      <c r="AF85">
        <v>0.61</v>
      </c>
      <c r="AG85">
        <v>0.6</v>
      </c>
      <c r="AH85">
        <v>0.59</v>
      </c>
      <c r="AI85">
        <v>0.59</v>
      </c>
      <c r="AJ85">
        <v>0.57999999999999996</v>
      </c>
      <c r="AK85">
        <v>0.56999999999999995</v>
      </c>
      <c r="AL85">
        <v>0.56999999999999995</v>
      </c>
      <c r="AM85">
        <v>0.56000000000000005</v>
      </c>
      <c r="AN85">
        <v>0.55000000000000004</v>
      </c>
      <c r="AO85">
        <v>0.55000000000000004</v>
      </c>
      <c r="AP85">
        <v>0.54</v>
      </c>
      <c r="AQ85">
        <v>0.53</v>
      </c>
      <c r="AR85">
        <v>0.53</v>
      </c>
      <c r="AS85">
        <v>0.52</v>
      </c>
      <c r="AT85">
        <v>0.51</v>
      </c>
      <c r="AU85">
        <v>0.51</v>
      </c>
      <c r="AV85">
        <v>0.5</v>
      </c>
      <c r="AW85">
        <v>0.49</v>
      </c>
      <c r="AX85">
        <v>0.49</v>
      </c>
      <c r="AY85">
        <v>0.48</v>
      </c>
      <c r="AZ85">
        <v>0.47</v>
      </c>
      <c r="BA85">
        <v>0.47</v>
      </c>
      <c r="BB85">
        <v>0.46</v>
      </c>
      <c r="BC85">
        <v>0.45</v>
      </c>
      <c r="BD85">
        <v>0.45</v>
      </c>
      <c r="BE85">
        <v>0.44</v>
      </c>
      <c r="BF85">
        <v>0.43</v>
      </c>
      <c r="BG85">
        <v>0.43</v>
      </c>
      <c r="BH85">
        <v>0.42</v>
      </c>
      <c r="BI85">
        <v>0.41</v>
      </c>
      <c r="BJ85">
        <v>0.41</v>
      </c>
      <c r="BK85" s="84">
        <v>0</v>
      </c>
    </row>
    <row r="86" spans="1:63">
      <c r="A86" s="122">
        <v>4</v>
      </c>
      <c r="B86" s="14">
        <v>0.8</v>
      </c>
      <c r="C86">
        <v>0.8</v>
      </c>
      <c r="D86">
        <v>0.79</v>
      </c>
      <c r="E86">
        <v>0.79</v>
      </c>
      <c r="F86">
        <v>0.78</v>
      </c>
      <c r="G86">
        <v>0.77</v>
      </c>
      <c r="H86">
        <v>0.77</v>
      </c>
      <c r="I86">
        <v>0.76</v>
      </c>
      <c r="J86">
        <v>0.75</v>
      </c>
      <c r="K86">
        <v>0.75</v>
      </c>
      <c r="L86">
        <v>0.74</v>
      </c>
      <c r="M86">
        <v>0.73</v>
      </c>
      <c r="N86">
        <v>0.73</v>
      </c>
      <c r="O86">
        <v>0.72</v>
      </c>
      <c r="P86">
        <v>0.71</v>
      </c>
      <c r="Q86">
        <v>0.71</v>
      </c>
      <c r="R86">
        <v>0.7</v>
      </c>
      <c r="S86">
        <v>0.69</v>
      </c>
      <c r="T86">
        <v>0.69</v>
      </c>
      <c r="U86">
        <v>0.68</v>
      </c>
      <c r="V86">
        <v>0.67</v>
      </c>
      <c r="W86">
        <v>0.67</v>
      </c>
      <c r="X86">
        <v>0.66</v>
      </c>
      <c r="Y86">
        <v>0.65</v>
      </c>
      <c r="Z86">
        <v>0.65</v>
      </c>
      <c r="AA86">
        <v>0.64</v>
      </c>
      <c r="AB86">
        <v>0.63</v>
      </c>
      <c r="AC86">
        <v>0.63</v>
      </c>
      <c r="AD86">
        <v>0.62</v>
      </c>
      <c r="AE86">
        <v>0.61</v>
      </c>
      <c r="AF86">
        <v>0.61</v>
      </c>
      <c r="AG86">
        <v>0.6</v>
      </c>
      <c r="AH86">
        <v>0.59</v>
      </c>
      <c r="AI86">
        <v>0.59</v>
      </c>
      <c r="AJ86">
        <v>0.57999999999999996</v>
      </c>
      <c r="AK86">
        <v>0.56999999999999995</v>
      </c>
      <c r="AL86">
        <v>0.56999999999999995</v>
      </c>
      <c r="AM86">
        <v>0.56000000000000005</v>
      </c>
      <c r="AN86">
        <v>0.55000000000000004</v>
      </c>
      <c r="AO86">
        <v>0.54</v>
      </c>
      <c r="AP86">
        <v>0.54</v>
      </c>
      <c r="AQ86">
        <v>0.53</v>
      </c>
      <c r="AR86">
        <v>0.52</v>
      </c>
      <c r="AS86">
        <v>0.52</v>
      </c>
      <c r="AT86">
        <v>0.51</v>
      </c>
      <c r="AU86">
        <v>0.5</v>
      </c>
      <c r="AV86">
        <v>0.5</v>
      </c>
      <c r="AW86">
        <v>0.49</v>
      </c>
      <c r="AX86">
        <v>0.48</v>
      </c>
      <c r="AY86">
        <v>0.48</v>
      </c>
      <c r="AZ86">
        <v>0.47</v>
      </c>
      <c r="BA86">
        <v>0.46</v>
      </c>
      <c r="BB86">
        <v>0.46</v>
      </c>
      <c r="BC86">
        <v>0.45</v>
      </c>
      <c r="BD86">
        <v>0.44</v>
      </c>
      <c r="BE86">
        <v>0.44</v>
      </c>
      <c r="BF86">
        <v>0.43</v>
      </c>
      <c r="BG86">
        <v>0.42</v>
      </c>
      <c r="BH86">
        <v>0.42</v>
      </c>
      <c r="BI86">
        <v>0.41</v>
      </c>
      <c r="BJ86">
        <v>0.4</v>
      </c>
      <c r="BK86" s="84">
        <v>0</v>
      </c>
    </row>
    <row r="87" spans="1:63">
      <c r="A87" s="122">
        <v>5</v>
      </c>
      <c r="B87" s="123">
        <v>0.8</v>
      </c>
      <c r="C87" s="124">
        <v>0.8</v>
      </c>
      <c r="D87" s="124">
        <v>0.79</v>
      </c>
      <c r="E87" s="124">
        <v>0.79</v>
      </c>
      <c r="F87" s="124">
        <v>0.78</v>
      </c>
      <c r="G87" s="124">
        <v>0.77</v>
      </c>
      <c r="H87" s="124">
        <v>0.77</v>
      </c>
      <c r="I87" s="124">
        <v>0.76</v>
      </c>
      <c r="J87" s="124">
        <v>0.75</v>
      </c>
      <c r="K87" s="124">
        <v>0.75</v>
      </c>
      <c r="L87" s="124">
        <v>0.74</v>
      </c>
      <c r="M87" s="124">
        <v>0.73</v>
      </c>
      <c r="N87" s="124">
        <v>0.73</v>
      </c>
      <c r="O87" s="124">
        <v>0.72</v>
      </c>
      <c r="P87" s="124">
        <v>0.71</v>
      </c>
      <c r="Q87" s="124">
        <v>0.71</v>
      </c>
      <c r="R87" s="124">
        <v>0.7</v>
      </c>
      <c r="S87" s="124">
        <v>0.69</v>
      </c>
      <c r="T87" s="124">
        <v>0.68</v>
      </c>
      <c r="U87" s="124">
        <v>0.68</v>
      </c>
      <c r="V87" s="124">
        <v>0.67</v>
      </c>
      <c r="W87" s="124">
        <v>0.66</v>
      </c>
      <c r="X87" s="124">
        <v>0.66</v>
      </c>
      <c r="Y87" s="124">
        <v>0.65</v>
      </c>
      <c r="Z87" s="124">
        <v>0.64</v>
      </c>
      <c r="AA87" s="124">
        <v>0.64</v>
      </c>
      <c r="AB87" s="124">
        <v>0.63</v>
      </c>
      <c r="AC87" s="124">
        <v>0.62</v>
      </c>
      <c r="AD87" s="124">
        <v>0.62</v>
      </c>
      <c r="AE87" s="124">
        <v>0.61</v>
      </c>
      <c r="AF87" s="124">
        <v>0.6</v>
      </c>
      <c r="AG87" s="124">
        <v>0.6</v>
      </c>
      <c r="AH87" s="124">
        <v>0.59</v>
      </c>
      <c r="AI87" s="124">
        <v>0.57999999999999996</v>
      </c>
      <c r="AJ87" s="124">
        <v>0.57999999999999996</v>
      </c>
      <c r="AK87" s="124">
        <v>0.56999999999999995</v>
      </c>
      <c r="AL87" s="124">
        <v>0.56000000000000005</v>
      </c>
      <c r="AM87" s="124">
        <v>0.56000000000000005</v>
      </c>
      <c r="AN87" s="124">
        <v>0.55000000000000004</v>
      </c>
      <c r="AO87" s="124">
        <v>0.54</v>
      </c>
      <c r="AP87" s="124">
        <v>0.54</v>
      </c>
      <c r="AQ87" s="124">
        <v>0.53</v>
      </c>
      <c r="AR87" s="124">
        <v>0.52</v>
      </c>
      <c r="AS87" s="124">
        <v>0.52</v>
      </c>
      <c r="AT87" s="124">
        <v>0.51</v>
      </c>
      <c r="AU87" s="124">
        <v>0.5</v>
      </c>
      <c r="AV87" s="124">
        <v>0.5</v>
      </c>
      <c r="AW87" s="124">
        <v>0.49</v>
      </c>
      <c r="AX87" s="124">
        <v>0.48</v>
      </c>
      <c r="AY87" s="124">
        <v>0.48</v>
      </c>
      <c r="AZ87" s="124">
        <v>0.47</v>
      </c>
      <c r="BA87" s="124">
        <v>0.46</v>
      </c>
      <c r="BB87" s="124">
        <v>0.46</v>
      </c>
      <c r="BC87" s="124">
        <v>0.45</v>
      </c>
      <c r="BD87" s="124">
        <v>0.44</v>
      </c>
      <c r="BE87" s="124">
        <v>0.44</v>
      </c>
      <c r="BF87" s="124">
        <v>0.43</v>
      </c>
      <c r="BG87" s="124">
        <v>0.42</v>
      </c>
      <c r="BH87" s="124">
        <v>0.42</v>
      </c>
      <c r="BI87" s="124">
        <v>0.41</v>
      </c>
      <c r="BJ87" s="124">
        <v>0.4</v>
      </c>
      <c r="BK87" s="125">
        <v>0</v>
      </c>
    </row>
    <row r="88" spans="1:63">
      <c r="A88" s="122">
        <v>6</v>
      </c>
      <c r="B88" s="119">
        <v>0.8</v>
      </c>
      <c r="C88" s="120">
        <v>0.8</v>
      </c>
      <c r="D88" s="120">
        <v>0.79</v>
      </c>
      <c r="E88" s="120">
        <v>0.78</v>
      </c>
      <c r="F88" s="120">
        <v>0.78</v>
      </c>
      <c r="G88" s="120">
        <v>0.77</v>
      </c>
      <c r="H88" s="120">
        <v>0.76</v>
      </c>
      <c r="I88" s="120">
        <v>0.76</v>
      </c>
      <c r="J88" s="120">
        <v>0.75</v>
      </c>
      <c r="K88" s="120">
        <v>0.74</v>
      </c>
      <c r="L88" s="120">
        <v>0.74</v>
      </c>
      <c r="M88" s="120">
        <v>0.73</v>
      </c>
      <c r="N88" s="120">
        <v>0.72</v>
      </c>
      <c r="O88" s="120">
        <v>0.72</v>
      </c>
      <c r="P88" s="120">
        <v>0.71</v>
      </c>
      <c r="Q88" s="120">
        <v>0.7</v>
      </c>
      <c r="R88" s="120">
        <v>0.7</v>
      </c>
      <c r="S88" s="120">
        <v>0.69</v>
      </c>
      <c r="T88" s="120">
        <v>0.68</v>
      </c>
      <c r="U88" s="120">
        <v>0.68</v>
      </c>
      <c r="V88" s="120">
        <v>0.67</v>
      </c>
      <c r="W88" s="120">
        <v>0.66</v>
      </c>
      <c r="X88" s="120">
        <v>0.66</v>
      </c>
      <c r="Y88" s="120">
        <v>0.65</v>
      </c>
      <c r="Z88" s="120">
        <v>0.64</v>
      </c>
      <c r="AA88" s="120">
        <v>0.64</v>
      </c>
      <c r="AB88" s="120">
        <v>0.63</v>
      </c>
      <c r="AC88" s="120">
        <v>0.62</v>
      </c>
      <c r="AD88" s="120">
        <v>0.62</v>
      </c>
      <c r="AE88" s="120">
        <v>0.61</v>
      </c>
      <c r="AF88" s="120">
        <v>0.6</v>
      </c>
      <c r="AG88" s="120">
        <v>0.6</v>
      </c>
      <c r="AH88" s="120">
        <v>0.59</v>
      </c>
      <c r="AI88" s="120">
        <v>0.57999999999999996</v>
      </c>
      <c r="AJ88" s="120">
        <v>0.57999999999999996</v>
      </c>
      <c r="AK88" s="120">
        <v>0.56999999999999995</v>
      </c>
      <c r="AL88" s="120">
        <v>0.56000000000000005</v>
      </c>
      <c r="AM88" s="120">
        <v>0.56000000000000005</v>
      </c>
      <c r="AN88" s="120">
        <v>0.55000000000000004</v>
      </c>
      <c r="AO88" s="120">
        <v>0.54</v>
      </c>
      <c r="AP88" s="120">
        <v>0.54</v>
      </c>
      <c r="AQ88" s="120">
        <v>0.53</v>
      </c>
      <c r="AR88" s="120">
        <v>0.52</v>
      </c>
      <c r="AS88" s="120">
        <v>0.52</v>
      </c>
      <c r="AT88" s="120">
        <v>0.51</v>
      </c>
      <c r="AU88" s="120">
        <v>0.5</v>
      </c>
      <c r="AV88" s="120">
        <v>0.5</v>
      </c>
      <c r="AW88" s="120">
        <v>0.49</v>
      </c>
      <c r="AX88" s="120">
        <v>0.48</v>
      </c>
      <c r="AY88" s="120">
        <v>0.48</v>
      </c>
      <c r="AZ88" s="120">
        <v>0.47</v>
      </c>
      <c r="BA88" s="120">
        <v>0.46</v>
      </c>
      <c r="BB88" s="120">
        <v>0.46</v>
      </c>
      <c r="BC88" s="120">
        <v>0.45</v>
      </c>
      <c r="BD88" s="120">
        <v>0.44</v>
      </c>
      <c r="BE88" s="120">
        <v>0.44</v>
      </c>
      <c r="BF88" s="120">
        <v>0.43</v>
      </c>
      <c r="BG88" s="120">
        <v>0.42</v>
      </c>
      <c r="BH88" s="120">
        <v>0.42</v>
      </c>
      <c r="BI88" s="120">
        <v>0.41</v>
      </c>
      <c r="BJ88" s="120">
        <v>0.4</v>
      </c>
      <c r="BK88" s="121">
        <v>0</v>
      </c>
    </row>
    <row r="89" spans="1:63">
      <c r="A89" s="122">
        <v>7</v>
      </c>
      <c r="B89" s="14">
        <v>0.8</v>
      </c>
      <c r="C89">
        <v>0.8</v>
      </c>
      <c r="D89">
        <v>0.79</v>
      </c>
      <c r="E89">
        <v>0.78</v>
      </c>
      <c r="F89">
        <v>0.78</v>
      </c>
      <c r="G89">
        <v>0.77</v>
      </c>
      <c r="H89">
        <v>0.76</v>
      </c>
      <c r="I89">
        <v>0.76</v>
      </c>
      <c r="J89">
        <v>0.75</v>
      </c>
      <c r="K89">
        <v>0.74</v>
      </c>
      <c r="L89">
        <v>0.74</v>
      </c>
      <c r="M89">
        <v>0.73</v>
      </c>
      <c r="N89">
        <v>0.72</v>
      </c>
      <c r="O89">
        <v>0.72</v>
      </c>
      <c r="P89">
        <v>0.71</v>
      </c>
      <c r="Q89">
        <v>0.7</v>
      </c>
      <c r="R89">
        <v>0.7</v>
      </c>
      <c r="S89">
        <v>0.69</v>
      </c>
      <c r="T89">
        <v>0.68</v>
      </c>
      <c r="U89">
        <v>0.68</v>
      </c>
      <c r="V89">
        <v>0.67</v>
      </c>
      <c r="W89">
        <v>0.66</v>
      </c>
      <c r="X89">
        <v>0.66</v>
      </c>
      <c r="Y89">
        <v>0.65</v>
      </c>
      <c r="Z89">
        <v>0.64</v>
      </c>
      <c r="AA89">
        <v>0.64</v>
      </c>
      <c r="AB89">
        <v>0.63</v>
      </c>
      <c r="AC89">
        <v>0.62</v>
      </c>
      <c r="AD89">
        <v>0.62</v>
      </c>
      <c r="AE89">
        <v>0.61</v>
      </c>
      <c r="AF89">
        <v>0.6</v>
      </c>
      <c r="AG89">
        <v>0.6</v>
      </c>
      <c r="AH89">
        <v>0.59</v>
      </c>
      <c r="AI89">
        <v>0.57999999999999996</v>
      </c>
      <c r="AJ89">
        <v>0.57999999999999996</v>
      </c>
      <c r="AK89">
        <v>0.56999999999999995</v>
      </c>
      <c r="AL89">
        <v>0.56000000000000005</v>
      </c>
      <c r="AM89">
        <v>0.55000000000000004</v>
      </c>
      <c r="AN89">
        <v>0.55000000000000004</v>
      </c>
      <c r="AO89">
        <v>0.54</v>
      </c>
      <c r="AP89">
        <v>0.53</v>
      </c>
      <c r="AQ89">
        <v>0.53</v>
      </c>
      <c r="AR89">
        <v>0.52</v>
      </c>
      <c r="AS89">
        <v>0.51</v>
      </c>
      <c r="AT89">
        <v>0.51</v>
      </c>
      <c r="AU89">
        <v>0.5</v>
      </c>
      <c r="AV89">
        <v>0.49</v>
      </c>
      <c r="AW89">
        <v>0.49</v>
      </c>
      <c r="AX89">
        <v>0.48</v>
      </c>
      <c r="AY89">
        <v>0.47</v>
      </c>
      <c r="AZ89">
        <v>0.47</v>
      </c>
      <c r="BA89">
        <v>0.46</v>
      </c>
      <c r="BB89">
        <v>0.45</v>
      </c>
      <c r="BC89">
        <v>0.45</v>
      </c>
      <c r="BD89">
        <v>0.44</v>
      </c>
      <c r="BE89">
        <v>0.43</v>
      </c>
      <c r="BF89">
        <v>0.43</v>
      </c>
      <c r="BG89">
        <v>0.42</v>
      </c>
      <c r="BH89">
        <v>0.41</v>
      </c>
      <c r="BI89">
        <v>0.41</v>
      </c>
      <c r="BJ89">
        <v>0.4</v>
      </c>
      <c r="BK89" s="84">
        <v>0</v>
      </c>
    </row>
    <row r="90" spans="1:63">
      <c r="A90" s="122">
        <v>8</v>
      </c>
      <c r="B90" s="14">
        <v>0.8</v>
      </c>
      <c r="C90">
        <v>0.8</v>
      </c>
      <c r="D90">
        <v>0.79</v>
      </c>
      <c r="E90">
        <v>0.78</v>
      </c>
      <c r="F90">
        <v>0.78</v>
      </c>
      <c r="G90">
        <v>0.77</v>
      </c>
      <c r="H90">
        <v>0.76</v>
      </c>
      <c r="I90">
        <v>0.76</v>
      </c>
      <c r="J90">
        <v>0.75</v>
      </c>
      <c r="K90">
        <v>0.74</v>
      </c>
      <c r="L90">
        <v>0.74</v>
      </c>
      <c r="M90">
        <v>0.73</v>
      </c>
      <c r="N90">
        <v>0.72</v>
      </c>
      <c r="O90">
        <v>0.72</v>
      </c>
      <c r="P90">
        <v>0.71</v>
      </c>
      <c r="Q90">
        <v>0.7</v>
      </c>
      <c r="R90">
        <v>0.7</v>
      </c>
      <c r="S90">
        <v>0.69</v>
      </c>
      <c r="T90">
        <v>0.68</v>
      </c>
      <c r="U90">
        <v>0.68</v>
      </c>
      <c r="V90">
        <v>0.67</v>
      </c>
      <c r="W90">
        <v>0.66</v>
      </c>
      <c r="X90">
        <v>0.66</v>
      </c>
      <c r="Y90">
        <v>0.65</v>
      </c>
      <c r="Z90">
        <v>0.64</v>
      </c>
      <c r="AA90">
        <v>0.63</v>
      </c>
      <c r="AB90">
        <v>0.63</v>
      </c>
      <c r="AC90">
        <v>0.62</v>
      </c>
      <c r="AD90">
        <v>0.61</v>
      </c>
      <c r="AE90">
        <v>0.61</v>
      </c>
      <c r="AF90">
        <v>0.6</v>
      </c>
      <c r="AG90">
        <v>0.59</v>
      </c>
      <c r="AH90">
        <v>0.59</v>
      </c>
      <c r="AI90">
        <v>0.57999999999999996</v>
      </c>
      <c r="AJ90">
        <v>0.56999999999999995</v>
      </c>
      <c r="AK90">
        <v>0.56999999999999995</v>
      </c>
      <c r="AL90">
        <v>0.56000000000000005</v>
      </c>
      <c r="AM90">
        <v>0.55000000000000004</v>
      </c>
      <c r="AN90">
        <v>0.55000000000000004</v>
      </c>
      <c r="AO90">
        <v>0.54</v>
      </c>
      <c r="AP90">
        <v>0.53</v>
      </c>
      <c r="AQ90">
        <v>0.53</v>
      </c>
      <c r="AR90">
        <v>0.52</v>
      </c>
      <c r="AS90">
        <v>0.51</v>
      </c>
      <c r="AT90">
        <v>0.51</v>
      </c>
      <c r="AU90">
        <v>0.5</v>
      </c>
      <c r="AV90">
        <v>0.49</v>
      </c>
      <c r="AW90">
        <v>0.49</v>
      </c>
      <c r="AX90">
        <v>0.48</v>
      </c>
      <c r="AY90">
        <v>0.47</v>
      </c>
      <c r="AZ90">
        <v>0.47</v>
      </c>
      <c r="BA90">
        <v>0.46</v>
      </c>
      <c r="BB90">
        <v>0.45</v>
      </c>
      <c r="BC90">
        <v>0.45</v>
      </c>
      <c r="BD90">
        <v>0.44</v>
      </c>
      <c r="BE90">
        <v>0.43</v>
      </c>
      <c r="BF90">
        <v>0.43</v>
      </c>
      <c r="BG90">
        <v>0.42</v>
      </c>
      <c r="BH90">
        <v>0.41</v>
      </c>
      <c r="BI90">
        <v>0.41</v>
      </c>
      <c r="BJ90">
        <v>0.4</v>
      </c>
      <c r="BK90" s="84">
        <v>0</v>
      </c>
    </row>
    <row r="91" spans="1:63">
      <c r="A91" s="122">
        <v>9</v>
      </c>
      <c r="B91" s="14">
        <v>0.8</v>
      </c>
      <c r="C91">
        <v>0.8</v>
      </c>
      <c r="D91">
        <v>0.79</v>
      </c>
      <c r="E91">
        <v>0.78</v>
      </c>
      <c r="F91">
        <v>0.78</v>
      </c>
      <c r="G91">
        <v>0.77</v>
      </c>
      <c r="H91">
        <v>0.76</v>
      </c>
      <c r="I91">
        <v>0.76</v>
      </c>
      <c r="J91">
        <v>0.75</v>
      </c>
      <c r="K91">
        <v>0.74</v>
      </c>
      <c r="L91">
        <v>0.74</v>
      </c>
      <c r="M91">
        <v>0.73</v>
      </c>
      <c r="N91">
        <v>0.72</v>
      </c>
      <c r="O91">
        <v>0.72</v>
      </c>
      <c r="P91">
        <v>0.71</v>
      </c>
      <c r="Q91">
        <v>0.7</v>
      </c>
      <c r="R91">
        <v>0.69</v>
      </c>
      <c r="S91">
        <v>0.69</v>
      </c>
      <c r="T91">
        <v>0.68</v>
      </c>
      <c r="U91">
        <v>0.67</v>
      </c>
      <c r="V91">
        <v>0.67</v>
      </c>
      <c r="W91">
        <v>0.66</v>
      </c>
      <c r="X91">
        <v>0.65</v>
      </c>
      <c r="Y91">
        <v>0.65</v>
      </c>
      <c r="Z91">
        <v>0.64</v>
      </c>
      <c r="AA91">
        <v>0.63</v>
      </c>
      <c r="AB91">
        <v>0.63</v>
      </c>
      <c r="AC91">
        <v>0.62</v>
      </c>
      <c r="AD91">
        <v>0.61</v>
      </c>
      <c r="AE91">
        <v>0.61</v>
      </c>
      <c r="AF91">
        <v>0.6</v>
      </c>
      <c r="AG91">
        <v>0.59</v>
      </c>
      <c r="AH91">
        <v>0.59</v>
      </c>
      <c r="AI91">
        <v>0.57999999999999996</v>
      </c>
      <c r="AJ91">
        <v>0.56999999999999995</v>
      </c>
      <c r="AK91">
        <v>0.56999999999999995</v>
      </c>
      <c r="AL91">
        <v>0.56000000000000005</v>
      </c>
      <c r="AM91">
        <v>0.55000000000000004</v>
      </c>
      <c r="AN91">
        <v>0.54</v>
      </c>
      <c r="AO91">
        <v>0.54</v>
      </c>
      <c r="AP91">
        <v>0.53</v>
      </c>
      <c r="AQ91">
        <v>0.52</v>
      </c>
      <c r="AR91">
        <v>0.52</v>
      </c>
      <c r="AS91">
        <v>0.51</v>
      </c>
      <c r="AT91">
        <v>0.5</v>
      </c>
      <c r="AU91">
        <v>0.5</v>
      </c>
      <c r="AV91">
        <v>0.49</v>
      </c>
      <c r="AW91">
        <v>0.48</v>
      </c>
      <c r="AX91">
        <v>0.48</v>
      </c>
      <c r="AY91">
        <v>0.47</v>
      </c>
      <c r="AZ91">
        <v>0.46</v>
      </c>
      <c r="BA91">
        <v>0.46</v>
      </c>
      <c r="BB91">
        <v>0.45</v>
      </c>
      <c r="BC91">
        <v>0.44</v>
      </c>
      <c r="BD91">
        <v>0.44</v>
      </c>
      <c r="BE91">
        <v>0.43</v>
      </c>
      <c r="BF91">
        <v>0.42</v>
      </c>
      <c r="BG91">
        <v>0.42</v>
      </c>
      <c r="BH91">
        <v>0.41</v>
      </c>
      <c r="BI91">
        <v>0.4</v>
      </c>
      <c r="BJ91">
        <v>0.4</v>
      </c>
      <c r="BK91" s="84">
        <v>0</v>
      </c>
    </row>
    <row r="92" spans="1:63">
      <c r="A92" s="122">
        <v>10</v>
      </c>
      <c r="B92" s="123">
        <v>0.79</v>
      </c>
      <c r="C92" s="124">
        <v>0.79</v>
      </c>
      <c r="D92" s="124">
        <v>0.79</v>
      </c>
      <c r="E92" s="124">
        <v>0.78</v>
      </c>
      <c r="F92" s="124">
        <v>0.77</v>
      </c>
      <c r="G92" s="124">
        <v>0.77</v>
      </c>
      <c r="H92" s="124">
        <v>0.76</v>
      </c>
      <c r="I92" s="124">
        <v>0.75</v>
      </c>
      <c r="J92" s="124">
        <v>0.75</v>
      </c>
      <c r="K92" s="124">
        <v>0.74</v>
      </c>
      <c r="L92" s="124">
        <v>0.73</v>
      </c>
      <c r="M92" s="124">
        <v>0.73</v>
      </c>
      <c r="N92" s="124">
        <v>0.72</v>
      </c>
      <c r="O92" s="124">
        <v>0.71</v>
      </c>
      <c r="P92" s="124">
        <v>0.71</v>
      </c>
      <c r="Q92" s="124">
        <v>0.7</v>
      </c>
      <c r="R92" s="124">
        <v>0.69</v>
      </c>
      <c r="S92" s="124">
        <v>0.69</v>
      </c>
      <c r="T92" s="124">
        <v>0.68</v>
      </c>
      <c r="U92" s="124">
        <v>0.67</v>
      </c>
      <c r="V92" s="124">
        <v>0.67</v>
      </c>
      <c r="W92" s="124">
        <v>0.66</v>
      </c>
      <c r="X92" s="124">
        <v>0.65</v>
      </c>
      <c r="Y92" s="124">
        <v>0.65</v>
      </c>
      <c r="Z92" s="124">
        <v>0.64</v>
      </c>
      <c r="AA92" s="124">
        <v>0.63</v>
      </c>
      <c r="AB92" s="124">
        <v>0.63</v>
      </c>
      <c r="AC92" s="124">
        <v>0.62</v>
      </c>
      <c r="AD92" s="124">
        <v>0.61</v>
      </c>
      <c r="AE92" s="124">
        <v>0.6</v>
      </c>
      <c r="AF92" s="124">
        <v>0.6</v>
      </c>
      <c r="AG92" s="124">
        <v>0.59</v>
      </c>
      <c r="AH92" s="124">
        <v>0.57999999999999996</v>
      </c>
      <c r="AI92" s="124">
        <v>0.57999999999999996</v>
      </c>
      <c r="AJ92" s="124">
        <v>0.56999999999999995</v>
      </c>
      <c r="AK92" s="124">
        <v>0.56000000000000005</v>
      </c>
      <c r="AL92" s="124">
        <v>0.56000000000000005</v>
      </c>
      <c r="AM92" s="124">
        <v>0.55000000000000004</v>
      </c>
      <c r="AN92" s="124">
        <v>0.54</v>
      </c>
      <c r="AO92" s="124">
        <v>0.54</v>
      </c>
      <c r="AP92" s="124">
        <v>0.53</v>
      </c>
      <c r="AQ92" s="124">
        <v>0.52</v>
      </c>
      <c r="AR92" s="124">
        <v>0.52</v>
      </c>
      <c r="AS92" s="124">
        <v>0.51</v>
      </c>
      <c r="AT92" s="124">
        <v>0.5</v>
      </c>
      <c r="AU92" s="124">
        <v>0.49</v>
      </c>
      <c r="AV92" s="124">
        <v>0.49</v>
      </c>
      <c r="AW92" s="124">
        <v>0.48</v>
      </c>
      <c r="AX92" s="124">
        <v>0.47</v>
      </c>
      <c r="AY92" s="124">
        <v>0.47</v>
      </c>
      <c r="AZ92" s="124">
        <v>0.46</v>
      </c>
      <c r="BA92" s="124">
        <v>0.45</v>
      </c>
      <c r="BB92" s="124">
        <v>0.45</v>
      </c>
      <c r="BC92" s="124">
        <v>0.44</v>
      </c>
      <c r="BD92" s="124">
        <v>0.43</v>
      </c>
      <c r="BE92" s="124">
        <v>0.43</v>
      </c>
      <c r="BF92" s="124">
        <v>0.42</v>
      </c>
      <c r="BG92" s="124">
        <v>0.41</v>
      </c>
      <c r="BH92" s="124">
        <v>0.41</v>
      </c>
      <c r="BI92" s="124">
        <v>0.4</v>
      </c>
      <c r="BJ92" s="124">
        <v>0.39</v>
      </c>
      <c r="BK92" s="125">
        <v>0</v>
      </c>
    </row>
    <row r="93" spans="1:63">
      <c r="A93" s="122">
        <v>11</v>
      </c>
      <c r="B93" s="14">
        <v>0.79</v>
      </c>
      <c r="C93">
        <v>0.79</v>
      </c>
      <c r="D93">
        <v>0.79</v>
      </c>
      <c r="E93">
        <v>0.78</v>
      </c>
      <c r="F93" s="126">
        <v>0.77</v>
      </c>
      <c r="G93" s="126">
        <v>0.77</v>
      </c>
      <c r="H93" s="126">
        <v>0.76</v>
      </c>
      <c r="I93" s="126">
        <v>0.75</v>
      </c>
      <c r="J93" s="126">
        <v>0.75</v>
      </c>
      <c r="K93" s="126">
        <v>0.74</v>
      </c>
      <c r="L93" s="126">
        <v>0.73</v>
      </c>
      <c r="M93">
        <v>0.73</v>
      </c>
      <c r="N93">
        <v>0.72</v>
      </c>
      <c r="O93" s="126">
        <v>0.71</v>
      </c>
      <c r="P93" s="120">
        <v>0.71</v>
      </c>
      <c r="Q93" s="120">
        <v>0.7</v>
      </c>
      <c r="R93" s="120">
        <v>0.69</v>
      </c>
      <c r="S93" s="120">
        <v>0.69</v>
      </c>
      <c r="T93" s="120">
        <v>0.68</v>
      </c>
      <c r="U93" s="120">
        <v>0.67</v>
      </c>
      <c r="V93" s="120">
        <v>0.66</v>
      </c>
      <c r="W93" s="120">
        <v>0.66</v>
      </c>
      <c r="X93" s="120">
        <v>0.65</v>
      </c>
      <c r="Y93" s="120">
        <v>0.64</v>
      </c>
      <c r="Z93" s="120">
        <v>0.64</v>
      </c>
      <c r="AA93" s="120">
        <v>0.63</v>
      </c>
      <c r="AB93" s="120">
        <v>0.62</v>
      </c>
      <c r="AC93" s="120">
        <v>0.62</v>
      </c>
      <c r="AD93" s="120">
        <v>0.61</v>
      </c>
      <c r="AE93" s="120">
        <v>0.6</v>
      </c>
      <c r="AF93" s="120">
        <v>0.6</v>
      </c>
      <c r="AG93" s="120">
        <v>0.59</v>
      </c>
      <c r="AH93" s="120">
        <v>0.57999999999999996</v>
      </c>
      <c r="AI93" s="120">
        <v>0.57999999999999996</v>
      </c>
      <c r="AJ93" s="120">
        <v>0.56999999999999995</v>
      </c>
      <c r="AK93" s="120">
        <v>0.56000000000000005</v>
      </c>
      <c r="AL93" s="120">
        <v>0.55000000000000004</v>
      </c>
      <c r="AM93" s="120">
        <v>0.55000000000000004</v>
      </c>
      <c r="AN93" s="120">
        <v>0.54</v>
      </c>
      <c r="AO93" s="120">
        <v>0.53</v>
      </c>
      <c r="AP93" s="120">
        <v>0.53</v>
      </c>
      <c r="AQ93" s="120">
        <v>0.52</v>
      </c>
      <c r="AR93" s="120">
        <v>0.51</v>
      </c>
      <c r="AS93" s="120">
        <v>0.51</v>
      </c>
      <c r="AT93" s="120">
        <v>0.5</v>
      </c>
      <c r="AU93" s="120">
        <v>0.49</v>
      </c>
      <c r="AV93" s="120">
        <v>0.49</v>
      </c>
      <c r="AW93" s="120">
        <v>0.48</v>
      </c>
      <c r="AX93" s="120">
        <v>0.47</v>
      </c>
      <c r="AY93" s="120">
        <v>0.46</v>
      </c>
      <c r="AZ93" s="120">
        <v>0.46</v>
      </c>
      <c r="BA93" s="120">
        <v>0.45</v>
      </c>
      <c r="BB93" s="120">
        <v>0.44</v>
      </c>
      <c r="BC93" s="120">
        <v>0.44</v>
      </c>
      <c r="BD93" s="120">
        <v>0.43</v>
      </c>
      <c r="BE93" s="120">
        <v>0.42</v>
      </c>
      <c r="BF93" s="120">
        <v>0.42</v>
      </c>
      <c r="BG93" s="120">
        <v>0.41</v>
      </c>
      <c r="BH93" s="120">
        <v>0.4</v>
      </c>
      <c r="BI93" s="120">
        <v>0.4</v>
      </c>
      <c r="BJ93" s="120">
        <v>0.39</v>
      </c>
      <c r="BK93" s="121">
        <v>0</v>
      </c>
    </row>
    <row r="94" spans="1:63">
      <c r="A94" s="122">
        <v>12</v>
      </c>
      <c r="B94" s="14">
        <v>0.79</v>
      </c>
      <c r="C94">
        <v>0.79</v>
      </c>
      <c r="D94">
        <v>0.79</v>
      </c>
      <c r="E94">
        <v>0.78</v>
      </c>
      <c r="F94" s="126">
        <v>0.77</v>
      </c>
      <c r="G94" s="126">
        <v>0.77</v>
      </c>
      <c r="H94" s="126">
        <v>0.76</v>
      </c>
      <c r="I94" s="126">
        <v>0.75</v>
      </c>
      <c r="J94" s="126">
        <v>0.75</v>
      </c>
      <c r="K94" s="126">
        <v>0.74</v>
      </c>
      <c r="L94" s="126">
        <v>0.73</v>
      </c>
      <c r="M94">
        <v>0.72</v>
      </c>
      <c r="N94">
        <v>0.72</v>
      </c>
      <c r="O94">
        <v>0.71</v>
      </c>
      <c r="P94">
        <v>0.7</v>
      </c>
      <c r="Q94">
        <v>0.7</v>
      </c>
      <c r="R94">
        <v>0.69</v>
      </c>
      <c r="S94">
        <v>0.68</v>
      </c>
      <c r="T94">
        <v>0.68</v>
      </c>
      <c r="U94">
        <v>0.67</v>
      </c>
      <c r="V94">
        <v>0.66</v>
      </c>
      <c r="W94">
        <v>0.66</v>
      </c>
      <c r="X94">
        <v>0.65</v>
      </c>
      <c r="Y94">
        <v>0.64</v>
      </c>
      <c r="Z94">
        <v>0.64</v>
      </c>
      <c r="AA94">
        <v>0.63</v>
      </c>
      <c r="AB94">
        <v>0.62</v>
      </c>
      <c r="AC94">
        <v>0.61</v>
      </c>
      <c r="AD94">
        <v>0.61</v>
      </c>
      <c r="AE94">
        <v>0.6</v>
      </c>
      <c r="AF94">
        <v>0.59</v>
      </c>
      <c r="AG94">
        <v>0.59</v>
      </c>
      <c r="AH94">
        <v>0.57999999999999996</v>
      </c>
      <c r="AI94">
        <v>0.56999999999999995</v>
      </c>
      <c r="AJ94">
        <v>0.56999999999999995</v>
      </c>
      <c r="AK94">
        <v>0.56000000000000005</v>
      </c>
      <c r="AL94">
        <v>0.55000000000000004</v>
      </c>
      <c r="AM94">
        <v>0.55000000000000004</v>
      </c>
      <c r="AN94">
        <v>0.54</v>
      </c>
      <c r="AO94">
        <v>0.53</v>
      </c>
      <c r="AP94">
        <v>0.52</v>
      </c>
      <c r="AQ94">
        <v>0.52</v>
      </c>
      <c r="AR94">
        <v>0.51</v>
      </c>
      <c r="AS94">
        <v>0.5</v>
      </c>
      <c r="AT94">
        <v>0.5</v>
      </c>
      <c r="AU94">
        <v>0.49</v>
      </c>
      <c r="AV94">
        <v>0.48</v>
      </c>
      <c r="AW94">
        <v>0.48</v>
      </c>
      <c r="AX94">
        <v>0.47</v>
      </c>
      <c r="AY94">
        <v>0.46</v>
      </c>
      <c r="AZ94">
        <v>0.46</v>
      </c>
      <c r="BA94">
        <v>0.45</v>
      </c>
      <c r="BB94">
        <v>0.44</v>
      </c>
      <c r="BC94">
        <v>0.43</v>
      </c>
      <c r="BD94">
        <v>0.43</v>
      </c>
      <c r="BE94">
        <v>0.42</v>
      </c>
      <c r="BF94">
        <v>0.41</v>
      </c>
      <c r="BG94">
        <v>0.41</v>
      </c>
      <c r="BH94">
        <v>0.4</v>
      </c>
      <c r="BI94">
        <v>0.39</v>
      </c>
      <c r="BJ94">
        <v>0.39</v>
      </c>
      <c r="BK94" s="84">
        <v>0</v>
      </c>
    </row>
    <row r="95" spans="1:63">
      <c r="A95" s="122">
        <v>13</v>
      </c>
      <c r="B95" s="14">
        <v>0.79</v>
      </c>
      <c r="C95">
        <v>0.79</v>
      </c>
      <c r="D95">
        <v>0.78</v>
      </c>
      <c r="E95">
        <v>0.78</v>
      </c>
      <c r="F95" s="126">
        <v>0.77</v>
      </c>
      <c r="G95" s="126">
        <v>0.76</v>
      </c>
      <c r="H95" s="126">
        <v>0.76</v>
      </c>
      <c r="I95" s="126">
        <v>0.75</v>
      </c>
      <c r="J95" s="126">
        <v>0.74</v>
      </c>
      <c r="K95" s="126">
        <v>0.74</v>
      </c>
      <c r="L95" s="126">
        <v>0.73</v>
      </c>
      <c r="M95">
        <v>0.72</v>
      </c>
      <c r="N95">
        <v>0.72</v>
      </c>
      <c r="O95">
        <v>0.71</v>
      </c>
      <c r="P95">
        <v>0.7</v>
      </c>
      <c r="Q95">
        <v>0.7</v>
      </c>
      <c r="R95">
        <v>0.69</v>
      </c>
      <c r="S95">
        <v>0.68</v>
      </c>
      <c r="T95">
        <v>0.68</v>
      </c>
      <c r="U95">
        <v>0.67</v>
      </c>
      <c r="V95">
        <v>0.66</v>
      </c>
      <c r="W95">
        <v>0.65</v>
      </c>
      <c r="X95">
        <v>0.65</v>
      </c>
      <c r="Y95">
        <v>0.64</v>
      </c>
      <c r="Z95">
        <v>0.63</v>
      </c>
      <c r="AA95">
        <v>0.63</v>
      </c>
      <c r="AB95">
        <v>0.62</v>
      </c>
      <c r="AC95">
        <v>0.61</v>
      </c>
      <c r="AD95">
        <v>0.61</v>
      </c>
      <c r="AE95">
        <v>0.6</v>
      </c>
      <c r="AF95">
        <v>0.59</v>
      </c>
      <c r="AG95">
        <v>0.57999999999999996</v>
      </c>
      <c r="AH95">
        <v>0.57999999999999996</v>
      </c>
      <c r="AI95">
        <v>0.56999999999999995</v>
      </c>
      <c r="AJ95">
        <v>0.56000000000000005</v>
      </c>
      <c r="AK95">
        <v>0.56000000000000005</v>
      </c>
      <c r="AL95">
        <v>0.55000000000000004</v>
      </c>
      <c r="AM95">
        <v>0.54</v>
      </c>
      <c r="AN95">
        <v>0.54</v>
      </c>
      <c r="AO95">
        <v>0.53</v>
      </c>
      <c r="AP95">
        <v>0.52</v>
      </c>
      <c r="AQ95">
        <v>0.51</v>
      </c>
      <c r="AR95">
        <v>0.51</v>
      </c>
      <c r="AS95">
        <v>0.5</v>
      </c>
      <c r="AT95">
        <v>0.49</v>
      </c>
      <c r="AU95">
        <v>0.49</v>
      </c>
      <c r="AV95">
        <v>0.48</v>
      </c>
      <c r="AW95">
        <v>0.47</v>
      </c>
      <c r="AX95">
        <v>0.47</v>
      </c>
      <c r="AY95">
        <v>0.46</v>
      </c>
      <c r="AZ95">
        <v>0.45</v>
      </c>
      <c r="BA95">
        <v>0.44</v>
      </c>
      <c r="BB95">
        <v>0.44</v>
      </c>
      <c r="BC95">
        <v>0.43</v>
      </c>
      <c r="BD95">
        <v>0.42</v>
      </c>
      <c r="BE95">
        <v>0.42</v>
      </c>
      <c r="BF95">
        <v>0.41</v>
      </c>
      <c r="BG95">
        <v>0.4</v>
      </c>
      <c r="BH95">
        <v>0.4</v>
      </c>
      <c r="BI95">
        <v>0.39</v>
      </c>
      <c r="BJ95">
        <v>0.39</v>
      </c>
      <c r="BK95" s="84">
        <v>0</v>
      </c>
    </row>
    <row r="96" spans="1:63">
      <c r="A96" s="122">
        <v>14</v>
      </c>
      <c r="B96" s="14">
        <v>0.79</v>
      </c>
      <c r="C96">
        <v>0.79</v>
      </c>
      <c r="D96">
        <v>0.78</v>
      </c>
      <c r="E96">
        <v>0.78</v>
      </c>
      <c r="F96" s="126">
        <v>0.77</v>
      </c>
      <c r="G96" s="126">
        <v>0.76</v>
      </c>
      <c r="H96" s="126">
        <v>0.76</v>
      </c>
      <c r="I96" s="126">
        <v>0.75</v>
      </c>
      <c r="J96" s="126">
        <v>0.74</v>
      </c>
      <c r="K96" s="126">
        <v>0.74</v>
      </c>
      <c r="L96" s="126">
        <v>0.73</v>
      </c>
      <c r="M96">
        <v>0.72</v>
      </c>
      <c r="N96">
        <v>0.71</v>
      </c>
      <c r="O96">
        <v>0.71</v>
      </c>
      <c r="P96">
        <v>0.7</v>
      </c>
      <c r="Q96">
        <v>0.69</v>
      </c>
      <c r="R96">
        <v>0.69</v>
      </c>
      <c r="S96">
        <v>0.68</v>
      </c>
      <c r="T96">
        <v>0.67</v>
      </c>
      <c r="U96">
        <v>0.67</v>
      </c>
      <c r="V96">
        <v>0.66</v>
      </c>
      <c r="W96">
        <v>0.65</v>
      </c>
      <c r="X96">
        <v>0.65</v>
      </c>
      <c r="Y96">
        <v>0.64</v>
      </c>
      <c r="Z96">
        <v>0.63</v>
      </c>
      <c r="AA96">
        <v>0.62</v>
      </c>
      <c r="AB96">
        <v>0.62</v>
      </c>
      <c r="AC96">
        <v>0.61</v>
      </c>
      <c r="AD96">
        <v>0.6</v>
      </c>
      <c r="AE96">
        <v>0.6</v>
      </c>
      <c r="AF96">
        <v>0.59</v>
      </c>
      <c r="AG96">
        <v>0.57999999999999996</v>
      </c>
      <c r="AH96">
        <v>0.56999999999999995</v>
      </c>
      <c r="AI96">
        <v>0.56999999999999995</v>
      </c>
      <c r="AJ96">
        <v>0.56000000000000005</v>
      </c>
      <c r="AK96">
        <v>0.55000000000000004</v>
      </c>
      <c r="AL96">
        <v>0.55000000000000004</v>
      </c>
      <c r="AM96">
        <v>0.54</v>
      </c>
      <c r="AN96">
        <v>0.53</v>
      </c>
      <c r="AO96">
        <v>0.53</v>
      </c>
      <c r="AP96">
        <v>0.52</v>
      </c>
      <c r="AQ96">
        <v>0.51</v>
      </c>
      <c r="AR96">
        <v>0.5</v>
      </c>
      <c r="AS96">
        <v>0.5</v>
      </c>
      <c r="AT96">
        <v>0.49</v>
      </c>
      <c r="AU96">
        <v>0.48</v>
      </c>
      <c r="AV96">
        <v>0.48</v>
      </c>
      <c r="AW96">
        <v>0.47</v>
      </c>
      <c r="AX96">
        <v>0.46</v>
      </c>
      <c r="AY96">
        <v>0.46</v>
      </c>
      <c r="AZ96">
        <v>0.45</v>
      </c>
      <c r="BA96">
        <v>0.44</v>
      </c>
      <c r="BB96">
        <v>0.43</v>
      </c>
      <c r="BC96">
        <v>0.43</v>
      </c>
      <c r="BD96">
        <v>0.42</v>
      </c>
      <c r="BE96">
        <v>0.41</v>
      </c>
      <c r="BF96">
        <v>0.41</v>
      </c>
      <c r="BG96">
        <v>0.4</v>
      </c>
      <c r="BH96">
        <v>0.39</v>
      </c>
      <c r="BI96">
        <v>0.39</v>
      </c>
      <c r="BJ96">
        <v>0.38</v>
      </c>
      <c r="BK96" s="84">
        <v>0</v>
      </c>
    </row>
    <row r="97" spans="1:63">
      <c r="A97" s="122">
        <v>15</v>
      </c>
      <c r="B97" s="123">
        <v>0.79</v>
      </c>
      <c r="C97" s="124">
        <v>0.79</v>
      </c>
      <c r="D97" s="124">
        <v>0.78</v>
      </c>
      <c r="E97" s="124">
        <v>0.77</v>
      </c>
      <c r="F97" s="127">
        <v>0.77</v>
      </c>
      <c r="G97" s="127">
        <v>0.76</v>
      </c>
      <c r="H97" s="127">
        <v>0.75</v>
      </c>
      <c r="I97" s="127">
        <v>0.75</v>
      </c>
      <c r="J97" s="127">
        <v>0.74</v>
      </c>
      <c r="K97" s="127">
        <v>0.73</v>
      </c>
      <c r="L97" s="127">
        <v>0.73</v>
      </c>
      <c r="M97" s="124">
        <v>0.72</v>
      </c>
      <c r="N97" s="124">
        <v>0.71</v>
      </c>
      <c r="O97" s="124">
        <v>0.71</v>
      </c>
      <c r="P97" s="124">
        <v>0.7</v>
      </c>
      <c r="Q97" s="124">
        <v>0.69</v>
      </c>
      <c r="R97" s="124">
        <v>0.69</v>
      </c>
      <c r="S97" s="124">
        <v>0.68</v>
      </c>
      <c r="T97" s="124">
        <v>0.67</v>
      </c>
      <c r="U97" s="124">
        <v>0.66</v>
      </c>
      <c r="V97" s="124">
        <v>0.66</v>
      </c>
      <c r="W97" s="124">
        <v>0.65</v>
      </c>
      <c r="X97" s="124">
        <v>0.64</v>
      </c>
      <c r="Y97" s="124">
        <v>0.64</v>
      </c>
      <c r="Z97" s="124">
        <v>0.63</v>
      </c>
      <c r="AA97" s="124">
        <v>0.62</v>
      </c>
      <c r="AB97" s="124">
        <v>0.61</v>
      </c>
      <c r="AC97" s="124">
        <v>0.61</v>
      </c>
      <c r="AD97" s="124">
        <v>0.6</v>
      </c>
      <c r="AE97" s="124">
        <v>0.59</v>
      </c>
      <c r="AF97" s="124">
        <v>0.59</v>
      </c>
      <c r="AG97" s="124">
        <v>0.57999999999999996</v>
      </c>
      <c r="AH97" s="124">
        <v>0.56999999999999995</v>
      </c>
      <c r="AI97" s="124">
        <v>0.56999999999999995</v>
      </c>
      <c r="AJ97" s="124">
        <v>0.56000000000000005</v>
      </c>
      <c r="AK97" s="124">
        <v>0.55000000000000004</v>
      </c>
      <c r="AL97" s="124">
        <v>0.54</v>
      </c>
      <c r="AM97" s="124">
        <v>0.54</v>
      </c>
      <c r="AN97" s="124">
        <v>0.53</v>
      </c>
      <c r="AO97" s="124">
        <v>0.52</v>
      </c>
      <c r="AP97" s="124">
        <v>0.51</v>
      </c>
      <c r="AQ97" s="124">
        <v>0.51</v>
      </c>
      <c r="AR97" s="124">
        <v>0.5</v>
      </c>
      <c r="AS97" s="124">
        <v>0.49</v>
      </c>
      <c r="AT97" s="124">
        <v>0.49</v>
      </c>
      <c r="AU97" s="124">
        <v>0.48</v>
      </c>
      <c r="AV97" s="124">
        <v>0.47</v>
      </c>
      <c r="AW97" s="124">
        <v>0.47</v>
      </c>
      <c r="AX97" s="124">
        <v>0.46</v>
      </c>
      <c r="AY97" s="124">
        <v>0.45</v>
      </c>
      <c r="AZ97" s="124">
        <v>0.44</v>
      </c>
      <c r="BA97" s="124">
        <v>0.44</v>
      </c>
      <c r="BB97" s="124">
        <v>0.43</v>
      </c>
      <c r="BC97" s="124">
        <v>0.42</v>
      </c>
      <c r="BD97" s="124">
        <v>0.42</v>
      </c>
      <c r="BE97" s="124">
        <v>0.41</v>
      </c>
      <c r="BF97" s="124">
        <v>0.4</v>
      </c>
      <c r="BG97" s="124">
        <v>0.4</v>
      </c>
      <c r="BH97" s="124">
        <v>0.39</v>
      </c>
      <c r="BI97" s="124">
        <v>0.38</v>
      </c>
      <c r="BJ97" s="124">
        <v>0.38</v>
      </c>
      <c r="BK97" s="125">
        <v>0</v>
      </c>
    </row>
    <row r="98" spans="1:63">
      <c r="A98" s="122">
        <v>16</v>
      </c>
      <c r="B98" s="128">
        <v>0.79</v>
      </c>
      <c r="C98" s="129">
        <v>0.79</v>
      </c>
      <c r="D98" s="129">
        <v>0.78</v>
      </c>
      <c r="E98" s="129">
        <v>0.77</v>
      </c>
      <c r="F98" s="129">
        <v>0.77</v>
      </c>
      <c r="G98" s="129">
        <v>0.76</v>
      </c>
      <c r="H98" s="129">
        <v>0.75</v>
      </c>
      <c r="I98" s="129">
        <v>0.75</v>
      </c>
      <c r="J98" s="129">
        <v>0.74</v>
      </c>
      <c r="K98" s="129">
        <v>0.73</v>
      </c>
      <c r="L98" s="129">
        <v>0.72</v>
      </c>
      <c r="M98" s="120">
        <v>0.72</v>
      </c>
      <c r="N98" s="120">
        <v>0.71</v>
      </c>
      <c r="O98" s="120">
        <v>0.7</v>
      </c>
      <c r="P98" s="120">
        <v>0.7</v>
      </c>
      <c r="Q98" s="120">
        <v>0.69</v>
      </c>
      <c r="R98" s="120">
        <v>0.68</v>
      </c>
      <c r="S98" s="120">
        <v>0.68</v>
      </c>
      <c r="T98" s="120">
        <v>0.67</v>
      </c>
      <c r="U98" s="120">
        <v>0.66</v>
      </c>
      <c r="V98" s="120">
        <v>0.65</v>
      </c>
      <c r="W98" s="120">
        <v>0.65</v>
      </c>
      <c r="X98" s="120">
        <v>0.64</v>
      </c>
      <c r="Y98" s="120">
        <v>0.63</v>
      </c>
      <c r="Z98" s="120">
        <v>0.63</v>
      </c>
      <c r="AA98" s="120">
        <v>0.62</v>
      </c>
      <c r="AB98" s="120">
        <v>0.61</v>
      </c>
      <c r="AC98" s="120">
        <v>0.61</v>
      </c>
      <c r="AD98" s="120">
        <v>0.6</v>
      </c>
      <c r="AE98" s="120">
        <v>0.59</v>
      </c>
      <c r="AF98" s="120">
        <v>0.57999999999999996</v>
      </c>
      <c r="AG98" s="120">
        <v>0.57999999999999996</v>
      </c>
      <c r="AH98" s="120">
        <v>0.56999999999999995</v>
      </c>
      <c r="AI98" s="120">
        <v>0.56000000000000005</v>
      </c>
      <c r="AJ98" s="120">
        <v>0.55000000000000004</v>
      </c>
      <c r="AK98" s="120">
        <v>0.55000000000000004</v>
      </c>
      <c r="AL98" s="120">
        <v>0.54</v>
      </c>
      <c r="AM98" s="120">
        <v>0.53</v>
      </c>
      <c r="AN98" s="120">
        <v>0.53</v>
      </c>
      <c r="AO98" s="120">
        <v>0.52</v>
      </c>
      <c r="AP98" s="120">
        <v>0.51</v>
      </c>
      <c r="AQ98" s="120">
        <v>0.5</v>
      </c>
      <c r="AR98" s="120">
        <v>0.5</v>
      </c>
      <c r="AS98" s="120">
        <v>0.49</v>
      </c>
      <c r="AT98" s="120">
        <v>0.48</v>
      </c>
      <c r="AU98" s="120">
        <v>0.48</v>
      </c>
      <c r="AV98" s="120">
        <v>0.47</v>
      </c>
      <c r="AW98" s="120">
        <v>0.46</v>
      </c>
      <c r="AX98" s="120">
        <v>0.45</v>
      </c>
      <c r="AY98" s="120">
        <v>0.45</v>
      </c>
      <c r="AZ98" s="120">
        <v>0.44</v>
      </c>
      <c r="BA98" s="120">
        <v>0.43</v>
      </c>
      <c r="BB98" s="120">
        <v>0.43</v>
      </c>
      <c r="BC98" s="120">
        <v>0.42</v>
      </c>
      <c r="BD98" s="120">
        <v>0.41</v>
      </c>
      <c r="BE98" s="120">
        <v>0.41</v>
      </c>
      <c r="BF98" s="120">
        <v>0.4</v>
      </c>
      <c r="BG98" s="120">
        <v>0.39</v>
      </c>
      <c r="BH98" s="120">
        <v>0.39</v>
      </c>
      <c r="BI98" s="120">
        <v>0.38</v>
      </c>
      <c r="BJ98" s="120">
        <v>0.37</v>
      </c>
      <c r="BK98" s="121">
        <v>0</v>
      </c>
    </row>
    <row r="99" spans="1:63">
      <c r="A99" s="122">
        <v>17</v>
      </c>
      <c r="B99" s="116">
        <v>0.79</v>
      </c>
      <c r="C99" s="126">
        <v>0.79</v>
      </c>
      <c r="D99" s="126">
        <v>0.78</v>
      </c>
      <c r="E99" s="126">
        <v>0.77</v>
      </c>
      <c r="F99" s="126">
        <v>0.76</v>
      </c>
      <c r="G99" s="126">
        <v>0.76</v>
      </c>
      <c r="H99" s="126">
        <v>0.75</v>
      </c>
      <c r="I99" s="126">
        <v>0.74</v>
      </c>
      <c r="J99" s="126">
        <v>0.74</v>
      </c>
      <c r="K99" s="126">
        <v>0.73</v>
      </c>
      <c r="L99" s="126">
        <v>0.72</v>
      </c>
      <c r="M99">
        <v>0.72</v>
      </c>
      <c r="N99">
        <v>0.71</v>
      </c>
      <c r="O99">
        <v>0.7</v>
      </c>
      <c r="P99">
        <v>0.69</v>
      </c>
      <c r="Q99">
        <v>0.69</v>
      </c>
      <c r="R99">
        <v>0.68</v>
      </c>
      <c r="S99">
        <v>0.67</v>
      </c>
      <c r="T99">
        <v>0.67</v>
      </c>
      <c r="U99">
        <v>0.66</v>
      </c>
      <c r="V99">
        <v>0.65</v>
      </c>
      <c r="W99">
        <v>0.65</v>
      </c>
      <c r="X99">
        <v>0.64</v>
      </c>
      <c r="Y99">
        <v>0.63</v>
      </c>
      <c r="Z99">
        <v>0.62</v>
      </c>
      <c r="AA99">
        <v>0.62</v>
      </c>
      <c r="AB99">
        <v>0.61</v>
      </c>
      <c r="AC99">
        <v>0.6</v>
      </c>
      <c r="AD99">
        <v>0.59</v>
      </c>
      <c r="AE99">
        <v>0.59</v>
      </c>
      <c r="AF99">
        <v>0.57999999999999996</v>
      </c>
      <c r="AG99">
        <v>0.56999999999999995</v>
      </c>
      <c r="AH99">
        <v>0.56999999999999995</v>
      </c>
      <c r="AI99">
        <v>0.56000000000000005</v>
      </c>
      <c r="AJ99">
        <v>0.55000000000000004</v>
      </c>
      <c r="AK99">
        <v>0.54</v>
      </c>
      <c r="AL99">
        <v>0.54</v>
      </c>
      <c r="AM99">
        <v>0.53</v>
      </c>
      <c r="AN99">
        <v>0.52</v>
      </c>
      <c r="AO99">
        <v>0.51</v>
      </c>
      <c r="AP99">
        <v>0.51</v>
      </c>
      <c r="AQ99">
        <v>0.5</v>
      </c>
      <c r="AR99">
        <v>0.49</v>
      </c>
      <c r="AS99">
        <v>0.49</v>
      </c>
      <c r="AT99">
        <v>0.48</v>
      </c>
      <c r="AU99">
        <v>0.47</v>
      </c>
      <c r="AV99">
        <v>0.46</v>
      </c>
      <c r="AW99">
        <v>0.46</v>
      </c>
      <c r="AX99">
        <v>0.45</v>
      </c>
      <c r="AY99">
        <v>0.44</v>
      </c>
      <c r="AZ99">
        <v>0.44</v>
      </c>
      <c r="BA99">
        <v>0.43</v>
      </c>
      <c r="BB99">
        <v>0.42</v>
      </c>
      <c r="BC99">
        <v>0.42</v>
      </c>
      <c r="BD99">
        <v>0.41</v>
      </c>
      <c r="BE99">
        <v>0.4</v>
      </c>
      <c r="BF99">
        <v>0.4</v>
      </c>
      <c r="BG99">
        <v>0.39</v>
      </c>
      <c r="BH99">
        <v>0.38</v>
      </c>
      <c r="BI99">
        <v>0.38</v>
      </c>
      <c r="BJ99">
        <v>0.37</v>
      </c>
      <c r="BK99" s="84">
        <v>0</v>
      </c>
    </row>
    <row r="100" spans="1:63">
      <c r="A100" s="122">
        <v>18</v>
      </c>
      <c r="B100" s="116">
        <v>0.78</v>
      </c>
      <c r="C100" s="126">
        <v>0.78</v>
      </c>
      <c r="D100" s="126">
        <v>0.78</v>
      </c>
      <c r="E100" s="126">
        <v>0.77</v>
      </c>
      <c r="F100" s="126">
        <v>0.76</v>
      </c>
      <c r="G100" s="126">
        <v>0.76</v>
      </c>
      <c r="H100" s="126">
        <v>0.75</v>
      </c>
      <c r="I100" s="126">
        <v>0.74</v>
      </c>
      <c r="J100" s="126">
        <v>0.73</v>
      </c>
      <c r="K100" s="126">
        <v>0.73</v>
      </c>
      <c r="L100" s="126">
        <v>0.72</v>
      </c>
      <c r="M100">
        <v>0.71</v>
      </c>
      <c r="N100">
        <v>0.71</v>
      </c>
      <c r="O100">
        <v>0.7</v>
      </c>
      <c r="P100">
        <v>0.69</v>
      </c>
      <c r="Q100">
        <v>0.69</v>
      </c>
      <c r="R100">
        <v>0.68</v>
      </c>
      <c r="S100">
        <v>0.67</v>
      </c>
      <c r="T100">
        <v>0.66</v>
      </c>
      <c r="U100">
        <v>0.66</v>
      </c>
      <c r="V100">
        <v>0.65</v>
      </c>
      <c r="W100">
        <v>0.64</v>
      </c>
      <c r="X100">
        <v>0.64</v>
      </c>
      <c r="Y100">
        <v>0.63</v>
      </c>
      <c r="Z100">
        <v>0.62</v>
      </c>
      <c r="AA100">
        <v>0.61</v>
      </c>
      <c r="AB100">
        <v>0.61</v>
      </c>
      <c r="AC100">
        <v>0.6</v>
      </c>
      <c r="AD100">
        <v>0.59</v>
      </c>
      <c r="AE100">
        <v>0.57999999999999996</v>
      </c>
      <c r="AF100">
        <v>0.57999999999999996</v>
      </c>
      <c r="AG100">
        <v>0.56999999999999995</v>
      </c>
      <c r="AH100">
        <v>0.56000000000000005</v>
      </c>
      <c r="AI100">
        <v>0.56000000000000005</v>
      </c>
      <c r="AJ100">
        <v>0.55000000000000004</v>
      </c>
      <c r="AK100">
        <v>0.54</v>
      </c>
      <c r="AL100">
        <v>0.53</v>
      </c>
      <c r="AM100">
        <v>0.53</v>
      </c>
      <c r="AN100">
        <v>0.52</v>
      </c>
      <c r="AO100">
        <v>0.51</v>
      </c>
      <c r="AP100">
        <v>0.5</v>
      </c>
      <c r="AQ100">
        <v>0.5</v>
      </c>
      <c r="AR100">
        <v>0.49</v>
      </c>
      <c r="AS100">
        <v>0.48</v>
      </c>
      <c r="AT100">
        <v>0.47</v>
      </c>
      <c r="AU100">
        <v>0.47</v>
      </c>
      <c r="AV100">
        <v>0.46</v>
      </c>
      <c r="AW100">
        <v>0.45</v>
      </c>
      <c r="AX100">
        <v>0.45</v>
      </c>
      <c r="AY100">
        <v>0.44</v>
      </c>
      <c r="AZ100">
        <v>0.43</v>
      </c>
      <c r="BA100">
        <v>0.42</v>
      </c>
      <c r="BB100">
        <v>0.42</v>
      </c>
      <c r="BC100">
        <v>0.41</v>
      </c>
      <c r="BD100">
        <v>0.4</v>
      </c>
      <c r="BE100">
        <v>0.4</v>
      </c>
      <c r="BF100">
        <v>0.39</v>
      </c>
      <c r="BG100">
        <v>0.38</v>
      </c>
      <c r="BH100">
        <v>0.38</v>
      </c>
      <c r="BI100">
        <v>0.37</v>
      </c>
      <c r="BJ100">
        <v>0.36</v>
      </c>
      <c r="BK100" s="84">
        <v>0</v>
      </c>
    </row>
    <row r="101" spans="1:63">
      <c r="A101" s="122">
        <v>19</v>
      </c>
      <c r="B101" s="116">
        <v>0.78</v>
      </c>
      <c r="C101" s="126">
        <v>0.78</v>
      </c>
      <c r="D101" s="126">
        <v>0.77</v>
      </c>
      <c r="E101" s="126">
        <v>0.77</v>
      </c>
      <c r="F101" s="126">
        <v>0.76</v>
      </c>
      <c r="G101" s="126">
        <v>0.75</v>
      </c>
      <c r="H101" s="126">
        <v>0.75</v>
      </c>
      <c r="I101" s="126">
        <v>0.74</v>
      </c>
      <c r="J101" s="126">
        <v>0.73</v>
      </c>
      <c r="K101" s="126">
        <v>0.73</v>
      </c>
      <c r="L101" s="126">
        <v>0.72</v>
      </c>
      <c r="M101">
        <v>0.71</v>
      </c>
      <c r="N101">
        <v>0.7</v>
      </c>
      <c r="O101">
        <v>0.7</v>
      </c>
      <c r="P101">
        <v>0.69</v>
      </c>
      <c r="Q101">
        <v>0.68</v>
      </c>
      <c r="R101">
        <v>0.68</v>
      </c>
      <c r="S101">
        <v>0.67</v>
      </c>
      <c r="T101">
        <v>0.66</v>
      </c>
      <c r="U101">
        <v>0.65</v>
      </c>
      <c r="V101">
        <v>0.65</v>
      </c>
      <c r="W101">
        <v>0.64</v>
      </c>
      <c r="X101">
        <v>0.63</v>
      </c>
      <c r="Y101">
        <v>0.62</v>
      </c>
      <c r="Z101">
        <v>0.62</v>
      </c>
      <c r="AA101">
        <v>0.61</v>
      </c>
      <c r="AB101">
        <v>0.6</v>
      </c>
      <c r="AC101">
        <v>0.6</v>
      </c>
      <c r="AD101">
        <v>0.59</v>
      </c>
      <c r="AE101">
        <v>0.57999999999999996</v>
      </c>
      <c r="AF101">
        <v>0.56999999999999995</v>
      </c>
      <c r="AG101">
        <v>0.56999999999999995</v>
      </c>
      <c r="AH101">
        <v>0.56000000000000005</v>
      </c>
      <c r="AI101">
        <v>0.55000000000000004</v>
      </c>
      <c r="AJ101">
        <v>0.54</v>
      </c>
      <c r="AK101">
        <v>0.54</v>
      </c>
      <c r="AL101">
        <v>0.53</v>
      </c>
      <c r="AM101">
        <v>0.52</v>
      </c>
      <c r="AN101">
        <v>0.51</v>
      </c>
      <c r="AO101">
        <v>0.51</v>
      </c>
      <c r="AP101">
        <v>0.5</v>
      </c>
      <c r="AQ101">
        <v>0.49</v>
      </c>
      <c r="AR101">
        <v>0.48</v>
      </c>
      <c r="AS101">
        <v>0.48</v>
      </c>
      <c r="AT101">
        <v>0.47</v>
      </c>
      <c r="AU101">
        <v>0.46</v>
      </c>
      <c r="AV101">
        <v>0.45</v>
      </c>
      <c r="AW101">
        <v>0.45</v>
      </c>
      <c r="AX101">
        <v>0.44</v>
      </c>
      <c r="AY101">
        <v>0.43</v>
      </c>
      <c r="AZ101">
        <v>0.43</v>
      </c>
      <c r="BA101">
        <v>0.42</v>
      </c>
      <c r="BB101">
        <v>0.41</v>
      </c>
      <c r="BC101">
        <v>0.41</v>
      </c>
      <c r="BD101">
        <v>0.4</v>
      </c>
      <c r="BE101">
        <v>0.39</v>
      </c>
      <c r="BF101">
        <v>0.39</v>
      </c>
      <c r="BG101">
        <v>0.38</v>
      </c>
      <c r="BH101">
        <v>0.37</v>
      </c>
      <c r="BI101">
        <v>0.37</v>
      </c>
      <c r="BJ101">
        <v>0.36</v>
      </c>
      <c r="BK101" s="84">
        <v>0</v>
      </c>
    </row>
    <row r="102" spans="1:63">
      <c r="A102" s="122">
        <v>20</v>
      </c>
      <c r="B102" s="130">
        <v>0.78</v>
      </c>
      <c r="C102" s="127">
        <v>0.78</v>
      </c>
      <c r="D102" s="127">
        <v>0.77</v>
      </c>
      <c r="E102" s="127">
        <v>0.77</v>
      </c>
      <c r="F102" s="127">
        <v>0.76</v>
      </c>
      <c r="G102" s="127">
        <v>0.75</v>
      </c>
      <c r="H102" s="127">
        <v>0.74</v>
      </c>
      <c r="I102" s="127">
        <v>0.74</v>
      </c>
      <c r="J102" s="127">
        <v>0.73</v>
      </c>
      <c r="K102" s="127">
        <v>0.72</v>
      </c>
      <c r="L102" s="127">
        <v>0.72</v>
      </c>
      <c r="M102" s="124">
        <v>0.71</v>
      </c>
      <c r="N102" s="124">
        <v>0.7</v>
      </c>
      <c r="O102" s="124">
        <v>0.69</v>
      </c>
      <c r="P102" s="124">
        <v>0.69</v>
      </c>
      <c r="Q102" s="124">
        <v>0.68</v>
      </c>
      <c r="R102" s="124">
        <v>0.67</v>
      </c>
      <c r="S102" s="124">
        <v>0.67</v>
      </c>
      <c r="T102" s="124">
        <v>0.66</v>
      </c>
      <c r="U102" s="124">
        <v>0.65</v>
      </c>
      <c r="V102" s="124">
        <v>0.64</v>
      </c>
      <c r="W102" s="124">
        <v>0.64</v>
      </c>
      <c r="X102" s="124">
        <v>0.63</v>
      </c>
      <c r="Y102" s="124">
        <v>0.62</v>
      </c>
      <c r="Z102" s="124">
        <v>0.61</v>
      </c>
      <c r="AA102" s="124">
        <v>0.61</v>
      </c>
      <c r="AB102" s="124">
        <v>0.6</v>
      </c>
      <c r="AC102" s="124">
        <v>0.59</v>
      </c>
      <c r="AD102" s="124">
        <v>0.57999999999999996</v>
      </c>
      <c r="AE102" s="124">
        <v>0.57999999999999996</v>
      </c>
      <c r="AF102" s="124">
        <v>0.56999999999999995</v>
      </c>
      <c r="AG102" s="124">
        <v>0.56000000000000005</v>
      </c>
      <c r="AH102" s="124">
        <v>0.55000000000000004</v>
      </c>
      <c r="AI102" s="124">
        <v>0.55000000000000004</v>
      </c>
      <c r="AJ102" s="124">
        <v>0.54</v>
      </c>
      <c r="AK102" s="124">
        <v>0.53</v>
      </c>
      <c r="AL102" s="124">
        <v>0.52</v>
      </c>
      <c r="AM102" s="124">
        <v>0.52</v>
      </c>
      <c r="AN102" s="124">
        <v>0.51</v>
      </c>
      <c r="AO102" s="124">
        <v>0.5</v>
      </c>
      <c r="AP102" s="124">
        <v>0.49</v>
      </c>
      <c r="AQ102" s="124">
        <v>0.49</v>
      </c>
      <c r="AR102" s="124">
        <v>0.48</v>
      </c>
      <c r="AS102" s="124">
        <v>0.47</v>
      </c>
      <c r="AT102" s="124">
        <v>0.46</v>
      </c>
      <c r="AU102" s="124">
        <v>0.46</v>
      </c>
      <c r="AV102" s="124">
        <v>0.45</v>
      </c>
      <c r="AW102" s="124">
        <v>0.44</v>
      </c>
      <c r="AX102" s="124">
        <v>0.43</v>
      </c>
      <c r="AY102" s="124">
        <v>0.43</v>
      </c>
      <c r="AZ102" s="124">
        <v>0.42</v>
      </c>
      <c r="BA102" s="124">
        <v>0.41</v>
      </c>
      <c r="BB102" s="124">
        <v>0.41</v>
      </c>
      <c r="BC102" s="124">
        <v>0.4</v>
      </c>
      <c r="BD102" s="124">
        <v>0.39</v>
      </c>
      <c r="BE102" s="124">
        <v>0.39</v>
      </c>
      <c r="BF102" s="124">
        <v>0.38</v>
      </c>
      <c r="BG102" s="124">
        <v>0.37</v>
      </c>
      <c r="BH102" s="124">
        <v>0.37</v>
      </c>
      <c r="BI102" s="124">
        <v>0.36</v>
      </c>
      <c r="BJ102" s="124">
        <v>0.35</v>
      </c>
      <c r="BK102" s="125">
        <v>0</v>
      </c>
    </row>
    <row r="103" spans="1:63">
      <c r="A103" s="122">
        <v>21</v>
      </c>
      <c r="B103" s="128">
        <v>0.78</v>
      </c>
      <c r="C103" s="129">
        <v>0.78</v>
      </c>
      <c r="D103" s="129">
        <v>0.77</v>
      </c>
      <c r="E103" s="129">
        <v>0.76</v>
      </c>
      <c r="F103" s="129">
        <v>0.76</v>
      </c>
      <c r="G103" s="129">
        <v>0.75</v>
      </c>
      <c r="H103" s="129">
        <v>0.74</v>
      </c>
      <c r="I103" s="129">
        <v>0.73</v>
      </c>
      <c r="J103" s="129">
        <v>0.73</v>
      </c>
      <c r="K103" s="129">
        <v>0.72</v>
      </c>
      <c r="L103" s="129">
        <v>0.71</v>
      </c>
      <c r="M103" s="120">
        <v>0.71</v>
      </c>
      <c r="N103" s="120">
        <v>0.7</v>
      </c>
      <c r="O103" s="120">
        <v>0.69</v>
      </c>
      <c r="P103" s="120">
        <v>0.68</v>
      </c>
      <c r="Q103" s="120">
        <v>0.68</v>
      </c>
      <c r="R103" s="120">
        <v>0.67</v>
      </c>
      <c r="S103" s="120">
        <v>0.66</v>
      </c>
      <c r="T103" s="120">
        <v>0.66</v>
      </c>
      <c r="U103" s="120">
        <v>0.65</v>
      </c>
      <c r="V103" s="120">
        <v>0.64</v>
      </c>
      <c r="W103" s="120">
        <v>0.63</v>
      </c>
      <c r="X103" s="120">
        <v>0.63</v>
      </c>
      <c r="Y103" s="120">
        <v>0.62</v>
      </c>
      <c r="Z103" s="120">
        <v>0.61</v>
      </c>
      <c r="AA103" s="120">
        <v>0.6</v>
      </c>
      <c r="AB103" s="120">
        <v>0.6</v>
      </c>
      <c r="AC103" s="120">
        <v>0.59</v>
      </c>
      <c r="AD103" s="120">
        <v>0.57999999999999996</v>
      </c>
      <c r="AE103" s="120">
        <v>0.56999999999999995</v>
      </c>
      <c r="AF103" s="120">
        <v>0.56999999999999995</v>
      </c>
      <c r="AG103" s="120">
        <v>0.56000000000000005</v>
      </c>
      <c r="AH103" s="120">
        <v>0.55000000000000004</v>
      </c>
      <c r="AI103" s="120">
        <v>0.54</v>
      </c>
      <c r="AJ103" s="120">
        <v>0.54</v>
      </c>
      <c r="AK103" s="120">
        <v>0.53</v>
      </c>
      <c r="AL103" s="120">
        <v>0.52</v>
      </c>
      <c r="AM103" s="120">
        <v>0.51</v>
      </c>
      <c r="AN103" s="120">
        <v>0.5</v>
      </c>
      <c r="AO103" s="120">
        <v>0.5</v>
      </c>
      <c r="AP103" s="120">
        <v>0.49</v>
      </c>
      <c r="AQ103" s="120">
        <v>0.48</v>
      </c>
      <c r="AR103" s="120">
        <v>0.47</v>
      </c>
      <c r="AS103" s="120">
        <v>0.47</v>
      </c>
      <c r="AT103" s="120">
        <v>0.46</v>
      </c>
      <c r="AU103" s="120">
        <v>0.45</v>
      </c>
      <c r="AV103" s="120">
        <v>0.44</v>
      </c>
      <c r="AW103" s="120">
        <v>0.44</v>
      </c>
      <c r="AX103" s="120">
        <v>0.43</v>
      </c>
      <c r="AY103" s="120">
        <v>0.42</v>
      </c>
      <c r="AZ103" s="120">
        <v>0.41</v>
      </c>
      <c r="BA103" s="120">
        <v>0.41</v>
      </c>
      <c r="BB103" s="120">
        <v>0.4</v>
      </c>
      <c r="BC103" s="120">
        <v>0.39</v>
      </c>
      <c r="BD103" s="120">
        <v>0.39</v>
      </c>
      <c r="BE103" s="120">
        <v>0.38</v>
      </c>
      <c r="BF103" s="120">
        <v>0.37</v>
      </c>
      <c r="BG103" s="120">
        <v>0.37</v>
      </c>
      <c r="BH103" s="120">
        <v>0.36</v>
      </c>
      <c r="BI103" s="120">
        <v>0.35</v>
      </c>
      <c r="BJ103" s="120">
        <v>0.35</v>
      </c>
      <c r="BK103" s="121">
        <v>0</v>
      </c>
    </row>
    <row r="104" spans="1:63">
      <c r="A104" s="122">
        <v>22</v>
      </c>
      <c r="B104" s="116">
        <v>0.77</v>
      </c>
      <c r="C104" s="126">
        <v>0.77</v>
      </c>
      <c r="D104" s="126">
        <v>0.77</v>
      </c>
      <c r="E104" s="126">
        <v>0.76</v>
      </c>
      <c r="F104" s="126">
        <v>0.75</v>
      </c>
      <c r="G104" s="126">
        <v>0.75</v>
      </c>
      <c r="H104" s="126">
        <v>0.74</v>
      </c>
      <c r="I104" s="126">
        <v>0.73</v>
      </c>
      <c r="J104" s="126">
        <v>0.72</v>
      </c>
      <c r="K104" s="126">
        <v>0.72</v>
      </c>
      <c r="L104" s="126">
        <v>0.71</v>
      </c>
      <c r="M104">
        <v>0.7</v>
      </c>
      <c r="N104">
        <v>0.7</v>
      </c>
      <c r="O104">
        <v>0.69</v>
      </c>
      <c r="P104">
        <v>0.68</v>
      </c>
      <c r="Q104">
        <v>0.67</v>
      </c>
      <c r="R104">
        <v>0.67</v>
      </c>
      <c r="S104">
        <v>0.66</v>
      </c>
      <c r="T104">
        <v>0.65</v>
      </c>
      <c r="U104">
        <v>0.64</v>
      </c>
      <c r="V104">
        <v>0.64</v>
      </c>
      <c r="W104">
        <v>0.63</v>
      </c>
      <c r="X104">
        <v>0.62</v>
      </c>
      <c r="Y104">
        <v>0.61</v>
      </c>
      <c r="Z104">
        <v>0.61</v>
      </c>
      <c r="AA104">
        <v>0.6</v>
      </c>
      <c r="AB104">
        <v>0.59</v>
      </c>
      <c r="AC104">
        <v>0.57999999999999996</v>
      </c>
      <c r="AD104">
        <v>0.57999999999999996</v>
      </c>
      <c r="AE104">
        <v>0.56999999999999995</v>
      </c>
      <c r="AF104">
        <v>0.56000000000000005</v>
      </c>
      <c r="AG104">
        <v>0.55000000000000004</v>
      </c>
      <c r="AH104">
        <v>0.55000000000000004</v>
      </c>
      <c r="AI104">
        <v>0.54</v>
      </c>
      <c r="AJ104">
        <v>0.53</v>
      </c>
      <c r="AK104">
        <v>0.52</v>
      </c>
      <c r="AL104">
        <v>0.52</v>
      </c>
      <c r="AM104">
        <v>0.51</v>
      </c>
      <c r="AN104">
        <v>0.5</v>
      </c>
      <c r="AO104">
        <v>0.49</v>
      </c>
      <c r="AP104">
        <v>0.48</v>
      </c>
      <c r="AQ104">
        <v>0.48</v>
      </c>
      <c r="AR104">
        <v>0.47</v>
      </c>
      <c r="AS104">
        <v>0.46</v>
      </c>
      <c r="AT104">
        <v>0.45</v>
      </c>
      <c r="AU104">
        <v>0.45</v>
      </c>
      <c r="AV104">
        <v>0.44</v>
      </c>
      <c r="AW104">
        <v>0.43</v>
      </c>
      <c r="AX104">
        <v>0.42</v>
      </c>
      <c r="AY104">
        <v>0.42</v>
      </c>
      <c r="AZ104">
        <v>0.41</v>
      </c>
      <c r="BA104">
        <v>0.4</v>
      </c>
      <c r="BB104">
        <v>0.39</v>
      </c>
      <c r="BC104">
        <v>0.39</v>
      </c>
      <c r="BD104">
        <v>0.38</v>
      </c>
      <c r="BE104">
        <v>0.37</v>
      </c>
      <c r="BF104">
        <v>0.37</v>
      </c>
      <c r="BG104">
        <v>0.36</v>
      </c>
      <c r="BH104">
        <v>0.35</v>
      </c>
      <c r="BI104">
        <v>0.35</v>
      </c>
      <c r="BJ104">
        <v>0.34</v>
      </c>
      <c r="BK104" s="84">
        <v>0</v>
      </c>
    </row>
    <row r="105" spans="1:63">
      <c r="A105" s="122">
        <v>23</v>
      </c>
      <c r="B105" s="116">
        <v>0.77</v>
      </c>
      <c r="C105" s="126">
        <v>0.77</v>
      </c>
      <c r="D105" s="126">
        <v>0.76</v>
      </c>
      <c r="E105" s="126">
        <v>0.76</v>
      </c>
      <c r="F105" s="126">
        <v>0.75</v>
      </c>
      <c r="G105" s="126">
        <v>0.74</v>
      </c>
      <c r="H105" s="126">
        <v>0.74</v>
      </c>
      <c r="I105" s="126">
        <v>0.73</v>
      </c>
      <c r="J105" s="126">
        <v>0.72</v>
      </c>
      <c r="K105" s="126">
        <v>0.71</v>
      </c>
      <c r="L105" s="126">
        <v>0.71</v>
      </c>
      <c r="M105">
        <v>0.7</v>
      </c>
      <c r="N105">
        <v>0.69</v>
      </c>
      <c r="O105">
        <v>0.69</v>
      </c>
      <c r="P105">
        <v>0.67</v>
      </c>
      <c r="Q105">
        <v>0.67</v>
      </c>
      <c r="R105">
        <v>0.66</v>
      </c>
      <c r="S105">
        <v>0.66</v>
      </c>
      <c r="T105">
        <v>0.65</v>
      </c>
      <c r="U105">
        <v>0.64</v>
      </c>
      <c r="V105">
        <v>0.63</v>
      </c>
      <c r="W105">
        <v>0.63</v>
      </c>
      <c r="X105">
        <v>0.62</v>
      </c>
      <c r="Y105">
        <v>0.61</v>
      </c>
      <c r="Z105">
        <v>0.6</v>
      </c>
      <c r="AA105">
        <v>0.6</v>
      </c>
      <c r="AB105">
        <v>0.59</v>
      </c>
      <c r="AC105">
        <v>0.57999999999999996</v>
      </c>
      <c r="AD105">
        <v>0.56999999999999995</v>
      </c>
      <c r="AE105">
        <v>0.56000000000000005</v>
      </c>
      <c r="AF105">
        <v>0.56000000000000005</v>
      </c>
      <c r="AG105">
        <v>0.55000000000000004</v>
      </c>
      <c r="AH105">
        <v>0.54</v>
      </c>
      <c r="AI105">
        <v>0.53</v>
      </c>
      <c r="AJ105">
        <v>0.53</v>
      </c>
      <c r="AK105">
        <v>0.52</v>
      </c>
      <c r="AL105">
        <v>0.51</v>
      </c>
      <c r="AM105">
        <v>0.5</v>
      </c>
      <c r="AN105">
        <v>0.49</v>
      </c>
      <c r="AO105">
        <v>0.49</v>
      </c>
      <c r="AP105">
        <v>0.48</v>
      </c>
      <c r="AQ105">
        <v>0.47</v>
      </c>
      <c r="AR105">
        <v>0.46</v>
      </c>
      <c r="AS105">
        <v>0.46</v>
      </c>
      <c r="AT105">
        <v>0.45</v>
      </c>
      <c r="AU105">
        <v>0.44</v>
      </c>
      <c r="AV105">
        <v>0.43</v>
      </c>
      <c r="AW105">
        <v>0.42</v>
      </c>
      <c r="AX105">
        <v>0.42</v>
      </c>
      <c r="AY105">
        <v>0.41</v>
      </c>
      <c r="AZ105">
        <v>0.4</v>
      </c>
      <c r="BA105">
        <v>0.4</v>
      </c>
      <c r="BB105">
        <v>0.39</v>
      </c>
      <c r="BC105">
        <v>0.38</v>
      </c>
      <c r="BD105">
        <v>0.37</v>
      </c>
      <c r="BE105">
        <v>0.37</v>
      </c>
      <c r="BF105">
        <v>0.36</v>
      </c>
      <c r="BG105">
        <v>0.35</v>
      </c>
      <c r="BH105">
        <v>0.35</v>
      </c>
      <c r="BI105">
        <v>0.34</v>
      </c>
      <c r="BJ105">
        <v>0.34</v>
      </c>
      <c r="BK105" s="84">
        <v>0</v>
      </c>
    </row>
    <row r="106" spans="1:63">
      <c r="A106" s="122">
        <v>24</v>
      </c>
      <c r="B106" s="116">
        <v>0.77</v>
      </c>
      <c r="C106" s="126">
        <v>0.77</v>
      </c>
      <c r="D106" s="126">
        <v>0.76</v>
      </c>
      <c r="E106" s="126">
        <v>0.75</v>
      </c>
      <c r="F106" s="126">
        <v>0.75</v>
      </c>
      <c r="G106" s="126">
        <v>0.74</v>
      </c>
      <c r="H106" s="126">
        <v>0.73</v>
      </c>
      <c r="I106" s="126">
        <v>0.73</v>
      </c>
      <c r="J106" s="126">
        <v>0.72</v>
      </c>
      <c r="K106" s="126">
        <v>0.71</v>
      </c>
      <c r="L106" s="126">
        <v>0.7</v>
      </c>
      <c r="M106">
        <v>0.7</v>
      </c>
      <c r="N106">
        <v>0.69</v>
      </c>
      <c r="O106">
        <v>0.68</v>
      </c>
      <c r="P106">
        <v>0.67</v>
      </c>
      <c r="Q106">
        <v>0.67</v>
      </c>
      <c r="R106">
        <v>0.66</v>
      </c>
      <c r="S106">
        <v>0.65</v>
      </c>
      <c r="T106">
        <v>0.64</v>
      </c>
      <c r="U106">
        <v>0.64</v>
      </c>
      <c r="V106">
        <v>0.63</v>
      </c>
      <c r="W106">
        <v>0.62</v>
      </c>
      <c r="X106">
        <v>0.61</v>
      </c>
      <c r="Y106">
        <v>0.61</v>
      </c>
      <c r="Z106">
        <v>0.6</v>
      </c>
      <c r="AA106">
        <v>0.59</v>
      </c>
      <c r="AB106">
        <v>0.57999999999999996</v>
      </c>
      <c r="AC106">
        <v>0.57999999999999996</v>
      </c>
      <c r="AD106">
        <v>0.56999999999999995</v>
      </c>
      <c r="AE106">
        <v>0.56000000000000005</v>
      </c>
      <c r="AF106">
        <v>0.55000000000000004</v>
      </c>
      <c r="AG106">
        <v>0.54</v>
      </c>
      <c r="AH106">
        <v>0.54</v>
      </c>
      <c r="AI106">
        <v>0.53</v>
      </c>
      <c r="AJ106">
        <v>0.52</v>
      </c>
      <c r="AK106">
        <v>0.51</v>
      </c>
      <c r="AL106">
        <v>0.5</v>
      </c>
      <c r="AM106">
        <v>0.5</v>
      </c>
      <c r="AN106">
        <v>0.49</v>
      </c>
      <c r="AO106">
        <v>0.48</v>
      </c>
      <c r="AP106">
        <v>0.47</v>
      </c>
      <c r="AQ106">
        <v>0.46</v>
      </c>
      <c r="AR106">
        <v>0.46</v>
      </c>
      <c r="AS106">
        <v>0.45</v>
      </c>
      <c r="AT106">
        <v>0.44</v>
      </c>
      <c r="AU106">
        <v>0.43</v>
      </c>
      <c r="AV106">
        <v>0.43</v>
      </c>
      <c r="AW106">
        <v>0.42</v>
      </c>
      <c r="AX106">
        <v>0.41</v>
      </c>
      <c r="AY106">
        <v>0.4</v>
      </c>
      <c r="AZ106">
        <v>0.4</v>
      </c>
      <c r="BA106">
        <v>0.39</v>
      </c>
      <c r="BB106">
        <v>0.38</v>
      </c>
      <c r="BC106">
        <v>0.37</v>
      </c>
      <c r="BD106">
        <v>0.37</v>
      </c>
      <c r="BE106">
        <v>0.36</v>
      </c>
      <c r="BF106">
        <v>0.35</v>
      </c>
      <c r="BG106">
        <v>0.35</v>
      </c>
      <c r="BH106">
        <v>0.34</v>
      </c>
      <c r="BI106">
        <v>0.34</v>
      </c>
      <c r="BJ106">
        <v>0.33</v>
      </c>
      <c r="BK106" s="84">
        <v>0</v>
      </c>
    </row>
    <row r="107" spans="1:63">
      <c r="A107" s="122">
        <v>25</v>
      </c>
      <c r="B107" s="130">
        <v>0.77</v>
      </c>
      <c r="C107" s="127">
        <v>0.77</v>
      </c>
      <c r="D107" s="127">
        <v>0.76</v>
      </c>
      <c r="E107" s="127">
        <v>0.75</v>
      </c>
      <c r="F107" s="127">
        <v>0.74</v>
      </c>
      <c r="G107" s="127">
        <v>0.74</v>
      </c>
      <c r="H107" s="127">
        <v>0.73</v>
      </c>
      <c r="I107" s="127">
        <v>0.72</v>
      </c>
      <c r="J107" s="127">
        <v>0.72</v>
      </c>
      <c r="K107" s="127">
        <v>0.71</v>
      </c>
      <c r="L107" s="127">
        <v>0.7</v>
      </c>
      <c r="M107" s="124">
        <v>0.69</v>
      </c>
      <c r="N107" s="124">
        <v>0.68</v>
      </c>
      <c r="O107" s="124">
        <v>0.68</v>
      </c>
      <c r="P107" s="124">
        <v>0.67</v>
      </c>
      <c r="Q107" s="124">
        <v>0.66</v>
      </c>
      <c r="R107" s="124">
        <v>0.66</v>
      </c>
      <c r="S107" s="124">
        <v>0.65</v>
      </c>
      <c r="T107" s="124">
        <v>0.64</v>
      </c>
      <c r="U107" s="124">
        <v>0.63</v>
      </c>
      <c r="V107" s="124">
        <v>0.63</v>
      </c>
      <c r="W107" s="124">
        <v>0.62</v>
      </c>
      <c r="X107" s="124">
        <v>0.61</v>
      </c>
      <c r="Y107" s="124">
        <v>0.6</v>
      </c>
      <c r="Z107" s="124">
        <v>0.59</v>
      </c>
      <c r="AA107" s="124">
        <v>0.59</v>
      </c>
      <c r="AB107" s="124">
        <v>0.57999999999999996</v>
      </c>
      <c r="AC107" s="124">
        <v>0.56999999999999995</v>
      </c>
      <c r="AD107" s="124">
        <v>0.56000000000000005</v>
      </c>
      <c r="AE107" s="124">
        <v>0.56000000000000005</v>
      </c>
      <c r="AF107" s="124">
        <v>0.55000000000000004</v>
      </c>
      <c r="AG107" s="124">
        <v>0.54</v>
      </c>
      <c r="AH107" s="124">
        <v>0.53</v>
      </c>
      <c r="AI107" s="124">
        <v>0.52</v>
      </c>
      <c r="AJ107" s="124">
        <v>0.51</v>
      </c>
      <c r="AK107" s="124">
        <v>0.51</v>
      </c>
      <c r="AL107" s="124">
        <v>0.5</v>
      </c>
      <c r="AM107" s="124">
        <v>0.49</v>
      </c>
      <c r="AN107" s="124">
        <v>0.48</v>
      </c>
      <c r="AO107" s="124">
        <v>0.47</v>
      </c>
      <c r="AP107" s="124">
        <v>0.47</v>
      </c>
      <c r="AQ107" s="124">
        <v>0.46</v>
      </c>
      <c r="AR107" s="124">
        <v>0.45</v>
      </c>
      <c r="AS107" s="124">
        <v>0.44</v>
      </c>
      <c r="AT107" s="124">
        <v>0.43</v>
      </c>
      <c r="AU107" s="124">
        <v>0.43</v>
      </c>
      <c r="AV107" s="124">
        <v>0.42</v>
      </c>
      <c r="AW107" s="124">
        <v>0.41</v>
      </c>
      <c r="AX107" s="124">
        <v>0.4</v>
      </c>
      <c r="AY107" s="124">
        <v>0.4</v>
      </c>
      <c r="AZ107" s="124">
        <v>0.39</v>
      </c>
      <c r="BA107" s="124">
        <v>0.38</v>
      </c>
      <c r="BB107" s="124">
        <v>0.37</v>
      </c>
      <c r="BC107" s="124">
        <v>0.37</v>
      </c>
      <c r="BD107" s="124">
        <v>0.36</v>
      </c>
      <c r="BE107" s="124">
        <v>0.35</v>
      </c>
      <c r="BF107" s="124">
        <v>0.35</v>
      </c>
      <c r="BG107" s="124">
        <v>0.34</v>
      </c>
      <c r="BH107" s="124">
        <v>0.33</v>
      </c>
      <c r="BI107" s="124">
        <v>0.33</v>
      </c>
      <c r="BJ107" s="124">
        <v>0.33</v>
      </c>
      <c r="BK107" s="125">
        <v>0</v>
      </c>
    </row>
    <row r="108" spans="1:63">
      <c r="A108" s="122">
        <v>26</v>
      </c>
      <c r="B108" s="128">
        <v>0.76</v>
      </c>
      <c r="C108" s="129">
        <v>0.76</v>
      </c>
      <c r="D108" s="129">
        <v>0.76</v>
      </c>
      <c r="E108" s="129">
        <v>0.75</v>
      </c>
      <c r="F108" s="129">
        <v>0.74</v>
      </c>
      <c r="G108" s="129">
        <v>0.73</v>
      </c>
      <c r="H108" s="129">
        <v>0.73</v>
      </c>
      <c r="I108" s="129">
        <v>0.72</v>
      </c>
      <c r="J108" s="129">
        <v>0.71</v>
      </c>
      <c r="K108" s="129">
        <v>0.7</v>
      </c>
      <c r="L108" s="129">
        <v>0.7</v>
      </c>
      <c r="M108" s="120">
        <v>0.69</v>
      </c>
      <c r="N108" s="120">
        <v>0.68</v>
      </c>
      <c r="O108" s="120">
        <v>0.67</v>
      </c>
      <c r="P108" s="120">
        <v>0.67</v>
      </c>
      <c r="Q108" s="120">
        <v>0.66</v>
      </c>
      <c r="R108" s="120">
        <v>0.65</v>
      </c>
      <c r="S108" s="120">
        <v>0.64</v>
      </c>
      <c r="T108" s="120">
        <v>0.64</v>
      </c>
      <c r="U108" s="120">
        <v>0.63</v>
      </c>
      <c r="V108" s="120">
        <v>0.62</v>
      </c>
      <c r="W108" s="120">
        <v>0.61</v>
      </c>
      <c r="X108" s="120">
        <v>0.61</v>
      </c>
      <c r="Y108" s="120">
        <v>0.6</v>
      </c>
      <c r="Z108" s="120">
        <v>0.59</v>
      </c>
      <c r="AA108" s="120">
        <v>0.57999999999999996</v>
      </c>
      <c r="AB108" s="120">
        <v>0.56999999999999995</v>
      </c>
      <c r="AC108" s="120">
        <v>0.56999999999999995</v>
      </c>
      <c r="AD108" s="120">
        <v>0.56000000000000005</v>
      </c>
      <c r="AE108" s="120">
        <v>0.55000000000000004</v>
      </c>
      <c r="AF108" s="120">
        <v>0.54</v>
      </c>
      <c r="AG108" s="120">
        <v>0.53</v>
      </c>
      <c r="AH108" s="120">
        <v>0.53</v>
      </c>
      <c r="AI108" s="120">
        <v>0.52</v>
      </c>
      <c r="AJ108" s="120">
        <v>0.51</v>
      </c>
      <c r="AK108" s="120">
        <v>0.5</v>
      </c>
      <c r="AL108" s="120">
        <v>0.49</v>
      </c>
      <c r="AM108" s="120">
        <v>0.48</v>
      </c>
      <c r="AN108" s="120">
        <v>0.48</v>
      </c>
      <c r="AO108" s="120">
        <v>0.47</v>
      </c>
      <c r="AP108" s="120">
        <v>0.46</v>
      </c>
      <c r="AQ108" s="120">
        <v>0.45</v>
      </c>
      <c r="AR108" s="120">
        <v>0.44</v>
      </c>
      <c r="AS108" s="120">
        <v>0.44</v>
      </c>
      <c r="AT108" s="120">
        <v>0.43</v>
      </c>
      <c r="AU108" s="120">
        <v>0.42</v>
      </c>
      <c r="AV108" s="120">
        <v>0.41</v>
      </c>
      <c r="AW108" s="120">
        <v>0.4</v>
      </c>
      <c r="AX108" s="120">
        <v>0.4</v>
      </c>
      <c r="AY108" s="120">
        <v>0.39</v>
      </c>
      <c r="AZ108" s="120">
        <v>0.38</v>
      </c>
      <c r="BA108" s="120">
        <v>0.37</v>
      </c>
      <c r="BB108" s="120">
        <v>0.37</v>
      </c>
      <c r="BC108" s="120">
        <v>0.36</v>
      </c>
      <c r="BD108" s="120">
        <v>0.35</v>
      </c>
      <c r="BE108" s="120">
        <v>0.35</v>
      </c>
      <c r="BF108" s="120">
        <v>0.34</v>
      </c>
      <c r="BG108" s="120">
        <v>0.33</v>
      </c>
      <c r="BH108" s="120">
        <v>0.33</v>
      </c>
      <c r="BI108" s="120">
        <v>0.33</v>
      </c>
      <c r="BJ108" s="120">
        <v>0.32</v>
      </c>
      <c r="BK108" s="121">
        <v>0</v>
      </c>
    </row>
    <row r="109" spans="1:63">
      <c r="A109" s="122">
        <v>27</v>
      </c>
      <c r="B109" s="116">
        <v>0.76</v>
      </c>
      <c r="C109" s="126">
        <v>0.76</v>
      </c>
      <c r="D109" s="126">
        <v>0.75</v>
      </c>
      <c r="E109" s="126">
        <v>0.75</v>
      </c>
      <c r="F109" s="126">
        <v>0.74</v>
      </c>
      <c r="G109" s="126">
        <v>0.73</v>
      </c>
      <c r="H109" s="126">
        <v>0.72</v>
      </c>
      <c r="I109" s="126">
        <v>0.72</v>
      </c>
      <c r="J109" s="126">
        <v>0.71</v>
      </c>
      <c r="K109" s="126">
        <v>0.7</v>
      </c>
      <c r="L109" s="126">
        <v>0.69</v>
      </c>
      <c r="M109">
        <v>0.69</v>
      </c>
      <c r="N109">
        <v>0.68</v>
      </c>
      <c r="O109">
        <v>0.67</v>
      </c>
      <c r="P109">
        <v>0.66</v>
      </c>
      <c r="Q109">
        <v>0.66</v>
      </c>
      <c r="R109">
        <v>0.65</v>
      </c>
      <c r="S109">
        <v>0.64</v>
      </c>
      <c r="T109">
        <v>0.63</v>
      </c>
      <c r="U109">
        <v>0.62</v>
      </c>
      <c r="V109">
        <v>0.62</v>
      </c>
      <c r="W109">
        <v>0.61</v>
      </c>
      <c r="X109">
        <v>0.6</v>
      </c>
      <c r="Y109">
        <v>0.59</v>
      </c>
      <c r="Z109">
        <v>0.57999999999999996</v>
      </c>
      <c r="AA109">
        <v>0.57999999999999996</v>
      </c>
      <c r="AB109">
        <v>0.56999999999999995</v>
      </c>
      <c r="AC109">
        <v>0.56000000000000005</v>
      </c>
      <c r="AD109">
        <v>0.55000000000000004</v>
      </c>
      <c r="AE109">
        <v>0.54</v>
      </c>
      <c r="AF109">
        <v>0.54</v>
      </c>
      <c r="AG109">
        <v>0.53</v>
      </c>
      <c r="AH109">
        <v>0.52</v>
      </c>
      <c r="AI109">
        <v>0.51</v>
      </c>
      <c r="AJ109">
        <v>0.5</v>
      </c>
      <c r="AK109">
        <v>0.49</v>
      </c>
      <c r="AL109">
        <v>0.49</v>
      </c>
      <c r="AM109">
        <v>0.48</v>
      </c>
      <c r="AN109">
        <v>0.47</v>
      </c>
      <c r="AO109">
        <v>0.46</v>
      </c>
      <c r="AP109">
        <v>0.45</v>
      </c>
      <c r="AQ109">
        <v>0.44</v>
      </c>
      <c r="AR109">
        <v>0.44</v>
      </c>
      <c r="AS109">
        <v>0.43</v>
      </c>
      <c r="AT109">
        <v>0.42</v>
      </c>
      <c r="AU109">
        <v>0.41</v>
      </c>
      <c r="AV109">
        <v>0.4</v>
      </c>
      <c r="AW109">
        <v>0.4</v>
      </c>
      <c r="AX109">
        <v>0.39</v>
      </c>
      <c r="AY109">
        <v>0.38</v>
      </c>
      <c r="AZ109">
        <v>0.37</v>
      </c>
      <c r="BA109">
        <v>0.37</v>
      </c>
      <c r="BB109">
        <v>0.36</v>
      </c>
      <c r="BC109">
        <v>0.35</v>
      </c>
      <c r="BD109">
        <v>0.34</v>
      </c>
      <c r="BE109">
        <v>0.34</v>
      </c>
      <c r="BF109">
        <v>0.33</v>
      </c>
      <c r="BG109">
        <v>0.33</v>
      </c>
      <c r="BH109">
        <v>0.32</v>
      </c>
      <c r="BI109">
        <v>0.32</v>
      </c>
      <c r="BJ109">
        <v>0.32</v>
      </c>
      <c r="BK109" s="84">
        <v>0</v>
      </c>
    </row>
    <row r="110" spans="1:63">
      <c r="A110" s="122">
        <v>28</v>
      </c>
      <c r="B110" s="116">
        <v>0.76</v>
      </c>
      <c r="C110" s="126">
        <v>0.76</v>
      </c>
      <c r="D110" s="126">
        <v>0.75</v>
      </c>
      <c r="E110" s="126">
        <v>0.74</v>
      </c>
      <c r="F110" s="126">
        <v>0.73</v>
      </c>
      <c r="G110" s="126">
        <v>0.73</v>
      </c>
      <c r="H110" s="126">
        <v>0.72</v>
      </c>
      <c r="I110" s="126">
        <v>0.71</v>
      </c>
      <c r="J110" s="126">
        <v>0.7</v>
      </c>
      <c r="K110" s="126">
        <v>0.7</v>
      </c>
      <c r="L110" s="126">
        <v>0.69</v>
      </c>
      <c r="M110">
        <v>0.68</v>
      </c>
      <c r="N110">
        <v>0.67</v>
      </c>
      <c r="O110">
        <v>0.67</v>
      </c>
      <c r="P110">
        <v>0.66</v>
      </c>
      <c r="Q110">
        <v>0.65</v>
      </c>
      <c r="R110">
        <v>0.64</v>
      </c>
      <c r="S110">
        <v>0.64</v>
      </c>
      <c r="T110">
        <v>0.63</v>
      </c>
      <c r="U110">
        <v>0.62</v>
      </c>
      <c r="V110">
        <v>0.61</v>
      </c>
      <c r="W110">
        <v>0.6</v>
      </c>
      <c r="X110">
        <v>0.6</v>
      </c>
      <c r="Y110">
        <v>0.59</v>
      </c>
      <c r="Z110">
        <v>0.57999999999999996</v>
      </c>
      <c r="AA110">
        <v>0.56999999999999995</v>
      </c>
      <c r="AB110">
        <v>0.56000000000000005</v>
      </c>
      <c r="AC110">
        <v>0.56000000000000005</v>
      </c>
      <c r="AD110">
        <v>0.55000000000000004</v>
      </c>
      <c r="AE110">
        <v>0.54</v>
      </c>
      <c r="AF110">
        <v>0.53</v>
      </c>
      <c r="AG110">
        <v>0.52</v>
      </c>
      <c r="AH110">
        <v>0.51</v>
      </c>
      <c r="AI110">
        <v>0.5</v>
      </c>
      <c r="AJ110">
        <v>0.5</v>
      </c>
      <c r="AK110">
        <v>0.49</v>
      </c>
      <c r="AL110">
        <v>0.48</v>
      </c>
      <c r="AM110">
        <v>0.47</v>
      </c>
      <c r="AN110">
        <v>0.46</v>
      </c>
      <c r="AO110">
        <v>0.45</v>
      </c>
      <c r="AP110">
        <v>0.45</v>
      </c>
      <c r="AQ110">
        <v>0.44</v>
      </c>
      <c r="AR110">
        <v>0.43</v>
      </c>
      <c r="AS110">
        <v>0.42</v>
      </c>
      <c r="AT110">
        <v>0.41</v>
      </c>
      <c r="AU110">
        <v>0.4</v>
      </c>
      <c r="AV110">
        <v>0.4</v>
      </c>
      <c r="AW110">
        <v>0.39</v>
      </c>
      <c r="AX110">
        <v>0.38</v>
      </c>
      <c r="AY110">
        <v>0.37</v>
      </c>
      <c r="AZ110">
        <v>0.36</v>
      </c>
      <c r="BA110">
        <v>0.36</v>
      </c>
      <c r="BB110">
        <v>0.35</v>
      </c>
      <c r="BC110">
        <v>0.34</v>
      </c>
      <c r="BD110">
        <v>0.34</v>
      </c>
      <c r="BE110">
        <v>0.33</v>
      </c>
      <c r="BF110">
        <v>0.32</v>
      </c>
      <c r="BG110">
        <v>0.32</v>
      </c>
      <c r="BH110">
        <v>0.32</v>
      </c>
      <c r="BI110">
        <v>0.32</v>
      </c>
      <c r="BJ110">
        <v>0.31</v>
      </c>
      <c r="BK110" s="84">
        <v>0</v>
      </c>
    </row>
    <row r="111" spans="1:63">
      <c r="A111" s="122">
        <v>29</v>
      </c>
      <c r="B111" s="116">
        <v>0.75</v>
      </c>
      <c r="C111" s="126">
        <v>0.75</v>
      </c>
      <c r="D111" s="126">
        <v>0.75</v>
      </c>
      <c r="E111" s="126">
        <v>0.74</v>
      </c>
      <c r="F111" s="126">
        <v>0.73</v>
      </c>
      <c r="G111" s="126">
        <v>0.72</v>
      </c>
      <c r="H111" s="126">
        <v>0.72</v>
      </c>
      <c r="I111" s="126">
        <v>0.71</v>
      </c>
      <c r="J111" s="126">
        <v>0.7</v>
      </c>
      <c r="K111" s="126">
        <v>0.69</v>
      </c>
      <c r="L111" s="126">
        <v>0.69</v>
      </c>
      <c r="M111">
        <v>0.68</v>
      </c>
      <c r="N111">
        <v>0.67</v>
      </c>
      <c r="O111">
        <v>0.66</v>
      </c>
      <c r="P111">
        <v>0.65</v>
      </c>
      <c r="Q111">
        <v>0.65</v>
      </c>
      <c r="R111">
        <v>0.64</v>
      </c>
      <c r="S111">
        <v>0.63</v>
      </c>
      <c r="T111">
        <v>0.62</v>
      </c>
      <c r="U111">
        <v>0.61</v>
      </c>
      <c r="V111">
        <v>0.61</v>
      </c>
      <c r="W111">
        <v>0.6</v>
      </c>
      <c r="X111">
        <v>0.59</v>
      </c>
      <c r="Y111">
        <v>0.57999999999999996</v>
      </c>
      <c r="Z111">
        <v>0.56999999999999995</v>
      </c>
      <c r="AA111">
        <v>0.56999999999999995</v>
      </c>
      <c r="AB111">
        <v>0.56000000000000005</v>
      </c>
      <c r="AC111">
        <v>0.55000000000000004</v>
      </c>
      <c r="AD111">
        <v>0.54</v>
      </c>
      <c r="AE111">
        <v>0.53</v>
      </c>
      <c r="AF111">
        <v>0.52</v>
      </c>
      <c r="AG111">
        <v>0.52</v>
      </c>
      <c r="AH111">
        <v>0.51</v>
      </c>
      <c r="AI111">
        <v>0.5</v>
      </c>
      <c r="AJ111">
        <v>0.49</v>
      </c>
      <c r="AK111">
        <v>0.48</v>
      </c>
      <c r="AL111">
        <v>0.47</v>
      </c>
      <c r="AM111">
        <v>0.46</v>
      </c>
      <c r="AN111">
        <v>0.45</v>
      </c>
      <c r="AO111">
        <v>0.45</v>
      </c>
      <c r="AP111">
        <v>0.44</v>
      </c>
      <c r="AQ111">
        <v>0.43</v>
      </c>
      <c r="AR111">
        <v>0.42</v>
      </c>
      <c r="AS111">
        <v>0.41</v>
      </c>
      <c r="AT111">
        <v>0.4</v>
      </c>
      <c r="AU111">
        <v>0.4</v>
      </c>
      <c r="AV111">
        <v>0.39</v>
      </c>
      <c r="AW111">
        <v>0.38</v>
      </c>
      <c r="AX111">
        <v>0.37</v>
      </c>
      <c r="AY111">
        <v>0.36</v>
      </c>
      <c r="AZ111">
        <v>0.36</v>
      </c>
      <c r="BA111">
        <v>0.35</v>
      </c>
      <c r="BB111">
        <v>0.34</v>
      </c>
      <c r="BC111">
        <v>0.33</v>
      </c>
      <c r="BD111">
        <v>0.33</v>
      </c>
      <c r="BE111">
        <v>0.32</v>
      </c>
      <c r="BF111">
        <v>0.32</v>
      </c>
      <c r="BG111">
        <v>0.31</v>
      </c>
      <c r="BH111">
        <v>0.31</v>
      </c>
      <c r="BI111">
        <v>0.31</v>
      </c>
      <c r="BJ111">
        <v>0.31</v>
      </c>
      <c r="BK111" s="84">
        <v>0</v>
      </c>
    </row>
    <row r="112" spans="1:63">
      <c r="A112" s="122">
        <v>30</v>
      </c>
      <c r="B112" s="130">
        <v>0.75</v>
      </c>
      <c r="C112" s="127">
        <v>0.75</v>
      </c>
      <c r="D112" s="127">
        <v>0.74</v>
      </c>
      <c r="E112" s="127">
        <v>0.73</v>
      </c>
      <c r="F112" s="127">
        <v>0.73</v>
      </c>
      <c r="G112" s="127">
        <v>0.72</v>
      </c>
      <c r="H112" s="127">
        <v>0.71</v>
      </c>
      <c r="I112" s="127">
        <v>0.7</v>
      </c>
      <c r="J112" s="127">
        <v>0.7</v>
      </c>
      <c r="K112" s="127">
        <v>0.69</v>
      </c>
      <c r="L112" s="127">
        <v>0.68</v>
      </c>
      <c r="M112" s="124">
        <v>0.67</v>
      </c>
      <c r="N112" s="124">
        <v>0.67</v>
      </c>
      <c r="O112" s="124">
        <v>0.66</v>
      </c>
      <c r="P112" s="124">
        <v>0.65</v>
      </c>
      <c r="Q112" s="124">
        <v>0.64</v>
      </c>
      <c r="R112" s="124">
        <v>0.63</v>
      </c>
      <c r="S112" s="124">
        <v>0.63</v>
      </c>
      <c r="T112" s="124">
        <v>0.62</v>
      </c>
      <c r="U112" s="124">
        <v>0.61</v>
      </c>
      <c r="V112" s="124">
        <v>0.6</v>
      </c>
      <c r="W112" s="124">
        <v>0.59</v>
      </c>
      <c r="X112" s="124">
        <v>0.59</v>
      </c>
      <c r="Y112" s="124">
        <v>0.57999999999999996</v>
      </c>
      <c r="Z112" s="124">
        <v>0.56999999999999995</v>
      </c>
      <c r="AA112" s="124">
        <v>0.56000000000000005</v>
      </c>
      <c r="AB112" s="124">
        <v>0.55000000000000004</v>
      </c>
      <c r="AC112" s="124">
        <v>0.54</v>
      </c>
      <c r="AD112" s="124">
        <v>0.53</v>
      </c>
      <c r="AE112" s="124">
        <v>0.53</v>
      </c>
      <c r="AF112" s="124">
        <v>0.52</v>
      </c>
      <c r="AG112" s="124">
        <v>0.51</v>
      </c>
      <c r="AH112" s="124">
        <v>0.5</v>
      </c>
      <c r="AI112" s="124">
        <v>0.49</v>
      </c>
      <c r="AJ112" s="124">
        <v>0.48</v>
      </c>
      <c r="AK112" s="124">
        <v>0.47</v>
      </c>
      <c r="AL112" s="124">
        <v>0.46</v>
      </c>
      <c r="AM112" s="124">
        <v>0.46</v>
      </c>
      <c r="AN112" s="124">
        <v>0.45</v>
      </c>
      <c r="AO112" s="124">
        <v>0.44</v>
      </c>
      <c r="AP112" s="124">
        <v>0.43</v>
      </c>
      <c r="AQ112" s="124">
        <v>0.42</v>
      </c>
      <c r="AR112" s="124">
        <v>0.41</v>
      </c>
      <c r="AS112" s="124">
        <v>0.4</v>
      </c>
      <c r="AT112" s="124">
        <v>0.39</v>
      </c>
      <c r="AU112" s="124">
        <v>0.39</v>
      </c>
      <c r="AV112" s="124">
        <v>0.38</v>
      </c>
      <c r="AW112" s="124">
        <v>0.37</v>
      </c>
      <c r="AX112" s="124">
        <v>0.36</v>
      </c>
      <c r="AY112" s="124">
        <v>0.35</v>
      </c>
      <c r="AZ112" s="124">
        <v>0.35</v>
      </c>
      <c r="BA112" s="124">
        <v>0.34</v>
      </c>
      <c r="BB112" s="124">
        <v>0.33</v>
      </c>
      <c r="BC112" s="124">
        <v>0.32</v>
      </c>
      <c r="BD112" s="124">
        <v>0.32</v>
      </c>
      <c r="BE112" s="124">
        <v>0.31</v>
      </c>
      <c r="BF112" s="124">
        <v>0.31</v>
      </c>
      <c r="BG112" s="124">
        <v>0.31</v>
      </c>
      <c r="BH112" s="124">
        <v>0.31</v>
      </c>
      <c r="BI112" s="124">
        <v>0.31</v>
      </c>
      <c r="BJ112" s="124">
        <v>0.3</v>
      </c>
      <c r="BK112" s="125">
        <v>0</v>
      </c>
    </row>
    <row r="113" spans="1:63">
      <c r="A113" s="122">
        <v>31</v>
      </c>
      <c r="B113" s="128">
        <v>0.75</v>
      </c>
      <c r="C113" s="129">
        <v>0.75</v>
      </c>
      <c r="D113" s="129">
        <v>0.74</v>
      </c>
      <c r="E113" s="129">
        <v>0.73</v>
      </c>
      <c r="F113" s="129">
        <v>0.72</v>
      </c>
      <c r="G113" s="129">
        <v>0.72</v>
      </c>
      <c r="H113" s="129">
        <v>0.71</v>
      </c>
      <c r="I113" s="129">
        <v>0.7</v>
      </c>
      <c r="J113" s="129">
        <v>0.69</v>
      </c>
      <c r="K113" s="120">
        <v>0.69</v>
      </c>
      <c r="L113" s="129">
        <v>0.68</v>
      </c>
      <c r="M113" s="120">
        <v>0.67</v>
      </c>
      <c r="N113" s="120">
        <v>0.66</v>
      </c>
      <c r="O113" s="120">
        <v>0.65</v>
      </c>
      <c r="P113" s="120">
        <v>0.64</v>
      </c>
      <c r="Q113" s="120">
        <v>0.64</v>
      </c>
      <c r="R113" s="120">
        <v>0.63</v>
      </c>
      <c r="S113" s="120">
        <v>0.62</v>
      </c>
      <c r="T113" s="120">
        <v>0.61</v>
      </c>
      <c r="U113" s="120">
        <v>0.6</v>
      </c>
      <c r="V113" s="120">
        <v>0.6</v>
      </c>
      <c r="W113" s="120">
        <v>0.59</v>
      </c>
      <c r="X113" s="120">
        <v>0.57999999999999996</v>
      </c>
      <c r="Y113" s="120">
        <v>0.56999999999999995</v>
      </c>
      <c r="Z113" s="120">
        <v>0.56000000000000005</v>
      </c>
      <c r="AA113" s="120">
        <v>0.55000000000000004</v>
      </c>
      <c r="AB113" s="120">
        <v>0.55000000000000004</v>
      </c>
      <c r="AC113" s="120">
        <v>0.54</v>
      </c>
      <c r="AD113" s="120">
        <v>0.53</v>
      </c>
      <c r="AE113" s="120">
        <v>0.52</v>
      </c>
      <c r="AF113" s="120">
        <v>0.51</v>
      </c>
      <c r="AG113" s="120">
        <v>0.5</v>
      </c>
      <c r="AH113" s="120">
        <v>0.49</v>
      </c>
      <c r="AI113" s="120">
        <v>0.48</v>
      </c>
      <c r="AJ113" s="120">
        <v>0.47</v>
      </c>
      <c r="AK113" s="120">
        <v>0.47</v>
      </c>
      <c r="AL113" s="120">
        <v>0.46</v>
      </c>
      <c r="AM113" s="120">
        <v>0.45</v>
      </c>
      <c r="AN113" s="120">
        <v>0.44</v>
      </c>
      <c r="AO113" s="120">
        <v>0.43</v>
      </c>
      <c r="AP113" s="120">
        <v>0.42</v>
      </c>
      <c r="AQ113" s="120">
        <v>0.41</v>
      </c>
      <c r="AR113" s="120">
        <v>0.4</v>
      </c>
      <c r="AS113" s="120">
        <v>0.39</v>
      </c>
      <c r="AT113" s="120">
        <v>0.39</v>
      </c>
      <c r="AU113" s="120">
        <v>0.38</v>
      </c>
      <c r="AV113" s="120">
        <v>0.37</v>
      </c>
      <c r="AW113" s="120">
        <v>0.36</v>
      </c>
      <c r="AX113" s="120">
        <v>0.35</v>
      </c>
      <c r="AY113" s="120">
        <v>0.34</v>
      </c>
      <c r="AZ113" s="120">
        <v>0.34</v>
      </c>
      <c r="BA113" s="120">
        <v>0.33</v>
      </c>
      <c r="BB113" s="120">
        <v>0.32</v>
      </c>
      <c r="BC113" s="120">
        <v>0.31</v>
      </c>
      <c r="BD113" s="120">
        <v>0.31</v>
      </c>
      <c r="BE113" s="120">
        <v>0.3</v>
      </c>
      <c r="BF113" s="120">
        <v>0.3</v>
      </c>
      <c r="BG113" s="120">
        <v>0.3</v>
      </c>
      <c r="BH113" s="120">
        <v>0.3</v>
      </c>
      <c r="BI113" s="120">
        <v>0.3</v>
      </c>
      <c r="BJ113" s="120">
        <v>0.3</v>
      </c>
      <c r="BK113" s="121">
        <v>0</v>
      </c>
    </row>
    <row r="114" spans="1:63">
      <c r="A114" s="122">
        <v>32</v>
      </c>
      <c r="B114" s="116">
        <v>0.74</v>
      </c>
      <c r="C114" s="126">
        <v>0.74</v>
      </c>
      <c r="D114" s="126">
        <v>0.73</v>
      </c>
      <c r="E114" s="126">
        <v>0.73</v>
      </c>
      <c r="F114" s="126">
        <v>0.72</v>
      </c>
      <c r="G114" s="126">
        <v>0.71</v>
      </c>
      <c r="H114" s="126">
        <v>0.7</v>
      </c>
      <c r="I114" s="126">
        <v>0.7</v>
      </c>
      <c r="J114" s="126">
        <v>0.69</v>
      </c>
      <c r="K114" s="126">
        <v>0.69</v>
      </c>
      <c r="L114" s="126">
        <v>0.67</v>
      </c>
      <c r="M114">
        <v>0.66</v>
      </c>
      <c r="N114">
        <v>0.66</v>
      </c>
      <c r="O114">
        <v>0.65</v>
      </c>
      <c r="P114">
        <v>0.64</v>
      </c>
      <c r="Q114">
        <v>0.63</v>
      </c>
      <c r="R114">
        <v>0.62</v>
      </c>
      <c r="S114">
        <v>0.62</v>
      </c>
      <c r="T114">
        <v>0.61</v>
      </c>
      <c r="U114">
        <v>0.6</v>
      </c>
      <c r="V114">
        <v>0.59</v>
      </c>
      <c r="W114">
        <v>0.57999999999999996</v>
      </c>
      <c r="X114">
        <v>0.56999999999999995</v>
      </c>
      <c r="Y114">
        <v>0.56000000000000005</v>
      </c>
      <c r="Z114">
        <v>0.56000000000000005</v>
      </c>
      <c r="AA114">
        <v>0.55000000000000004</v>
      </c>
      <c r="AB114">
        <v>0.54</v>
      </c>
      <c r="AC114">
        <v>0.53</v>
      </c>
      <c r="AD114">
        <v>0.52</v>
      </c>
      <c r="AE114">
        <v>0.51</v>
      </c>
      <c r="AF114">
        <v>0.5</v>
      </c>
      <c r="AG114">
        <v>0.49</v>
      </c>
      <c r="AH114">
        <v>0.48</v>
      </c>
      <c r="AI114">
        <v>0.48</v>
      </c>
      <c r="AJ114">
        <v>0.47</v>
      </c>
      <c r="AK114">
        <v>0.46</v>
      </c>
      <c r="AL114">
        <v>0.45</v>
      </c>
      <c r="AM114">
        <v>0.44</v>
      </c>
      <c r="AN114">
        <v>0.43</v>
      </c>
      <c r="AO114">
        <v>0.42</v>
      </c>
      <c r="AP114">
        <v>0.41</v>
      </c>
      <c r="AQ114">
        <v>0.4</v>
      </c>
      <c r="AR114">
        <v>0.39</v>
      </c>
      <c r="AS114">
        <v>0.38</v>
      </c>
      <c r="AT114">
        <v>0.38</v>
      </c>
      <c r="AU114">
        <v>0.37</v>
      </c>
      <c r="AV114">
        <v>0.36</v>
      </c>
      <c r="AW114">
        <v>0.35</v>
      </c>
      <c r="AX114">
        <v>0.34</v>
      </c>
      <c r="AY114">
        <v>0.33</v>
      </c>
      <c r="AZ114">
        <v>0.33</v>
      </c>
      <c r="BA114">
        <v>0.32</v>
      </c>
      <c r="BB114">
        <v>0.31</v>
      </c>
      <c r="BC114">
        <v>0.3</v>
      </c>
      <c r="BD114">
        <v>0.3</v>
      </c>
      <c r="BE114">
        <v>0.28999999999999998</v>
      </c>
      <c r="BF114">
        <v>0.28999999999999998</v>
      </c>
      <c r="BG114">
        <v>0.28000000000000003</v>
      </c>
      <c r="BH114">
        <v>0.28000000000000003</v>
      </c>
      <c r="BI114">
        <v>0.28000000000000003</v>
      </c>
      <c r="BJ114">
        <v>0.27</v>
      </c>
      <c r="BK114" s="84">
        <v>0</v>
      </c>
    </row>
    <row r="115" spans="1:63">
      <c r="A115" s="122">
        <v>33</v>
      </c>
      <c r="B115" s="116">
        <v>0.74</v>
      </c>
      <c r="C115" s="126">
        <v>0.74</v>
      </c>
      <c r="D115" s="126">
        <v>0.73</v>
      </c>
      <c r="E115" s="126">
        <v>0.72</v>
      </c>
      <c r="F115" s="126">
        <v>0.71</v>
      </c>
      <c r="G115" s="126">
        <v>0.71</v>
      </c>
      <c r="H115" s="126">
        <v>0.7</v>
      </c>
      <c r="I115" s="126">
        <v>0.69</v>
      </c>
      <c r="J115" s="126">
        <v>0.68</v>
      </c>
      <c r="K115" s="126">
        <v>0.68</v>
      </c>
      <c r="L115" s="126">
        <v>0.67</v>
      </c>
      <c r="M115">
        <v>0.66</v>
      </c>
      <c r="N115">
        <v>0.65</v>
      </c>
      <c r="O115">
        <v>0.64</v>
      </c>
      <c r="P115">
        <v>0.63</v>
      </c>
      <c r="Q115">
        <v>0.63</v>
      </c>
      <c r="R115">
        <v>0.62</v>
      </c>
      <c r="S115">
        <v>0.61</v>
      </c>
      <c r="T115">
        <v>0.6</v>
      </c>
      <c r="U115">
        <v>0.59</v>
      </c>
      <c r="V115">
        <v>0.57999999999999996</v>
      </c>
      <c r="W115">
        <v>0.57999999999999996</v>
      </c>
      <c r="X115">
        <v>0.56999999999999995</v>
      </c>
      <c r="Y115">
        <v>0.56000000000000005</v>
      </c>
      <c r="Z115">
        <v>0.55000000000000004</v>
      </c>
      <c r="AA115">
        <v>0.54</v>
      </c>
      <c r="AB115">
        <v>0.53</v>
      </c>
      <c r="AC115">
        <v>0.52</v>
      </c>
      <c r="AD115">
        <v>0.51</v>
      </c>
      <c r="AE115">
        <v>0.5</v>
      </c>
      <c r="AF115">
        <v>0.5</v>
      </c>
      <c r="AG115">
        <v>0.49</v>
      </c>
      <c r="AH115">
        <v>0.48</v>
      </c>
      <c r="AI115">
        <v>0.47</v>
      </c>
      <c r="AJ115">
        <v>0.46</v>
      </c>
      <c r="AK115">
        <v>0.45</v>
      </c>
      <c r="AL115">
        <v>0.44</v>
      </c>
      <c r="AM115">
        <v>0.43</v>
      </c>
      <c r="AN115">
        <v>0.42</v>
      </c>
      <c r="AO115">
        <v>0.41</v>
      </c>
      <c r="AP115">
        <v>0.4</v>
      </c>
      <c r="AQ115">
        <v>0.39</v>
      </c>
      <c r="AR115">
        <v>0.38</v>
      </c>
      <c r="AS115">
        <v>0.37</v>
      </c>
      <c r="AT115">
        <v>0.37</v>
      </c>
      <c r="AU115">
        <v>0.36</v>
      </c>
      <c r="AV115">
        <v>0.35</v>
      </c>
      <c r="AW115">
        <v>0.34</v>
      </c>
      <c r="AX115">
        <v>0.33</v>
      </c>
      <c r="AY115">
        <v>0.32</v>
      </c>
      <c r="AZ115">
        <v>0.31</v>
      </c>
      <c r="BA115">
        <v>0.31</v>
      </c>
      <c r="BB115">
        <v>0.3</v>
      </c>
      <c r="BC115">
        <v>0.28999999999999998</v>
      </c>
      <c r="BD115">
        <v>0.28999999999999998</v>
      </c>
      <c r="BE115">
        <v>0.28000000000000003</v>
      </c>
      <c r="BF115">
        <v>0.28000000000000003</v>
      </c>
      <c r="BG115">
        <v>0.27</v>
      </c>
      <c r="BH115">
        <v>0.27</v>
      </c>
      <c r="BI115">
        <v>0.27</v>
      </c>
      <c r="BJ115">
        <v>0.26</v>
      </c>
      <c r="BK115" s="84">
        <v>0</v>
      </c>
    </row>
    <row r="116" spans="1:63">
      <c r="A116" s="122">
        <v>34</v>
      </c>
      <c r="B116" s="116">
        <v>0.73</v>
      </c>
      <c r="C116" s="126">
        <v>0.73</v>
      </c>
      <c r="D116" s="126">
        <v>0.72</v>
      </c>
      <c r="E116" s="126">
        <v>0.72</v>
      </c>
      <c r="F116" s="126">
        <v>0.71</v>
      </c>
      <c r="G116" s="126">
        <v>0.7</v>
      </c>
      <c r="H116" s="126">
        <v>0.69</v>
      </c>
      <c r="I116" s="126">
        <v>0.69</v>
      </c>
      <c r="J116" s="126">
        <v>0.68</v>
      </c>
      <c r="K116" s="126">
        <v>0.68</v>
      </c>
      <c r="L116" s="126">
        <v>0.66</v>
      </c>
      <c r="M116">
        <v>0.65</v>
      </c>
      <c r="N116">
        <v>0.64</v>
      </c>
      <c r="O116">
        <v>0.64</v>
      </c>
      <c r="P116">
        <v>0.63</v>
      </c>
      <c r="Q116">
        <v>0.62</v>
      </c>
      <c r="R116">
        <v>0.61</v>
      </c>
      <c r="S116">
        <v>0.6</v>
      </c>
      <c r="T116">
        <v>0.59</v>
      </c>
      <c r="U116">
        <v>0.59</v>
      </c>
      <c r="V116">
        <v>0.57999999999999996</v>
      </c>
      <c r="W116">
        <v>0.56999999999999995</v>
      </c>
      <c r="X116">
        <v>0.56000000000000005</v>
      </c>
      <c r="Y116">
        <v>0.55000000000000004</v>
      </c>
      <c r="Z116">
        <v>0.54</v>
      </c>
      <c r="AA116">
        <v>0.53</v>
      </c>
      <c r="AB116">
        <v>0.52</v>
      </c>
      <c r="AC116">
        <v>0.52</v>
      </c>
      <c r="AD116">
        <v>0.51</v>
      </c>
      <c r="AE116">
        <v>0.5</v>
      </c>
      <c r="AF116">
        <v>0.49</v>
      </c>
      <c r="AG116">
        <v>0.48</v>
      </c>
      <c r="AH116">
        <v>0.47</v>
      </c>
      <c r="AI116">
        <v>0.46</v>
      </c>
      <c r="AJ116">
        <v>0.45</v>
      </c>
      <c r="AK116">
        <v>0.44</v>
      </c>
      <c r="AL116">
        <v>0.43</v>
      </c>
      <c r="AM116">
        <v>0.42</v>
      </c>
      <c r="AN116">
        <v>0.41</v>
      </c>
      <c r="AO116">
        <v>0.4</v>
      </c>
      <c r="AP116">
        <v>0.39</v>
      </c>
      <c r="AQ116">
        <v>0.38</v>
      </c>
      <c r="AR116">
        <v>0.37</v>
      </c>
      <c r="AS116">
        <v>0.36</v>
      </c>
      <c r="AT116">
        <v>0.35</v>
      </c>
      <c r="AU116">
        <v>0.35</v>
      </c>
      <c r="AV116">
        <v>0.34</v>
      </c>
      <c r="AW116">
        <v>0.33</v>
      </c>
      <c r="AX116">
        <v>0.32</v>
      </c>
      <c r="AY116">
        <v>0.31</v>
      </c>
      <c r="AZ116">
        <v>0.3</v>
      </c>
      <c r="BA116">
        <v>0.28999999999999998</v>
      </c>
      <c r="BB116">
        <v>0.28999999999999998</v>
      </c>
      <c r="BC116">
        <v>0.28999999999999998</v>
      </c>
      <c r="BD116">
        <v>0.28000000000000003</v>
      </c>
      <c r="BE116">
        <v>0.28000000000000003</v>
      </c>
      <c r="BF116">
        <v>0.27</v>
      </c>
      <c r="BG116">
        <v>0.27</v>
      </c>
      <c r="BH116">
        <v>0.26</v>
      </c>
      <c r="BI116">
        <v>0.26</v>
      </c>
      <c r="BJ116">
        <v>0.26</v>
      </c>
      <c r="BK116" s="84">
        <v>0</v>
      </c>
    </row>
    <row r="117" spans="1:63">
      <c r="A117" s="122">
        <v>35</v>
      </c>
      <c r="B117" s="130">
        <v>0.73</v>
      </c>
      <c r="C117" s="127">
        <v>0.73</v>
      </c>
      <c r="D117" s="127">
        <v>0.72</v>
      </c>
      <c r="E117" s="127">
        <v>0.71</v>
      </c>
      <c r="F117" s="127">
        <v>0.7</v>
      </c>
      <c r="G117" s="127">
        <v>0.7</v>
      </c>
      <c r="H117" s="127">
        <v>0.69</v>
      </c>
      <c r="I117" s="127">
        <v>0.68</v>
      </c>
      <c r="J117" s="127">
        <v>0.67</v>
      </c>
      <c r="K117" s="127">
        <v>0.67</v>
      </c>
      <c r="L117" s="127">
        <v>0.66</v>
      </c>
      <c r="M117" s="124">
        <v>0.65</v>
      </c>
      <c r="N117" s="124">
        <v>0.64</v>
      </c>
      <c r="O117" s="124">
        <v>0.63</v>
      </c>
      <c r="P117" s="124">
        <v>0.62</v>
      </c>
      <c r="Q117" s="124">
        <v>0.61</v>
      </c>
      <c r="R117" s="124">
        <v>0.61</v>
      </c>
      <c r="S117" s="124">
        <v>0.6</v>
      </c>
      <c r="T117" s="124">
        <v>0.59</v>
      </c>
      <c r="U117" s="124">
        <v>0.57999999999999996</v>
      </c>
      <c r="V117" s="124">
        <v>0.56999999999999995</v>
      </c>
      <c r="W117" s="124">
        <v>0.56000000000000005</v>
      </c>
      <c r="X117" s="124">
        <v>0.55000000000000004</v>
      </c>
      <c r="Y117" s="124">
        <v>0.54</v>
      </c>
      <c r="Z117" s="124">
        <v>0.53</v>
      </c>
      <c r="AA117" s="124">
        <v>0.53</v>
      </c>
      <c r="AB117" s="124">
        <v>0.52</v>
      </c>
      <c r="AC117" s="124">
        <v>0.51</v>
      </c>
      <c r="AD117" s="124">
        <v>0.5</v>
      </c>
      <c r="AE117" s="124">
        <v>0.49</v>
      </c>
      <c r="AF117" s="124">
        <v>0.48</v>
      </c>
      <c r="AG117" s="124">
        <v>0.47</v>
      </c>
      <c r="AH117" s="124">
        <v>0.46</v>
      </c>
      <c r="AI117" s="124">
        <v>0.45</v>
      </c>
      <c r="AJ117" s="124">
        <v>0.44</v>
      </c>
      <c r="AK117" s="124">
        <v>0.43</v>
      </c>
      <c r="AL117" s="124">
        <v>0.42</v>
      </c>
      <c r="AM117" s="124">
        <v>0.41</v>
      </c>
      <c r="AN117" s="124">
        <v>0.4</v>
      </c>
      <c r="AO117" s="124">
        <v>0.39</v>
      </c>
      <c r="AP117" s="124">
        <v>0.38</v>
      </c>
      <c r="AQ117" s="124">
        <v>0.37</v>
      </c>
      <c r="AR117" s="124">
        <v>0.36</v>
      </c>
      <c r="AS117" s="124">
        <v>0.35</v>
      </c>
      <c r="AT117" s="124">
        <v>0.34</v>
      </c>
      <c r="AU117" s="124">
        <v>0.33</v>
      </c>
      <c r="AV117" s="124">
        <v>0.33</v>
      </c>
      <c r="AW117" s="124">
        <v>0.32</v>
      </c>
      <c r="AX117" s="124">
        <v>0.31</v>
      </c>
      <c r="AY117" s="124">
        <v>0.3</v>
      </c>
      <c r="AZ117" s="124">
        <v>0.28999999999999998</v>
      </c>
      <c r="BA117" s="124">
        <v>0.28000000000000003</v>
      </c>
      <c r="BB117" s="124">
        <v>0.28000000000000003</v>
      </c>
      <c r="BC117" s="124">
        <v>0.27</v>
      </c>
      <c r="BD117" s="124">
        <v>0.27</v>
      </c>
      <c r="BE117" s="124">
        <v>0.27</v>
      </c>
      <c r="BF117" s="124">
        <v>0.26</v>
      </c>
      <c r="BG117" s="124">
        <v>0.26</v>
      </c>
      <c r="BH117" s="124">
        <v>0.25</v>
      </c>
      <c r="BI117" s="124">
        <v>0.25</v>
      </c>
      <c r="BJ117" s="124">
        <v>0.25</v>
      </c>
      <c r="BK117" s="125">
        <v>0</v>
      </c>
    </row>
    <row r="118" spans="1:63">
      <c r="A118" s="122">
        <v>36</v>
      </c>
      <c r="B118" s="128">
        <v>0.72</v>
      </c>
      <c r="C118" s="129">
        <v>0.72</v>
      </c>
      <c r="D118" s="129">
        <v>0.71</v>
      </c>
      <c r="E118" s="129">
        <v>0.71</v>
      </c>
      <c r="F118" s="129">
        <v>0.7</v>
      </c>
      <c r="G118" s="129">
        <v>0.69</v>
      </c>
      <c r="H118" s="129">
        <v>0.68</v>
      </c>
      <c r="I118" s="129">
        <v>0.67</v>
      </c>
      <c r="J118" s="129">
        <v>0.67</v>
      </c>
      <c r="K118" s="129">
        <v>0.66</v>
      </c>
      <c r="L118" s="129">
        <v>0.65</v>
      </c>
      <c r="M118" s="120">
        <v>0.64</v>
      </c>
      <c r="N118" s="120">
        <v>0.63</v>
      </c>
      <c r="O118" s="120">
        <v>0.62</v>
      </c>
      <c r="P118" s="120">
        <v>0.62</v>
      </c>
      <c r="Q118" s="120">
        <v>0.61</v>
      </c>
      <c r="R118" s="120">
        <v>0.6</v>
      </c>
      <c r="S118" s="120">
        <v>0.59</v>
      </c>
      <c r="T118" s="120">
        <v>0.57999999999999996</v>
      </c>
      <c r="U118" s="120">
        <v>0.56999999999999995</v>
      </c>
      <c r="V118" s="120">
        <v>0.56000000000000005</v>
      </c>
      <c r="W118" s="120">
        <v>0.55000000000000004</v>
      </c>
      <c r="X118" s="120">
        <v>0.55000000000000004</v>
      </c>
      <c r="Y118" s="120">
        <v>0.54</v>
      </c>
      <c r="Z118" s="120">
        <v>0.53</v>
      </c>
      <c r="AA118" s="120">
        <v>0.52</v>
      </c>
      <c r="AB118" s="120">
        <v>0.51</v>
      </c>
      <c r="AC118" s="120">
        <v>0.5</v>
      </c>
      <c r="AD118" s="120">
        <v>0.49</v>
      </c>
      <c r="AE118" s="120">
        <v>0.48</v>
      </c>
      <c r="AF118" s="120">
        <v>0.47</v>
      </c>
      <c r="AG118" s="120">
        <v>0.46</v>
      </c>
      <c r="AH118" s="120">
        <v>0.45</v>
      </c>
      <c r="AI118" s="120">
        <v>0.44</v>
      </c>
      <c r="AJ118" s="120">
        <v>0.43</v>
      </c>
      <c r="AK118" s="120">
        <v>0.42</v>
      </c>
      <c r="AL118" s="120">
        <v>0.41</v>
      </c>
      <c r="AM118" s="120">
        <v>0.4</v>
      </c>
      <c r="AN118" s="120">
        <v>0.39</v>
      </c>
      <c r="AO118" s="120">
        <v>0.38</v>
      </c>
      <c r="AP118" s="120">
        <v>0.37</v>
      </c>
      <c r="AQ118" s="120">
        <v>0.36</v>
      </c>
      <c r="AR118" s="120">
        <v>0.35</v>
      </c>
      <c r="AS118" s="120">
        <v>0.34</v>
      </c>
      <c r="AT118" s="120">
        <v>0.33</v>
      </c>
      <c r="AU118" s="120">
        <v>0.32</v>
      </c>
      <c r="AV118" s="120">
        <v>0.31</v>
      </c>
      <c r="AW118" s="120">
        <v>0.3</v>
      </c>
      <c r="AX118" s="120">
        <v>0.3</v>
      </c>
      <c r="AY118" s="120">
        <v>0.28999999999999998</v>
      </c>
      <c r="AZ118" s="120">
        <v>0.28000000000000003</v>
      </c>
      <c r="BA118" s="120">
        <v>0.27</v>
      </c>
      <c r="BB118" s="120">
        <v>0.27</v>
      </c>
      <c r="BC118" s="120">
        <v>0.26</v>
      </c>
      <c r="BD118" s="120">
        <v>0.26</v>
      </c>
      <c r="BE118" s="120">
        <v>0.25</v>
      </c>
      <c r="BF118" s="120">
        <v>0.25</v>
      </c>
      <c r="BG118" s="120">
        <v>0.25</v>
      </c>
      <c r="BH118" s="120">
        <v>0.24</v>
      </c>
      <c r="BI118" s="120">
        <v>0.24</v>
      </c>
      <c r="BJ118" s="120">
        <v>0.24</v>
      </c>
      <c r="BK118" s="121">
        <v>0</v>
      </c>
    </row>
    <row r="119" spans="1:63">
      <c r="A119" s="122">
        <v>37</v>
      </c>
      <c r="B119" s="116">
        <v>0.72</v>
      </c>
      <c r="C119" s="126">
        <v>0.72</v>
      </c>
      <c r="D119" s="126">
        <v>0.71</v>
      </c>
      <c r="E119" s="126">
        <v>0.7</v>
      </c>
      <c r="F119" s="126">
        <v>0.69</v>
      </c>
      <c r="G119" s="126">
        <v>0.69</v>
      </c>
      <c r="H119" s="126">
        <v>0.68</v>
      </c>
      <c r="I119" s="126">
        <v>0.67</v>
      </c>
      <c r="J119">
        <v>0.66</v>
      </c>
      <c r="K119" s="126">
        <v>0.65</v>
      </c>
      <c r="L119" s="126">
        <v>0.64</v>
      </c>
      <c r="M119">
        <v>0.64</v>
      </c>
      <c r="N119">
        <v>0.63</v>
      </c>
      <c r="O119">
        <v>0.62</v>
      </c>
      <c r="P119">
        <v>0.61</v>
      </c>
      <c r="Q119">
        <v>0.6</v>
      </c>
      <c r="R119">
        <v>0.59</v>
      </c>
      <c r="S119">
        <v>0.57999999999999996</v>
      </c>
      <c r="T119">
        <v>0.56999999999999995</v>
      </c>
      <c r="U119">
        <v>0.56999999999999995</v>
      </c>
      <c r="V119">
        <v>0.56000000000000005</v>
      </c>
      <c r="W119">
        <v>0.55000000000000004</v>
      </c>
      <c r="X119">
        <v>0.54</v>
      </c>
      <c r="Y119">
        <v>0.53</v>
      </c>
      <c r="Z119">
        <v>0.52</v>
      </c>
      <c r="AA119">
        <v>0.51</v>
      </c>
      <c r="AB119">
        <v>0.5</v>
      </c>
      <c r="AC119">
        <v>0.49</v>
      </c>
      <c r="AD119">
        <v>0.48</v>
      </c>
      <c r="AE119">
        <v>0.47</v>
      </c>
      <c r="AF119">
        <v>0.46</v>
      </c>
      <c r="AG119">
        <v>0.45</v>
      </c>
      <c r="AH119">
        <v>0.44</v>
      </c>
      <c r="AI119">
        <v>0.43</v>
      </c>
      <c r="AJ119">
        <v>0.42</v>
      </c>
      <c r="AK119">
        <v>0.41</v>
      </c>
      <c r="AL119">
        <v>0.4</v>
      </c>
      <c r="AM119">
        <v>0.39</v>
      </c>
      <c r="AN119">
        <v>0.38</v>
      </c>
      <c r="AO119">
        <v>0.37</v>
      </c>
      <c r="AP119">
        <v>0.36</v>
      </c>
      <c r="AQ119">
        <v>0.35</v>
      </c>
      <c r="AR119">
        <v>0.34</v>
      </c>
      <c r="AS119">
        <v>0.33</v>
      </c>
      <c r="AT119">
        <v>0.32</v>
      </c>
      <c r="AU119">
        <v>0.31</v>
      </c>
      <c r="AV119">
        <v>0.3</v>
      </c>
      <c r="AW119">
        <v>0.28999999999999998</v>
      </c>
      <c r="AX119">
        <v>0.28000000000000003</v>
      </c>
      <c r="AY119">
        <v>0.27</v>
      </c>
      <c r="AZ119">
        <v>0.26</v>
      </c>
      <c r="BA119">
        <v>0.26</v>
      </c>
      <c r="BB119">
        <v>0.26</v>
      </c>
      <c r="BC119">
        <v>0.26</v>
      </c>
      <c r="BD119">
        <v>0.25</v>
      </c>
      <c r="BE119">
        <v>0.25</v>
      </c>
      <c r="BF119">
        <v>0.24</v>
      </c>
      <c r="BG119">
        <v>0.24</v>
      </c>
      <c r="BH119">
        <v>0.24</v>
      </c>
      <c r="BI119">
        <v>0.23</v>
      </c>
      <c r="BJ119">
        <v>0.23</v>
      </c>
      <c r="BK119" s="84">
        <v>0</v>
      </c>
    </row>
    <row r="120" spans="1:63">
      <c r="A120" s="122">
        <v>38</v>
      </c>
      <c r="B120" s="116">
        <v>0.71</v>
      </c>
      <c r="C120" s="126">
        <v>0.71</v>
      </c>
      <c r="D120" s="126">
        <v>0.7</v>
      </c>
      <c r="E120" s="126">
        <v>0.7</v>
      </c>
      <c r="F120" s="126">
        <v>0.69</v>
      </c>
      <c r="G120" s="126">
        <v>0.68</v>
      </c>
      <c r="H120" s="126">
        <v>0.67</v>
      </c>
      <c r="I120" s="126">
        <v>0.66</v>
      </c>
      <c r="J120" s="126">
        <v>0.65</v>
      </c>
      <c r="K120" s="126">
        <v>0.65</v>
      </c>
      <c r="L120" s="126">
        <v>0.64</v>
      </c>
      <c r="M120">
        <v>0.63</v>
      </c>
      <c r="N120">
        <v>0.62</v>
      </c>
      <c r="O120">
        <v>0.61</v>
      </c>
      <c r="P120">
        <v>0.6</v>
      </c>
      <c r="Q120">
        <v>0.59</v>
      </c>
      <c r="R120">
        <v>0.57999999999999996</v>
      </c>
      <c r="S120">
        <v>0.57999999999999996</v>
      </c>
      <c r="T120">
        <v>0.56999999999999995</v>
      </c>
      <c r="U120">
        <v>0.56000000000000005</v>
      </c>
      <c r="V120">
        <v>0.55000000000000004</v>
      </c>
      <c r="W120">
        <v>0.54</v>
      </c>
      <c r="X120">
        <v>0.53</v>
      </c>
      <c r="Y120">
        <v>0.52</v>
      </c>
      <c r="Z120">
        <v>0.51</v>
      </c>
      <c r="AA120">
        <v>0.5</v>
      </c>
      <c r="AB120">
        <v>0.49</v>
      </c>
      <c r="AC120">
        <v>0.48</v>
      </c>
      <c r="AD120">
        <v>0.47</v>
      </c>
      <c r="AE120">
        <v>0.46</v>
      </c>
      <c r="AF120">
        <v>0.45</v>
      </c>
      <c r="AG120">
        <v>0.44</v>
      </c>
      <c r="AH120">
        <v>0.43</v>
      </c>
      <c r="AI120">
        <v>0.42</v>
      </c>
      <c r="AJ120">
        <v>0.41</v>
      </c>
      <c r="AK120">
        <v>0.4</v>
      </c>
      <c r="AL120">
        <v>0.39</v>
      </c>
      <c r="AM120">
        <v>0.38</v>
      </c>
      <c r="AN120">
        <v>0.37</v>
      </c>
      <c r="AO120">
        <v>0.36</v>
      </c>
      <c r="AP120">
        <v>0.35</v>
      </c>
      <c r="AQ120">
        <v>0.34</v>
      </c>
      <c r="AR120">
        <v>0.33</v>
      </c>
      <c r="AS120">
        <v>0.32</v>
      </c>
      <c r="AT120">
        <v>0.31</v>
      </c>
      <c r="AU120">
        <v>0.3</v>
      </c>
      <c r="AV120">
        <v>0.28999999999999998</v>
      </c>
      <c r="AW120">
        <v>0.28000000000000003</v>
      </c>
      <c r="AX120">
        <v>0.27</v>
      </c>
      <c r="AY120">
        <v>0.26</v>
      </c>
      <c r="AZ120">
        <v>0.25</v>
      </c>
      <c r="BA120">
        <v>0.25</v>
      </c>
      <c r="BB120">
        <v>0.25</v>
      </c>
      <c r="BC120">
        <v>0.24</v>
      </c>
      <c r="BD120">
        <v>0.24</v>
      </c>
      <c r="BE120">
        <v>0.24</v>
      </c>
      <c r="BF120">
        <v>0.23</v>
      </c>
      <c r="BG120">
        <v>0.23</v>
      </c>
      <c r="BH120">
        <v>0.23</v>
      </c>
      <c r="BI120">
        <v>0.22</v>
      </c>
      <c r="BJ120">
        <v>0.22</v>
      </c>
      <c r="BK120" s="84">
        <v>0</v>
      </c>
    </row>
    <row r="121" spans="1:63">
      <c r="A121" s="122">
        <v>39</v>
      </c>
      <c r="B121" s="116">
        <v>0.71</v>
      </c>
      <c r="C121" s="126">
        <v>0.71</v>
      </c>
      <c r="D121" s="126">
        <v>0.7</v>
      </c>
      <c r="E121" s="126">
        <v>0.69</v>
      </c>
      <c r="F121" s="126">
        <v>0.68</v>
      </c>
      <c r="G121" s="126">
        <v>0.67</v>
      </c>
      <c r="H121" s="126">
        <v>0.66</v>
      </c>
      <c r="I121" s="126">
        <v>0.66</v>
      </c>
      <c r="J121" s="126">
        <v>0.65</v>
      </c>
      <c r="K121" s="126">
        <v>0.64</v>
      </c>
      <c r="L121" s="126">
        <v>0.63</v>
      </c>
      <c r="M121">
        <v>0.62</v>
      </c>
      <c r="N121">
        <v>0.61</v>
      </c>
      <c r="O121">
        <v>0.6</v>
      </c>
      <c r="P121">
        <v>0.6</v>
      </c>
      <c r="Q121">
        <v>0.59</v>
      </c>
      <c r="R121">
        <v>0.57999999999999996</v>
      </c>
      <c r="S121">
        <v>0.56999999999999995</v>
      </c>
      <c r="T121">
        <v>0.56000000000000005</v>
      </c>
      <c r="U121">
        <v>0.55000000000000004</v>
      </c>
      <c r="V121">
        <v>0.54</v>
      </c>
      <c r="W121">
        <v>0.53</v>
      </c>
      <c r="X121">
        <v>0.52</v>
      </c>
      <c r="Y121">
        <v>0.51</v>
      </c>
      <c r="Z121">
        <v>0.5</v>
      </c>
      <c r="AA121">
        <v>0.49</v>
      </c>
      <c r="AB121">
        <v>0.48</v>
      </c>
      <c r="AC121">
        <v>0.47</v>
      </c>
      <c r="AD121">
        <v>0.46</v>
      </c>
      <c r="AE121">
        <v>0.45</v>
      </c>
      <c r="AF121">
        <v>0.44</v>
      </c>
      <c r="AG121">
        <v>0.43</v>
      </c>
      <c r="AH121">
        <v>0.42</v>
      </c>
      <c r="AI121">
        <v>0.41</v>
      </c>
      <c r="AJ121">
        <v>0.4</v>
      </c>
      <c r="AK121">
        <v>0.39</v>
      </c>
      <c r="AL121">
        <v>0.38</v>
      </c>
      <c r="AM121">
        <v>0.37</v>
      </c>
      <c r="AN121">
        <v>0.36</v>
      </c>
      <c r="AO121">
        <v>0.35</v>
      </c>
      <c r="AP121">
        <v>0.33</v>
      </c>
      <c r="AQ121">
        <v>0.32</v>
      </c>
      <c r="AR121">
        <v>0.31</v>
      </c>
      <c r="AS121">
        <v>0.3</v>
      </c>
      <c r="AT121">
        <v>0.28999999999999998</v>
      </c>
      <c r="AU121">
        <v>0.28000000000000003</v>
      </c>
      <c r="AV121">
        <v>0.27</v>
      </c>
      <c r="AW121">
        <v>0.26</v>
      </c>
      <c r="AX121">
        <v>0.25</v>
      </c>
      <c r="AY121">
        <v>0.25</v>
      </c>
      <c r="AZ121">
        <v>0.24</v>
      </c>
      <c r="BA121">
        <v>0.24</v>
      </c>
      <c r="BB121">
        <v>0.24</v>
      </c>
      <c r="BC121">
        <v>0.23</v>
      </c>
      <c r="BD121">
        <v>0.23</v>
      </c>
      <c r="BE121">
        <v>0.22</v>
      </c>
      <c r="BF121">
        <v>0.22</v>
      </c>
      <c r="BG121">
        <v>0.22</v>
      </c>
      <c r="BH121">
        <v>0.21</v>
      </c>
      <c r="BI121">
        <v>0.21</v>
      </c>
      <c r="BJ121">
        <v>0.21</v>
      </c>
      <c r="BK121" s="84">
        <v>0</v>
      </c>
    </row>
    <row r="122" spans="1:63">
      <c r="A122" s="122">
        <v>40</v>
      </c>
      <c r="B122" s="130">
        <v>0.7</v>
      </c>
      <c r="C122" s="127">
        <v>0.7</v>
      </c>
      <c r="D122" s="127">
        <v>0.69</v>
      </c>
      <c r="E122" s="127">
        <v>0.69</v>
      </c>
      <c r="F122" s="127">
        <v>0.67</v>
      </c>
      <c r="G122" s="127">
        <v>0.67</v>
      </c>
      <c r="H122" s="127">
        <v>0.66</v>
      </c>
      <c r="I122" s="127">
        <v>0.65</v>
      </c>
      <c r="J122" s="127">
        <v>0.64</v>
      </c>
      <c r="K122" s="127">
        <v>0.63</v>
      </c>
      <c r="L122" s="127">
        <v>0.62</v>
      </c>
      <c r="M122" s="124">
        <v>0.61</v>
      </c>
      <c r="N122" s="124">
        <v>0.61</v>
      </c>
      <c r="O122" s="124">
        <v>0.6</v>
      </c>
      <c r="P122" s="124">
        <v>0.59</v>
      </c>
      <c r="Q122" s="124">
        <v>0.57999999999999996</v>
      </c>
      <c r="R122" s="124">
        <v>0.56999999999999995</v>
      </c>
      <c r="S122" s="124">
        <v>0.56000000000000005</v>
      </c>
      <c r="T122" s="124">
        <v>0.55000000000000004</v>
      </c>
      <c r="U122" s="124">
        <v>0.54</v>
      </c>
      <c r="V122" s="124">
        <v>0.53</v>
      </c>
      <c r="W122" s="124">
        <v>0.52</v>
      </c>
      <c r="X122" s="124">
        <v>0.51</v>
      </c>
      <c r="Y122" s="124">
        <v>0.5</v>
      </c>
      <c r="Z122" s="124">
        <v>0.49</v>
      </c>
      <c r="AA122" s="124">
        <v>0.48</v>
      </c>
      <c r="AB122" s="124">
        <v>0.47</v>
      </c>
      <c r="AC122" s="124">
        <v>0.46</v>
      </c>
      <c r="AD122" s="124">
        <v>0.45</v>
      </c>
      <c r="AE122" s="124">
        <v>0.44</v>
      </c>
      <c r="AF122" s="124">
        <v>0.43</v>
      </c>
      <c r="AG122" s="124">
        <v>0.42</v>
      </c>
      <c r="AH122" s="124">
        <v>0.41</v>
      </c>
      <c r="AI122" s="124">
        <v>0.4</v>
      </c>
      <c r="AJ122" s="124">
        <v>0.39</v>
      </c>
      <c r="AK122" s="124">
        <v>0.38</v>
      </c>
      <c r="AL122" s="124">
        <v>0.36</v>
      </c>
      <c r="AM122" s="124">
        <v>0.35</v>
      </c>
      <c r="AN122" s="124">
        <v>0.34</v>
      </c>
      <c r="AO122" s="124">
        <v>0.33</v>
      </c>
      <c r="AP122" s="124">
        <v>0.32</v>
      </c>
      <c r="AQ122" s="124">
        <v>0.31</v>
      </c>
      <c r="AR122" s="124">
        <v>0.3</v>
      </c>
      <c r="AS122" s="124">
        <v>0.28999999999999998</v>
      </c>
      <c r="AT122" s="124">
        <v>0.28000000000000003</v>
      </c>
      <c r="AU122" s="124">
        <v>0.27</v>
      </c>
      <c r="AV122" s="124">
        <v>0.26</v>
      </c>
      <c r="AW122" s="124">
        <v>0.25</v>
      </c>
      <c r="AX122" s="124">
        <v>0.24</v>
      </c>
      <c r="AY122" s="124">
        <v>0.24</v>
      </c>
      <c r="AZ122" s="124">
        <v>0.23</v>
      </c>
      <c r="BA122" s="124">
        <v>0.23</v>
      </c>
      <c r="BB122" s="124">
        <v>0.23</v>
      </c>
      <c r="BC122" s="124">
        <v>0.23</v>
      </c>
      <c r="BD122" s="124">
        <v>0.22</v>
      </c>
      <c r="BE122" s="124">
        <v>0.22</v>
      </c>
      <c r="BF122" s="124">
        <v>0.22</v>
      </c>
      <c r="BG122" s="124">
        <v>0.21</v>
      </c>
      <c r="BH122" s="124">
        <v>0.21</v>
      </c>
      <c r="BI122" s="124">
        <v>0.21</v>
      </c>
      <c r="BJ122" s="124">
        <v>0.2</v>
      </c>
      <c r="BK122" s="125">
        <v>0</v>
      </c>
    </row>
    <row r="123" spans="1:63">
      <c r="A123" s="122">
        <v>41</v>
      </c>
      <c r="B123" s="128">
        <v>0.69</v>
      </c>
      <c r="C123" s="129">
        <v>0.69</v>
      </c>
      <c r="D123" s="129">
        <v>0.69</v>
      </c>
      <c r="E123" s="129">
        <v>0.68</v>
      </c>
      <c r="F123" s="129">
        <v>0.67</v>
      </c>
      <c r="G123" s="129">
        <v>0.66</v>
      </c>
      <c r="H123" s="129">
        <v>0.65</v>
      </c>
      <c r="I123" s="129">
        <v>0.64</v>
      </c>
      <c r="J123" s="129">
        <v>0.63</v>
      </c>
      <c r="K123" s="129">
        <v>0.62</v>
      </c>
      <c r="L123" s="129">
        <v>0.62</v>
      </c>
      <c r="M123" s="120">
        <v>0.61</v>
      </c>
      <c r="N123" s="120">
        <v>0.6</v>
      </c>
      <c r="O123" s="120">
        <v>0.59</v>
      </c>
      <c r="P123">
        <v>0.57999999999999996</v>
      </c>
      <c r="Q123">
        <v>0.56999999999999995</v>
      </c>
      <c r="R123">
        <v>0.56000000000000005</v>
      </c>
      <c r="S123">
        <v>0.55000000000000004</v>
      </c>
      <c r="T123">
        <v>0.54</v>
      </c>
      <c r="U123" s="146">
        <v>0.53</v>
      </c>
      <c r="V123">
        <v>0.52</v>
      </c>
      <c r="W123">
        <v>0.51</v>
      </c>
      <c r="X123">
        <v>0.5</v>
      </c>
      <c r="Y123">
        <v>0.49</v>
      </c>
      <c r="Z123">
        <v>0.48</v>
      </c>
      <c r="AA123">
        <v>0.47</v>
      </c>
      <c r="AB123">
        <v>0.46</v>
      </c>
      <c r="AC123" s="120">
        <v>0.45</v>
      </c>
      <c r="AD123" s="120">
        <v>0.44</v>
      </c>
      <c r="AE123" s="120">
        <v>0.43</v>
      </c>
      <c r="AF123" s="120">
        <v>0.42</v>
      </c>
      <c r="AG123" s="120">
        <v>0.41</v>
      </c>
      <c r="AH123" s="120">
        <v>0.4</v>
      </c>
      <c r="AI123" s="120">
        <v>0.39</v>
      </c>
      <c r="AJ123" s="120">
        <v>0.37</v>
      </c>
      <c r="AK123" s="120">
        <v>0.36</v>
      </c>
      <c r="AL123" s="120">
        <v>0.35</v>
      </c>
      <c r="AM123" s="120">
        <v>0.34</v>
      </c>
      <c r="AN123" s="120">
        <v>0.33</v>
      </c>
      <c r="AO123" s="120">
        <v>0.32</v>
      </c>
      <c r="AP123" s="120">
        <v>0.31</v>
      </c>
      <c r="AQ123" s="120">
        <v>0.3</v>
      </c>
      <c r="AR123" s="120">
        <v>0.28999999999999998</v>
      </c>
      <c r="AS123" s="120">
        <v>0.27</v>
      </c>
      <c r="AT123" s="120">
        <v>0.26</v>
      </c>
      <c r="AU123" s="120">
        <v>0.25</v>
      </c>
      <c r="AV123" s="120">
        <v>0.24</v>
      </c>
      <c r="AW123" s="120">
        <v>0.23</v>
      </c>
      <c r="AX123" s="120">
        <v>0.23</v>
      </c>
      <c r="AY123" s="120">
        <v>0.23</v>
      </c>
      <c r="AZ123" s="120">
        <v>0.22</v>
      </c>
      <c r="BA123" s="120">
        <v>0.22</v>
      </c>
      <c r="BB123" s="120">
        <v>0.22</v>
      </c>
      <c r="BC123" s="120">
        <v>0.21</v>
      </c>
      <c r="BD123" s="120">
        <v>0.21</v>
      </c>
      <c r="BE123" s="120">
        <v>0.21</v>
      </c>
      <c r="BF123" s="120">
        <v>0.2</v>
      </c>
      <c r="BG123" s="120">
        <v>0.2</v>
      </c>
      <c r="BH123" s="120">
        <v>0.2</v>
      </c>
      <c r="BI123" s="120">
        <v>0.19</v>
      </c>
      <c r="BJ123" s="120">
        <v>0.19</v>
      </c>
      <c r="BK123" s="121">
        <v>0</v>
      </c>
    </row>
    <row r="124" spans="1:63">
      <c r="A124" s="122">
        <v>42</v>
      </c>
      <c r="B124" s="116">
        <v>0.69</v>
      </c>
      <c r="C124" s="126">
        <v>0.69</v>
      </c>
      <c r="D124" s="126">
        <v>0.68</v>
      </c>
      <c r="E124" s="126">
        <v>0.67</v>
      </c>
      <c r="F124" s="126">
        <v>0.66</v>
      </c>
      <c r="G124" s="126">
        <v>0.65</v>
      </c>
      <c r="H124" s="126">
        <v>0.64</v>
      </c>
      <c r="I124" s="126">
        <v>0.63</v>
      </c>
      <c r="J124" s="126">
        <v>0.63</v>
      </c>
      <c r="K124" s="126">
        <v>0.62</v>
      </c>
      <c r="L124" s="126">
        <v>0.61</v>
      </c>
      <c r="M124">
        <v>0.6</v>
      </c>
      <c r="N124">
        <v>0.59</v>
      </c>
      <c r="O124">
        <v>0.57999999999999996</v>
      </c>
      <c r="P124">
        <v>0.56999999999999995</v>
      </c>
      <c r="Q124">
        <v>0.56000000000000005</v>
      </c>
      <c r="R124">
        <v>0.55000000000000004</v>
      </c>
      <c r="S124">
        <v>0.54</v>
      </c>
      <c r="T124">
        <v>0.53</v>
      </c>
      <c r="U124" s="146">
        <v>0.52</v>
      </c>
      <c r="V124" s="146">
        <v>0.51</v>
      </c>
      <c r="W124">
        <v>0.5</v>
      </c>
      <c r="X124">
        <v>0.49</v>
      </c>
      <c r="Y124">
        <v>0.48</v>
      </c>
      <c r="Z124">
        <v>0.47</v>
      </c>
      <c r="AA124">
        <v>0.46</v>
      </c>
      <c r="AB124">
        <v>0.45</v>
      </c>
      <c r="AC124">
        <v>0.44</v>
      </c>
      <c r="AD124">
        <v>0.43</v>
      </c>
      <c r="AE124">
        <v>0.42</v>
      </c>
      <c r="AF124">
        <v>0.41</v>
      </c>
      <c r="AG124">
        <v>0.4</v>
      </c>
      <c r="AH124">
        <v>0.38</v>
      </c>
      <c r="AI124">
        <v>0.37</v>
      </c>
      <c r="AJ124">
        <v>0.36</v>
      </c>
      <c r="AK124">
        <v>0.35</v>
      </c>
      <c r="AL124">
        <v>0.34</v>
      </c>
      <c r="AM124">
        <v>0.33</v>
      </c>
      <c r="AN124">
        <v>0.32</v>
      </c>
      <c r="AO124">
        <v>0.3</v>
      </c>
      <c r="AP124">
        <v>0.28999999999999998</v>
      </c>
      <c r="AQ124">
        <v>0.28000000000000003</v>
      </c>
      <c r="AR124">
        <v>0.27</v>
      </c>
      <c r="AS124">
        <v>0.26</v>
      </c>
      <c r="AT124">
        <v>0.25</v>
      </c>
      <c r="AU124">
        <v>0.24</v>
      </c>
      <c r="AV124">
        <v>0.23</v>
      </c>
      <c r="AW124">
        <v>0.22</v>
      </c>
      <c r="AX124">
        <v>0.22</v>
      </c>
      <c r="AY124">
        <v>0.21</v>
      </c>
      <c r="AZ124">
        <v>0.21</v>
      </c>
      <c r="BA124">
        <v>0.21</v>
      </c>
      <c r="BB124">
        <v>0.2</v>
      </c>
      <c r="BC124">
        <v>0.2</v>
      </c>
      <c r="BD124">
        <v>0.2</v>
      </c>
      <c r="BE124">
        <v>0.2</v>
      </c>
      <c r="BF124">
        <v>0.19</v>
      </c>
      <c r="BG124">
        <v>0.19</v>
      </c>
      <c r="BH124">
        <v>0.19</v>
      </c>
      <c r="BI124">
        <v>0.18</v>
      </c>
      <c r="BJ124">
        <v>0.18</v>
      </c>
      <c r="BK124" s="84">
        <v>0</v>
      </c>
    </row>
    <row r="125" spans="1:63">
      <c r="A125" s="122">
        <v>43</v>
      </c>
      <c r="B125" s="116">
        <v>0.68</v>
      </c>
      <c r="C125" s="126">
        <v>0.68</v>
      </c>
      <c r="D125" s="126">
        <v>0.67</v>
      </c>
      <c r="E125" s="126">
        <v>0.66</v>
      </c>
      <c r="F125" s="126">
        <v>0.65</v>
      </c>
      <c r="G125" s="126">
        <v>0.64</v>
      </c>
      <c r="H125" s="126">
        <v>0.64</v>
      </c>
      <c r="I125" s="126">
        <v>0.63</v>
      </c>
      <c r="J125" s="126">
        <v>0.62</v>
      </c>
      <c r="K125" s="126">
        <v>0.61</v>
      </c>
      <c r="L125" s="126">
        <v>0.6</v>
      </c>
      <c r="M125">
        <v>0.59</v>
      </c>
      <c r="N125">
        <v>0.57999999999999996</v>
      </c>
      <c r="O125">
        <v>0.56999999999999995</v>
      </c>
      <c r="P125">
        <v>0.56000000000000005</v>
      </c>
      <c r="Q125">
        <v>0.55000000000000004</v>
      </c>
      <c r="R125">
        <v>0.54</v>
      </c>
      <c r="S125">
        <v>0.53</v>
      </c>
      <c r="T125">
        <v>0.52</v>
      </c>
      <c r="U125" s="146">
        <v>0.51</v>
      </c>
      <c r="V125" s="146">
        <v>0.5</v>
      </c>
      <c r="W125">
        <v>0.49</v>
      </c>
      <c r="X125">
        <v>0.48</v>
      </c>
      <c r="Y125">
        <v>0.47</v>
      </c>
      <c r="Z125">
        <v>0.46</v>
      </c>
      <c r="AA125">
        <v>0.45</v>
      </c>
      <c r="AB125">
        <v>0.44</v>
      </c>
      <c r="AC125">
        <v>0.43</v>
      </c>
      <c r="AD125">
        <v>0.42</v>
      </c>
      <c r="AE125">
        <v>0.41</v>
      </c>
      <c r="AF125">
        <v>0.39</v>
      </c>
      <c r="AG125">
        <v>0.38</v>
      </c>
      <c r="AH125">
        <v>0.37</v>
      </c>
      <c r="AI125">
        <v>0.36</v>
      </c>
      <c r="AJ125">
        <v>0.35</v>
      </c>
      <c r="AK125">
        <v>0.34</v>
      </c>
      <c r="AL125">
        <v>0.32</v>
      </c>
      <c r="AM125">
        <v>0.31</v>
      </c>
      <c r="AN125">
        <v>0.3</v>
      </c>
      <c r="AO125">
        <v>0.28999999999999998</v>
      </c>
      <c r="AP125">
        <v>0.28000000000000003</v>
      </c>
      <c r="AQ125">
        <v>0.27</v>
      </c>
      <c r="AR125">
        <v>0.25</v>
      </c>
      <c r="AS125">
        <v>0.24</v>
      </c>
      <c r="AT125">
        <v>0.23</v>
      </c>
      <c r="AU125">
        <v>0.22</v>
      </c>
      <c r="AV125">
        <v>0.21</v>
      </c>
      <c r="AW125">
        <v>0.21</v>
      </c>
      <c r="AX125">
        <v>0.2</v>
      </c>
      <c r="AY125">
        <v>0.2</v>
      </c>
      <c r="AZ125">
        <v>0.2</v>
      </c>
      <c r="BA125">
        <v>0.2</v>
      </c>
      <c r="BB125">
        <v>0.19</v>
      </c>
      <c r="BC125">
        <v>0.19</v>
      </c>
      <c r="BD125">
        <v>0.19</v>
      </c>
      <c r="BE125">
        <v>0.18</v>
      </c>
      <c r="BF125">
        <v>0.18</v>
      </c>
      <c r="BG125">
        <v>0.18</v>
      </c>
      <c r="BH125">
        <v>0.18</v>
      </c>
      <c r="BI125">
        <v>0.17</v>
      </c>
      <c r="BJ125">
        <v>0.17</v>
      </c>
      <c r="BK125" s="84">
        <v>0</v>
      </c>
    </row>
    <row r="126" spans="1:63">
      <c r="A126" s="122">
        <v>44</v>
      </c>
      <c r="B126" s="116">
        <v>0.67</v>
      </c>
      <c r="C126" s="126">
        <v>0.67</v>
      </c>
      <c r="D126" s="126">
        <v>0.66</v>
      </c>
      <c r="E126" s="126">
        <v>0.65</v>
      </c>
      <c r="F126" s="126">
        <v>0.65</v>
      </c>
      <c r="G126" s="126">
        <v>0.64</v>
      </c>
      <c r="H126" s="126">
        <v>0.63</v>
      </c>
      <c r="I126" s="126">
        <v>0.62</v>
      </c>
      <c r="J126" s="126">
        <v>0.61</v>
      </c>
      <c r="K126" s="126">
        <v>0.6</v>
      </c>
      <c r="L126" s="126">
        <v>0.59</v>
      </c>
      <c r="M126">
        <v>0.57999999999999996</v>
      </c>
      <c r="N126">
        <v>0.56999999999999995</v>
      </c>
      <c r="O126">
        <v>0.56000000000000005</v>
      </c>
      <c r="P126">
        <v>0.55000000000000004</v>
      </c>
      <c r="Q126">
        <v>0.54</v>
      </c>
      <c r="R126">
        <v>0.53</v>
      </c>
      <c r="S126">
        <v>0.52</v>
      </c>
      <c r="T126">
        <v>0.51</v>
      </c>
      <c r="U126" s="146">
        <v>0.5</v>
      </c>
      <c r="V126" s="146">
        <v>0.49</v>
      </c>
      <c r="W126">
        <v>0.48</v>
      </c>
      <c r="X126">
        <v>0.47</v>
      </c>
      <c r="Y126">
        <v>0.46</v>
      </c>
      <c r="Z126">
        <v>0.45</v>
      </c>
      <c r="AA126">
        <v>0.44</v>
      </c>
      <c r="AB126">
        <v>0.43</v>
      </c>
      <c r="AC126">
        <v>0.42</v>
      </c>
      <c r="AD126">
        <v>0.4</v>
      </c>
      <c r="AE126">
        <v>0.39</v>
      </c>
      <c r="AF126">
        <v>0.38</v>
      </c>
      <c r="AG126">
        <v>0.37</v>
      </c>
      <c r="AH126">
        <v>0.36</v>
      </c>
      <c r="AI126">
        <v>0.35</v>
      </c>
      <c r="AJ126">
        <v>0.33</v>
      </c>
      <c r="AK126">
        <v>0.32</v>
      </c>
      <c r="AL126">
        <v>0.31</v>
      </c>
      <c r="AM126">
        <v>0.3</v>
      </c>
      <c r="AN126">
        <v>0.28999999999999998</v>
      </c>
      <c r="AO126">
        <v>0.27</v>
      </c>
      <c r="AP126">
        <v>0.26</v>
      </c>
      <c r="AQ126">
        <v>0.25</v>
      </c>
      <c r="AR126">
        <v>0.24</v>
      </c>
      <c r="AS126">
        <v>0.23</v>
      </c>
      <c r="AT126">
        <v>0.21</v>
      </c>
      <c r="AU126">
        <v>0.2</v>
      </c>
      <c r="AV126">
        <v>0.2</v>
      </c>
      <c r="AW126">
        <v>0.2</v>
      </c>
      <c r="AX126">
        <v>0.2</v>
      </c>
      <c r="AY126">
        <v>0.19</v>
      </c>
      <c r="AZ126">
        <v>0.19</v>
      </c>
      <c r="BA126">
        <v>0.19</v>
      </c>
      <c r="BB126">
        <v>0.19</v>
      </c>
      <c r="BC126">
        <v>0.18</v>
      </c>
      <c r="BD126">
        <v>0.18</v>
      </c>
      <c r="BE126">
        <v>0.18</v>
      </c>
      <c r="BF126">
        <v>0.18</v>
      </c>
      <c r="BG126">
        <v>0.17</v>
      </c>
      <c r="BH126">
        <v>0.17</v>
      </c>
      <c r="BI126">
        <v>0.17</v>
      </c>
      <c r="BJ126">
        <v>0.16</v>
      </c>
      <c r="BK126" s="84">
        <v>0</v>
      </c>
    </row>
    <row r="127" spans="1:63">
      <c r="A127" s="122">
        <v>45</v>
      </c>
      <c r="B127" s="130">
        <v>0.66</v>
      </c>
      <c r="C127" s="127">
        <v>0.66</v>
      </c>
      <c r="D127" s="127">
        <v>0.66</v>
      </c>
      <c r="E127" s="127">
        <v>0.65</v>
      </c>
      <c r="F127" s="127">
        <v>0.64</v>
      </c>
      <c r="G127" s="127">
        <v>0.63</v>
      </c>
      <c r="H127" s="127">
        <v>0.62</v>
      </c>
      <c r="I127" s="127">
        <v>0.61</v>
      </c>
      <c r="J127" s="127">
        <v>0.6</v>
      </c>
      <c r="K127" s="127">
        <v>0.59</v>
      </c>
      <c r="L127" s="127">
        <v>0.57999999999999996</v>
      </c>
      <c r="M127" s="124">
        <v>0.56999999999999995</v>
      </c>
      <c r="N127" s="124">
        <v>0.56000000000000005</v>
      </c>
      <c r="O127" s="124">
        <v>0.55000000000000004</v>
      </c>
      <c r="P127">
        <v>0.54</v>
      </c>
      <c r="Q127">
        <v>0.53</v>
      </c>
      <c r="R127">
        <v>0.52</v>
      </c>
      <c r="S127">
        <v>0.51</v>
      </c>
      <c r="T127" s="146">
        <v>0.5</v>
      </c>
      <c r="U127" s="146">
        <v>0.49</v>
      </c>
      <c r="V127" s="146">
        <v>0.48</v>
      </c>
      <c r="W127">
        <v>0.47</v>
      </c>
      <c r="X127">
        <v>0.46</v>
      </c>
      <c r="Y127">
        <v>0.45</v>
      </c>
      <c r="Z127">
        <v>0.44</v>
      </c>
      <c r="AA127">
        <v>0.43</v>
      </c>
      <c r="AB127">
        <v>0.41</v>
      </c>
      <c r="AC127" s="124">
        <v>0.4</v>
      </c>
      <c r="AD127" s="124">
        <v>0.39</v>
      </c>
      <c r="AE127" s="124">
        <v>0.38</v>
      </c>
      <c r="AF127" s="124">
        <v>0.37</v>
      </c>
      <c r="AG127" s="124">
        <v>0.36</v>
      </c>
      <c r="AH127" s="124">
        <v>0.34</v>
      </c>
      <c r="AI127" s="124">
        <v>0.33</v>
      </c>
      <c r="AJ127" s="124">
        <v>0.32</v>
      </c>
      <c r="AK127" s="124">
        <v>0.31</v>
      </c>
      <c r="AL127" s="124">
        <v>0.28999999999999998</v>
      </c>
      <c r="AM127" s="124">
        <v>0.28000000000000003</v>
      </c>
      <c r="AN127" s="124">
        <v>0.27</v>
      </c>
      <c r="AO127" s="124">
        <v>0.26</v>
      </c>
      <c r="AP127" s="124">
        <v>0.24</v>
      </c>
      <c r="AQ127" s="124">
        <v>0.23</v>
      </c>
      <c r="AR127" s="124">
        <v>0.22</v>
      </c>
      <c r="AS127" s="124">
        <v>0.21</v>
      </c>
      <c r="AT127" s="124">
        <v>0.2</v>
      </c>
      <c r="AU127" s="124">
        <v>0.19</v>
      </c>
      <c r="AV127" s="124">
        <v>0.19</v>
      </c>
      <c r="AW127" s="124">
        <v>0.19</v>
      </c>
      <c r="AX127" s="124">
        <v>0.18</v>
      </c>
      <c r="AY127" s="124">
        <v>0.18</v>
      </c>
      <c r="AZ127" s="124">
        <v>0.18</v>
      </c>
      <c r="BA127" s="124">
        <v>0.18</v>
      </c>
      <c r="BB127" s="124">
        <v>0.17</v>
      </c>
      <c r="BC127" s="124">
        <v>0.17</v>
      </c>
      <c r="BD127" s="124">
        <v>0.17</v>
      </c>
      <c r="BE127" s="124">
        <v>0.17</v>
      </c>
      <c r="BF127" s="124">
        <v>0.16</v>
      </c>
      <c r="BG127" s="124">
        <v>0.16</v>
      </c>
      <c r="BH127" s="124">
        <v>0.16</v>
      </c>
      <c r="BI127" s="124">
        <v>0.16</v>
      </c>
      <c r="BJ127" s="124">
        <v>0.15</v>
      </c>
      <c r="BK127" s="125">
        <v>0</v>
      </c>
    </row>
    <row r="128" spans="1:63">
      <c r="A128" s="122">
        <v>46</v>
      </c>
      <c r="B128" s="128">
        <v>0.66</v>
      </c>
      <c r="C128" s="129">
        <v>0.66</v>
      </c>
      <c r="D128" s="129">
        <v>0.65</v>
      </c>
      <c r="E128" s="129">
        <v>0.64</v>
      </c>
      <c r="F128" s="129">
        <v>0.63</v>
      </c>
      <c r="G128" s="129">
        <v>0.62</v>
      </c>
      <c r="H128" s="129">
        <v>0.61</v>
      </c>
      <c r="I128" s="129">
        <v>0.6</v>
      </c>
      <c r="J128" s="129">
        <v>0.59</v>
      </c>
      <c r="K128" s="129">
        <v>0.57999999999999996</v>
      </c>
      <c r="L128" s="129">
        <v>0.56999999999999995</v>
      </c>
      <c r="M128" s="120">
        <v>0.56000000000000005</v>
      </c>
      <c r="N128" s="120">
        <v>0.55000000000000004</v>
      </c>
      <c r="O128" s="120">
        <v>0.54</v>
      </c>
      <c r="P128" s="120">
        <v>0.53</v>
      </c>
      <c r="Q128" s="120">
        <v>0.52</v>
      </c>
      <c r="R128" s="120">
        <v>0.51</v>
      </c>
      <c r="S128" s="120">
        <v>0.5</v>
      </c>
      <c r="T128" s="120">
        <v>0.49</v>
      </c>
      <c r="U128" s="120">
        <v>0.48</v>
      </c>
      <c r="V128" s="120">
        <v>0.47</v>
      </c>
      <c r="W128" s="120">
        <v>0.46</v>
      </c>
      <c r="X128" s="120">
        <v>0.45</v>
      </c>
      <c r="Y128" s="120">
        <v>0.44</v>
      </c>
      <c r="Z128" s="120">
        <v>0.42</v>
      </c>
      <c r="AA128" s="120">
        <v>0.41</v>
      </c>
      <c r="AB128" s="120">
        <v>0.4</v>
      </c>
      <c r="AC128" s="120">
        <v>0.39</v>
      </c>
      <c r="AD128" s="120">
        <v>0.38</v>
      </c>
      <c r="AE128" s="120">
        <v>0.37</v>
      </c>
      <c r="AF128" s="120">
        <v>0.35</v>
      </c>
      <c r="AG128" s="120">
        <v>0.34</v>
      </c>
      <c r="AH128" s="120">
        <v>0.33</v>
      </c>
      <c r="AI128" s="120">
        <v>0.32</v>
      </c>
      <c r="AJ128" s="120">
        <v>0.3</v>
      </c>
      <c r="AK128" s="120">
        <v>0.28999999999999998</v>
      </c>
      <c r="AL128" s="120">
        <v>0.28000000000000003</v>
      </c>
      <c r="AM128" s="120">
        <v>0.26</v>
      </c>
      <c r="AN128" s="120">
        <v>0.25</v>
      </c>
      <c r="AO128" s="120">
        <v>0.24</v>
      </c>
      <c r="AP128" s="120">
        <v>0.23</v>
      </c>
      <c r="AQ128" s="120">
        <v>0.21</v>
      </c>
      <c r="AR128" s="120">
        <v>0.2</v>
      </c>
      <c r="AS128" s="120">
        <v>0.19</v>
      </c>
      <c r="AT128" s="120">
        <v>0.18</v>
      </c>
      <c r="AU128" s="120">
        <v>0.18</v>
      </c>
      <c r="AV128" s="120">
        <v>0.18</v>
      </c>
      <c r="AW128" s="120">
        <v>0.18</v>
      </c>
      <c r="AX128" s="120">
        <v>0.17</v>
      </c>
      <c r="AY128" s="120">
        <v>0.17</v>
      </c>
      <c r="AZ128" s="120">
        <v>0.17</v>
      </c>
      <c r="BA128" s="120">
        <v>0.17</v>
      </c>
      <c r="BB128" s="120">
        <v>0.16</v>
      </c>
      <c r="BC128" s="120">
        <v>0.16</v>
      </c>
      <c r="BD128" s="120">
        <v>0.16</v>
      </c>
      <c r="BE128" s="120">
        <v>0.16</v>
      </c>
      <c r="BF128" s="120">
        <v>0.15</v>
      </c>
      <c r="BG128" s="120">
        <v>0.15</v>
      </c>
      <c r="BH128" s="120">
        <v>0.15</v>
      </c>
      <c r="BI128" s="120">
        <v>0.15</v>
      </c>
      <c r="BJ128" s="120">
        <v>0.15</v>
      </c>
      <c r="BK128" s="121">
        <v>0</v>
      </c>
    </row>
    <row r="129" spans="1:63">
      <c r="A129" s="122">
        <v>47</v>
      </c>
      <c r="B129" s="116">
        <v>0.65</v>
      </c>
      <c r="C129" s="126">
        <v>0.65</v>
      </c>
      <c r="D129" s="126">
        <v>0.64</v>
      </c>
      <c r="E129" s="126">
        <v>0.63</v>
      </c>
      <c r="F129" s="126">
        <v>0.62</v>
      </c>
      <c r="G129" s="126">
        <v>0.61</v>
      </c>
      <c r="H129" s="126">
        <v>0.6</v>
      </c>
      <c r="I129" s="126">
        <v>0.59</v>
      </c>
      <c r="J129" s="126">
        <v>0.57999999999999996</v>
      </c>
      <c r="K129" s="126">
        <v>0.56999999999999995</v>
      </c>
      <c r="L129" s="126">
        <v>0.56000000000000005</v>
      </c>
      <c r="M129">
        <v>0.55000000000000004</v>
      </c>
      <c r="N129">
        <v>0.54</v>
      </c>
      <c r="O129">
        <v>0.53</v>
      </c>
      <c r="P129">
        <v>0.52</v>
      </c>
      <c r="Q129">
        <v>0.51</v>
      </c>
      <c r="R129">
        <v>0.5</v>
      </c>
      <c r="S129">
        <v>0.49</v>
      </c>
      <c r="T129">
        <v>0.48</v>
      </c>
      <c r="U129">
        <v>0.47</v>
      </c>
      <c r="V129">
        <v>0.46</v>
      </c>
      <c r="W129">
        <v>0.45</v>
      </c>
      <c r="X129">
        <v>0.43</v>
      </c>
      <c r="Y129">
        <v>0.42</v>
      </c>
      <c r="Z129">
        <v>0.41</v>
      </c>
      <c r="AA129">
        <v>0.4</v>
      </c>
      <c r="AB129">
        <v>0.39</v>
      </c>
      <c r="AC129">
        <v>0.38</v>
      </c>
      <c r="AD129">
        <v>0.36</v>
      </c>
      <c r="AE129">
        <v>0.35</v>
      </c>
      <c r="AF129">
        <v>0.34</v>
      </c>
      <c r="AG129">
        <v>0.33</v>
      </c>
      <c r="AH129">
        <v>0.31</v>
      </c>
      <c r="AI129">
        <v>0.3</v>
      </c>
      <c r="AJ129">
        <v>0.28999999999999998</v>
      </c>
      <c r="AK129">
        <v>0.27</v>
      </c>
      <c r="AL129">
        <v>0.26</v>
      </c>
      <c r="AM129">
        <v>0.25</v>
      </c>
      <c r="AN129">
        <v>0.23</v>
      </c>
      <c r="AO129">
        <v>0.22</v>
      </c>
      <c r="AP129">
        <v>0.21</v>
      </c>
      <c r="AQ129">
        <v>0.19</v>
      </c>
      <c r="AR129">
        <v>0.18</v>
      </c>
      <c r="AS129">
        <v>0.17</v>
      </c>
      <c r="AT129">
        <v>0.17</v>
      </c>
      <c r="AU129">
        <v>0.17</v>
      </c>
      <c r="AV129">
        <v>0.17</v>
      </c>
      <c r="AW129">
        <v>0.16</v>
      </c>
      <c r="AX129">
        <v>0.16</v>
      </c>
      <c r="AY129">
        <v>0.16</v>
      </c>
      <c r="AZ129">
        <v>0.16</v>
      </c>
      <c r="BA129">
        <v>0.15</v>
      </c>
      <c r="BB129">
        <v>0.15</v>
      </c>
      <c r="BC129">
        <v>0.15</v>
      </c>
      <c r="BD129">
        <v>0.15</v>
      </c>
      <c r="BE129">
        <v>0.15</v>
      </c>
      <c r="BF129">
        <v>0.14000000000000001</v>
      </c>
      <c r="BG129">
        <v>0</v>
      </c>
      <c r="BH129">
        <v>0</v>
      </c>
      <c r="BI129">
        <v>0</v>
      </c>
      <c r="BJ129">
        <v>0</v>
      </c>
      <c r="BK129" s="84">
        <v>0</v>
      </c>
    </row>
    <row r="130" spans="1:63">
      <c r="A130" s="122">
        <v>48</v>
      </c>
      <c r="B130" s="116">
        <v>0.64</v>
      </c>
      <c r="C130" s="126">
        <v>0.64</v>
      </c>
      <c r="D130" s="126">
        <v>0.63</v>
      </c>
      <c r="E130" s="126">
        <v>0.62</v>
      </c>
      <c r="F130" s="126">
        <v>0.61</v>
      </c>
      <c r="G130" s="126">
        <v>0.6</v>
      </c>
      <c r="H130" s="126">
        <v>0.59</v>
      </c>
      <c r="I130" s="126">
        <v>0.57999999999999996</v>
      </c>
      <c r="J130" s="126">
        <v>0.56999999999999995</v>
      </c>
      <c r="K130" s="126">
        <v>0.56000000000000005</v>
      </c>
      <c r="L130" s="126">
        <v>0.55000000000000004</v>
      </c>
      <c r="M130">
        <v>0.54</v>
      </c>
      <c r="N130">
        <v>0.53</v>
      </c>
      <c r="O130">
        <v>0.52</v>
      </c>
      <c r="P130">
        <v>0.51</v>
      </c>
      <c r="Q130">
        <v>0.5</v>
      </c>
      <c r="R130">
        <v>0.49</v>
      </c>
      <c r="S130">
        <v>0.48</v>
      </c>
      <c r="T130">
        <v>0.47</v>
      </c>
      <c r="U130">
        <v>0.46</v>
      </c>
      <c r="V130">
        <v>0.44</v>
      </c>
      <c r="W130">
        <v>0.43</v>
      </c>
      <c r="X130">
        <v>0.42</v>
      </c>
      <c r="Y130">
        <v>0.41</v>
      </c>
      <c r="Z130">
        <v>0.4</v>
      </c>
      <c r="AA130">
        <v>0.39</v>
      </c>
      <c r="AB130">
        <v>0.37</v>
      </c>
      <c r="AC130">
        <v>0.36</v>
      </c>
      <c r="AD130">
        <v>0.35</v>
      </c>
      <c r="AE130">
        <v>0.34</v>
      </c>
      <c r="AF130">
        <v>0.32</v>
      </c>
      <c r="AG130">
        <v>0.31</v>
      </c>
      <c r="AH130">
        <v>0.3</v>
      </c>
      <c r="AI130">
        <v>0.28000000000000003</v>
      </c>
      <c r="AJ130">
        <v>0.27</v>
      </c>
      <c r="AK130">
        <v>0.26</v>
      </c>
      <c r="AL130">
        <v>0.24</v>
      </c>
      <c r="AM130">
        <v>0.23</v>
      </c>
      <c r="AN130">
        <v>0.22</v>
      </c>
      <c r="AO130">
        <v>0.2</v>
      </c>
      <c r="AP130">
        <v>0.19</v>
      </c>
      <c r="AQ130">
        <v>0.17</v>
      </c>
      <c r="AR130">
        <v>0.16</v>
      </c>
      <c r="AS130">
        <v>0.16</v>
      </c>
      <c r="AT130">
        <v>0.16</v>
      </c>
      <c r="AU130">
        <v>0.16</v>
      </c>
      <c r="AV130">
        <v>0.15</v>
      </c>
      <c r="AW130">
        <v>0.15</v>
      </c>
      <c r="AX130">
        <v>0.15</v>
      </c>
      <c r="AY130">
        <v>0.15</v>
      </c>
      <c r="AZ130">
        <v>0.15</v>
      </c>
      <c r="BA130">
        <v>0.14000000000000001</v>
      </c>
      <c r="BB130">
        <v>0</v>
      </c>
      <c r="BC130">
        <v>0</v>
      </c>
      <c r="BD130">
        <v>0</v>
      </c>
      <c r="BE130">
        <v>0</v>
      </c>
      <c r="BF130">
        <v>0</v>
      </c>
      <c r="BG130">
        <v>0</v>
      </c>
      <c r="BH130">
        <v>0</v>
      </c>
      <c r="BI130">
        <v>0</v>
      </c>
      <c r="BJ130">
        <v>0</v>
      </c>
      <c r="BK130" s="84">
        <v>0</v>
      </c>
    </row>
    <row r="131" spans="1:63">
      <c r="A131" s="122">
        <v>49</v>
      </c>
      <c r="B131" s="116">
        <v>0.63</v>
      </c>
      <c r="C131" s="126">
        <v>0.63</v>
      </c>
      <c r="D131" s="126">
        <v>0.62</v>
      </c>
      <c r="E131" s="126">
        <v>0.61</v>
      </c>
      <c r="F131" s="126">
        <v>0.6</v>
      </c>
      <c r="G131" s="126">
        <v>0.59</v>
      </c>
      <c r="H131" s="126">
        <v>0.57999999999999996</v>
      </c>
      <c r="I131" s="126">
        <v>0.56999999999999995</v>
      </c>
      <c r="J131" s="126">
        <v>0.56000000000000005</v>
      </c>
      <c r="K131" s="126">
        <v>0.55000000000000004</v>
      </c>
      <c r="L131" s="126">
        <v>0.54</v>
      </c>
      <c r="M131">
        <v>0.53</v>
      </c>
      <c r="N131">
        <v>0.52</v>
      </c>
      <c r="O131">
        <v>0.51</v>
      </c>
      <c r="P131">
        <v>0.5</v>
      </c>
      <c r="Q131">
        <v>0.49</v>
      </c>
      <c r="R131">
        <v>0.48</v>
      </c>
      <c r="S131">
        <v>0.47</v>
      </c>
      <c r="T131">
        <v>0.45</v>
      </c>
      <c r="U131">
        <v>0.44</v>
      </c>
      <c r="V131">
        <v>0.43</v>
      </c>
      <c r="W131">
        <v>0.42</v>
      </c>
      <c r="X131">
        <v>0.41</v>
      </c>
      <c r="Y131">
        <v>0.4</v>
      </c>
      <c r="Z131">
        <v>0.38</v>
      </c>
      <c r="AA131">
        <v>0.37</v>
      </c>
      <c r="AB131">
        <v>0.36</v>
      </c>
      <c r="AC131">
        <v>0.35</v>
      </c>
      <c r="AD131">
        <v>0.33</v>
      </c>
      <c r="AE131">
        <v>0.32</v>
      </c>
      <c r="AF131">
        <v>0.31</v>
      </c>
      <c r="AG131">
        <v>0.28999999999999998</v>
      </c>
      <c r="AH131">
        <v>0.28000000000000003</v>
      </c>
      <c r="AI131">
        <v>0.26</v>
      </c>
      <c r="AJ131">
        <v>0.25</v>
      </c>
      <c r="AK131">
        <v>0.24</v>
      </c>
      <c r="AL131">
        <v>0.22</v>
      </c>
      <c r="AM131">
        <v>0.21</v>
      </c>
      <c r="AN131">
        <v>0.2</v>
      </c>
      <c r="AO131">
        <v>0.18</v>
      </c>
      <c r="AP131">
        <v>0.17</v>
      </c>
      <c r="AQ131">
        <v>0.15</v>
      </c>
      <c r="AR131">
        <v>0.15</v>
      </c>
      <c r="AS131">
        <v>0.15</v>
      </c>
      <c r="AT131">
        <v>0.15</v>
      </c>
      <c r="AU131">
        <v>0.15</v>
      </c>
      <c r="AV131">
        <v>0.14000000000000001</v>
      </c>
      <c r="AW131">
        <v>0.14000000000000001</v>
      </c>
      <c r="AX131">
        <v>0</v>
      </c>
      <c r="AY131">
        <v>0</v>
      </c>
      <c r="AZ131">
        <v>0</v>
      </c>
      <c r="BA131">
        <v>0</v>
      </c>
      <c r="BB131">
        <v>0</v>
      </c>
      <c r="BC131">
        <v>0</v>
      </c>
      <c r="BD131">
        <v>0</v>
      </c>
      <c r="BE131">
        <v>0</v>
      </c>
      <c r="BF131">
        <v>0</v>
      </c>
      <c r="BG131">
        <v>0</v>
      </c>
      <c r="BH131">
        <v>0</v>
      </c>
      <c r="BI131">
        <v>0</v>
      </c>
      <c r="BJ131">
        <v>0</v>
      </c>
      <c r="BK131" s="84">
        <v>0</v>
      </c>
    </row>
    <row r="132" spans="1:63">
      <c r="A132" s="122">
        <v>50</v>
      </c>
      <c r="B132" s="130">
        <v>0.62</v>
      </c>
      <c r="C132" s="127">
        <v>0.62</v>
      </c>
      <c r="D132" s="127">
        <v>0.61</v>
      </c>
      <c r="E132" s="127">
        <v>0.6</v>
      </c>
      <c r="F132" s="127">
        <v>0.59</v>
      </c>
      <c r="G132" s="127">
        <v>0.57999999999999996</v>
      </c>
      <c r="H132" s="127">
        <v>0.56999999999999995</v>
      </c>
      <c r="I132" s="127">
        <v>0.56000000000000005</v>
      </c>
      <c r="J132" s="127">
        <v>0.55000000000000004</v>
      </c>
      <c r="K132" s="127">
        <v>0.54</v>
      </c>
      <c r="L132" s="127">
        <v>0.53</v>
      </c>
      <c r="M132" s="124">
        <v>0.52</v>
      </c>
      <c r="N132" s="124">
        <v>0.51</v>
      </c>
      <c r="O132" s="124">
        <v>0.5</v>
      </c>
      <c r="P132" s="124">
        <v>0.49</v>
      </c>
      <c r="Q132" s="124">
        <v>0.48</v>
      </c>
      <c r="R132" s="124">
        <v>0.46</v>
      </c>
      <c r="S132" s="124">
        <v>0.45</v>
      </c>
      <c r="T132" s="124">
        <v>0.44</v>
      </c>
      <c r="U132" s="124">
        <v>0.43</v>
      </c>
      <c r="V132" s="124">
        <v>0.42</v>
      </c>
      <c r="W132" s="124">
        <v>0.41</v>
      </c>
      <c r="X132" s="124">
        <v>0.39</v>
      </c>
      <c r="Y132" s="124">
        <v>0.38</v>
      </c>
      <c r="Z132" s="124">
        <v>0.37</v>
      </c>
      <c r="AA132" s="124">
        <v>0.36</v>
      </c>
      <c r="AB132" s="124">
        <v>0.34</v>
      </c>
      <c r="AC132" s="124">
        <v>0.33</v>
      </c>
      <c r="AD132" s="124">
        <v>0.32</v>
      </c>
      <c r="AE132" s="124">
        <v>0.3</v>
      </c>
      <c r="AF132" s="124">
        <v>0.28999999999999998</v>
      </c>
      <c r="AG132" s="124">
        <v>0.27</v>
      </c>
      <c r="AH132" s="124">
        <v>0.26</v>
      </c>
      <c r="AI132" s="124">
        <v>0.25</v>
      </c>
      <c r="AJ132" s="124">
        <v>0.23</v>
      </c>
      <c r="AK132" s="124">
        <v>0.22</v>
      </c>
      <c r="AL132" s="124">
        <v>0.2</v>
      </c>
      <c r="AM132" s="124">
        <v>0.19</v>
      </c>
      <c r="AN132" s="124">
        <v>0.17</v>
      </c>
      <c r="AO132" s="124">
        <v>0.16</v>
      </c>
      <c r="AP132" s="124">
        <v>0.15</v>
      </c>
      <c r="AQ132" s="124">
        <v>0.15</v>
      </c>
      <c r="AR132" s="124">
        <v>0.14000000000000001</v>
      </c>
      <c r="AS132" s="124">
        <v>0</v>
      </c>
      <c r="AT132" s="124">
        <v>0</v>
      </c>
      <c r="AU132" s="124">
        <v>0</v>
      </c>
      <c r="AV132" s="124">
        <v>0</v>
      </c>
      <c r="AW132" s="124">
        <v>0</v>
      </c>
      <c r="AX132" s="124">
        <v>0</v>
      </c>
      <c r="AY132" s="124">
        <v>0</v>
      </c>
      <c r="AZ132" s="124">
        <v>0</v>
      </c>
      <c r="BA132" s="124">
        <v>0</v>
      </c>
      <c r="BB132" s="124">
        <v>0</v>
      </c>
      <c r="BC132" s="124">
        <v>0</v>
      </c>
      <c r="BD132" s="124">
        <v>0</v>
      </c>
      <c r="BE132" s="124">
        <v>0</v>
      </c>
      <c r="BF132" s="124">
        <v>0</v>
      </c>
      <c r="BG132" s="124">
        <v>0</v>
      </c>
      <c r="BH132" s="124">
        <v>0</v>
      </c>
      <c r="BI132" s="124">
        <v>0</v>
      </c>
      <c r="BJ132" s="124">
        <v>0</v>
      </c>
      <c r="BK132" s="125">
        <v>0</v>
      </c>
    </row>
    <row r="133" spans="1:63">
      <c r="A133" s="122">
        <v>51</v>
      </c>
      <c r="B133" s="128">
        <v>0.61</v>
      </c>
      <c r="C133" s="129">
        <v>0.61</v>
      </c>
      <c r="D133" s="129">
        <v>0.6</v>
      </c>
      <c r="E133" s="129">
        <v>0.59</v>
      </c>
      <c r="F133" s="129">
        <v>0.57999999999999996</v>
      </c>
      <c r="G133" s="129">
        <v>0.56999999999999995</v>
      </c>
      <c r="H133" s="129">
        <v>0.56000000000000005</v>
      </c>
      <c r="I133" s="129">
        <v>0.55000000000000004</v>
      </c>
      <c r="J133" s="129">
        <v>0.54</v>
      </c>
      <c r="K133" s="129">
        <v>0.53</v>
      </c>
      <c r="L133" s="129">
        <v>0.52</v>
      </c>
      <c r="M133" s="120">
        <v>0.51</v>
      </c>
      <c r="N133" s="120">
        <v>0.5</v>
      </c>
      <c r="O133" s="120">
        <v>0.49</v>
      </c>
      <c r="P133" s="120">
        <v>0.47</v>
      </c>
      <c r="Q133" s="120">
        <v>0.46</v>
      </c>
      <c r="R133" s="120">
        <v>0.45</v>
      </c>
      <c r="S133" s="120">
        <v>0.44</v>
      </c>
      <c r="T133" s="120">
        <v>0.43</v>
      </c>
      <c r="U133" s="120">
        <v>0.42</v>
      </c>
      <c r="V133" s="120">
        <v>0.4</v>
      </c>
      <c r="W133" s="120">
        <v>0.39</v>
      </c>
      <c r="X133" s="120">
        <v>0.38</v>
      </c>
      <c r="Y133" s="120">
        <v>0.37</v>
      </c>
      <c r="Z133" s="120">
        <v>0.35</v>
      </c>
      <c r="AA133" s="120">
        <v>0.34</v>
      </c>
      <c r="AB133" s="120">
        <v>0.33</v>
      </c>
      <c r="AC133" s="120">
        <v>0.31</v>
      </c>
      <c r="AD133" s="120">
        <v>0.3</v>
      </c>
      <c r="AE133" s="120">
        <v>0.28000000000000003</v>
      </c>
      <c r="AF133" s="120">
        <v>0.27</v>
      </c>
      <c r="AG133" s="120">
        <v>0.26</v>
      </c>
      <c r="AH133" s="120">
        <v>0.24</v>
      </c>
      <c r="AI133" s="120">
        <v>0.23</v>
      </c>
      <c r="AJ133" s="120">
        <v>0.21</v>
      </c>
      <c r="AK133" s="120">
        <v>0.2</v>
      </c>
      <c r="AL133" s="120">
        <v>0.18</v>
      </c>
      <c r="AM133" s="120">
        <v>0.17</v>
      </c>
      <c r="AN133" s="120">
        <v>0.15</v>
      </c>
      <c r="AO133" s="120">
        <v>0</v>
      </c>
      <c r="AP133" s="120">
        <v>0</v>
      </c>
      <c r="AQ133" s="120">
        <v>0</v>
      </c>
      <c r="AR133" s="120">
        <v>0</v>
      </c>
      <c r="AS133" s="120">
        <v>0</v>
      </c>
      <c r="AT133" s="120">
        <v>0</v>
      </c>
      <c r="AU133" s="120">
        <v>0</v>
      </c>
      <c r="AV133" s="120">
        <v>0</v>
      </c>
      <c r="AW133" s="120">
        <v>0</v>
      </c>
      <c r="AX133" s="120">
        <v>0</v>
      </c>
      <c r="AY133" s="120">
        <v>0</v>
      </c>
      <c r="AZ133" s="120">
        <v>0</v>
      </c>
      <c r="BA133" s="120">
        <v>0</v>
      </c>
      <c r="BB133" s="120">
        <v>0</v>
      </c>
      <c r="BC133" s="120">
        <v>0</v>
      </c>
      <c r="BD133" s="120">
        <v>0</v>
      </c>
      <c r="BE133" s="120">
        <v>0</v>
      </c>
      <c r="BF133" s="120">
        <v>0</v>
      </c>
      <c r="BG133" s="120">
        <v>0</v>
      </c>
      <c r="BH133" s="120">
        <v>0</v>
      </c>
      <c r="BI133" s="120">
        <v>0</v>
      </c>
      <c r="BJ133" s="120">
        <v>0</v>
      </c>
      <c r="BK133" s="121">
        <v>0</v>
      </c>
    </row>
    <row r="134" spans="1:63">
      <c r="A134" s="122">
        <v>52</v>
      </c>
      <c r="B134" s="116">
        <v>0.6</v>
      </c>
      <c r="C134" s="126">
        <v>0.6</v>
      </c>
      <c r="D134" s="126">
        <v>0.59</v>
      </c>
      <c r="E134" s="126">
        <v>0.57999999999999996</v>
      </c>
      <c r="F134" s="126">
        <v>0.56999999999999995</v>
      </c>
      <c r="G134" s="126">
        <v>0.56000000000000005</v>
      </c>
      <c r="H134" s="126">
        <v>0.55000000000000004</v>
      </c>
      <c r="I134" s="126">
        <v>0.54</v>
      </c>
      <c r="J134" s="126">
        <v>0.53</v>
      </c>
      <c r="K134" s="126">
        <v>0.52</v>
      </c>
      <c r="L134" s="126">
        <v>0.51</v>
      </c>
      <c r="M134">
        <v>0.49</v>
      </c>
      <c r="N134">
        <v>0.48</v>
      </c>
      <c r="O134">
        <v>0.47</v>
      </c>
      <c r="P134">
        <v>0.46</v>
      </c>
      <c r="Q134">
        <v>0.45</v>
      </c>
      <c r="R134">
        <v>0.44</v>
      </c>
      <c r="S134">
        <v>0.42</v>
      </c>
      <c r="T134">
        <v>0.41</v>
      </c>
      <c r="U134">
        <v>0.4</v>
      </c>
      <c r="V134">
        <v>0.39</v>
      </c>
      <c r="W134">
        <v>0.37</v>
      </c>
      <c r="X134">
        <v>0.36</v>
      </c>
      <c r="Y134">
        <v>0.35</v>
      </c>
      <c r="Z134">
        <v>0.34</v>
      </c>
      <c r="AA134">
        <v>0.32</v>
      </c>
      <c r="AB134">
        <v>0.31</v>
      </c>
      <c r="AC134">
        <v>0.28999999999999998</v>
      </c>
      <c r="AD134">
        <v>0.28000000000000003</v>
      </c>
      <c r="AE134">
        <v>0.27</v>
      </c>
      <c r="AF134">
        <v>0.25</v>
      </c>
      <c r="AG134">
        <v>0.24</v>
      </c>
      <c r="AH134">
        <v>0.22</v>
      </c>
      <c r="AI134">
        <v>0.21</v>
      </c>
      <c r="AJ134">
        <v>0.19</v>
      </c>
      <c r="AK134">
        <v>0.18</v>
      </c>
      <c r="AL134">
        <v>0.16</v>
      </c>
      <c r="AM134">
        <v>0.15</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s="84">
        <v>0</v>
      </c>
    </row>
    <row r="135" spans="1:63">
      <c r="A135" s="122">
        <v>53</v>
      </c>
      <c r="B135" s="116">
        <v>0.59</v>
      </c>
      <c r="C135" s="126">
        <v>0.59</v>
      </c>
      <c r="D135" s="126">
        <v>0.57999999999999996</v>
      </c>
      <c r="E135" s="126">
        <v>0.56999999999999995</v>
      </c>
      <c r="F135" s="126">
        <v>0.56000000000000005</v>
      </c>
      <c r="G135" s="126">
        <v>0.55000000000000004</v>
      </c>
      <c r="H135" s="126">
        <v>0.54</v>
      </c>
      <c r="I135" s="126">
        <v>0.53</v>
      </c>
      <c r="J135" s="126">
        <v>0.51</v>
      </c>
      <c r="K135" s="126">
        <v>0.5</v>
      </c>
      <c r="L135" s="126">
        <v>0.49</v>
      </c>
      <c r="M135">
        <v>0.48</v>
      </c>
      <c r="N135">
        <v>0.47</v>
      </c>
      <c r="O135">
        <v>0.46</v>
      </c>
      <c r="P135">
        <v>0.45</v>
      </c>
      <c r="Q135">
        <v>0.43</v>
      </c>
      <c r="R135">
        <v>0.42</v>
      </c>
      <c r="S135">
        <v>0.41</v>
      </c>
      <c r="T135">
        <v>0.4</v>
      </c>
      <c r="U135">
        <v>0.38</v>
      </c>
      <c r="V135">
        <v>0.37</v>
      </c>
      <c r="W135">
        <v>0.36</v>
      </c>
      <c r="X135">
        <v>0.35</v>
      </c>
      <c r="Y135">
        <v>0.33</v>
      </c>
      <c r="Z135">
        <v>0.32</v>
      </c>
      <c r="AA135">
        <v>0.3</v>
      </c>
      <c r="AB135">
        <v>0.28999999999999998</v>
      </c>
      <c r="AC135">
        <v>0.28000000000000003</v>
      </c>
      <c r="AD135">
        <v>0.26</v>
      </c>
      <c r="AE135">
        <v>0.25</v>
      </c>
      <c r="AF135">
        <v>0.23</v>
      </c>
      <c r="AG135">
        <v>0.22</v>
      </c>
      <c r="AH135">
        <v>0.2</v>
      </c>
      <c r="AI135">
        <v>0.19</v>
      </c>
      <c r="AJ135">
        <v>0.17</v>
      </c>
      <c r="AK135">
        <v>0.15</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s="84">
        <v>0</v>
      </c>
    </row>
    <row r="136" spans="1:63">
      <c r="A136" s="122">
        <v>54</v>
      </c>
      <c r="B136" s="116">
        <v>0.57999999999999996</v>
      </c>
      <c r="C136" s="126">
        <v>0.57999999999999996</v>
      </c>
      <c r="D136" s="126">
        <v>0.56999999999999995</v>
      </c>
      <c r="E136" s="126">
        <v>0.55000000000000004</v>
      </c>
      <c r="F136" s="126">
        <v>0.54</v>
      </c>
      <c r="G136" s="126">
        <v>0.53</v>
      </c>
      <c r="H136" s="126">
        <v>0.52</v>
      </c>
      <c r="I136" s="126">
        <v>0.51</v>
      </c>
      <c r="J136" s="126">
        <v>0.5</v>
      </c>
      <c r="K136" s="126">
        <v>0.49</v>
      </c>
      <c r="L136" s="126">
        <v>0.48</v>
      </c>
      <c r="M136">
        <v>0.47</v>
      </c>
      <c r="N136">
        <v>0.46</v>
      </c>
      <c r="O136">
        <v>0.44</v>
      </c>
      <c r="P136">
        <v>0.43</v>
      </c>
      <c r="Q136">
        <v>0.42</v>
      </c>
      <c r="R136">
        <v>0.41</v>
      </c>
      <c r="S136">
        <v>0.39</v>
      </c>
      <c r="T136">
        <v>0.38</v>
      </c>
      <c r="U136">
        <v>0.37</v>
      </c>
      <c r="V136">
        <v>0.35</v>
      </c>
      <c r="W136">
        <v>0.34</v>
      </c>
      <c r="X136">
        <v>0.33</v>
      </c>
      <c r="Y136">
        <v>0.31</v>
      </c>
      <c r="Z136">
        <v>0.3</v>
      </c>
      <c r="AA136">
        <v>0.28999999999999998</v>
      </c>
      <c r="AB136">
        <v>0.27</v>
      </c>
      <c r="AC136">
        <v>0.26</v>
      </c>
      <c r="AD136">
        <v>0.24</v>
      </c>
      <c r="AE136">
        <v>0.23</v>
      </c>
      <c r="AF136">
        <v>0.21</v>
      </c>
      <c r="AG136">
        <v>0.19</v>
      </c>
      <c r="AH136">
        <v>0.18</v>
      </c>
      <c r="AI136">
        <v>0.16</v>
      </c>
      <c r="AJ136">
        <v>0.15</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s="84">
        <v>0</v>
      </c>
    </row>
    <row r="137" spans="1:63">
      <c r="A137" s="122">
        <v>55</v>
      </c>
      <c r="B137" s="130">
        <v>0.56000000000000005</v>
      </c>
      <c r="C137" s="127">
        <v>0.56000000000000005</v>
      </c>
      <c r="D137" s="127">
        <v>0.55000000000000004</v>
      </c>
      <c r="E137" s="127">
        <v>0.54</v>
      </c>
      <c r="F137" s="127">
        <v>0.53</v>
      </c>
      <c r="G137" s="127">
        <v>0.52</v>
      </c>
      <c r="H137" s="127">
        <v>0.51</v>
      </c>
      <c r="I137" s="127">
        <v>0.5</v>
      </c>
      <c r="J137" s="127">
        <v>0.49</v>
      </c>
      <c r="K137" s="127">
        <v>0.48</v>
      </c>
      <c r="L137" s="127">
        <v>0.46</v>
      </c>
      <c r="M137" s="124">
        <v>0.45</v>
      </c>
      <c r="N137" s="124">
        <v>0.44</v>
      </c>
      <c r="O137" s="124">
        <v>0.43</v>
      </c>
      <c r="P137" s="124">
        <v>0.42</v>
      </c>
      <c r="Q137" s="124">
        <v>0.4</v>
      </c>
      <c r="R137" s="124">
        <v>0.39</v>
      </c>
      <c r="S137" s="124">
        <v>0.38</v>
      </c>
      <c r="T137" s="124">
        <v>0.36</v>
      </c>
      <c r="U137" s="124">
        <v>0.35</v>
      </c>
      <c r="V137" s="124">
        <v>0.34</v>
      </c>
      <c r="W137" s="124">
        <v>0.32</v>
      </c>
      <c r="X137" s="124">
        <v>0.31</v>
      </c>
      <c r="Y137" s="124">
        <v>0.28999999999999998</v>
      </c>
      <c r="Z137" s="124">
        <v>0.28000000000000003</v>
      </c>
      <c r="AA137" s="124">
        <v>0.27</v>
      </c>
      <c r="AB137" s="124">
        <v>0.25</v>
      </c>
      <c r="AC137" s="124">
        <v>0.24</v>
      </c>
      <c r="AD137" s="124">
        <v>0.22</v>
      </c>
      <c r="AE137" s="124">
        <v>0.2</v>
      </c>
      <c r="AF137" s="124">
        <v>0.19</v>
      </c>
      <c r="AG137" s="124">
        <v>0.17</v>
      </c>
      <c r="AH137" s="124">
        <v>0.16</v>
      </c>
      <c r="AI137" s="124">
        <v>0</v>
      </c>
      <c r="AJ137" s="124">
        <v>0</v>
      </c>
      <c r="AK137" s="124">
        <v>0</v>
      </c>
      <c r="AL137" s="124">
        <v>0</v>
      </c>
      <c r="AM137" s="124">
        <v>0</v>
      </c>
      <c r="AN137" s="124">
        <v>0</v>
      </c>
      <c r="AO137" s="124">
        <v>0</v>
      </c>
      <c r="AP137" s="124">
        <v>0</v>
      </c>
      <c r="AQ137" s="124">
        <v>0</v>
      </c>
      <c r="AR137" s="124">
        <v>0</v>
      </c>
      <c r="AS137" s="124">
        <v>0</v>
      </c>
      <c r="AT137" s="124">
        <v>0</v>
      </c>
      <c r="AU137" s="124">
        <v>0</v>
      </c>
      <c r="AV137" s="124">
        <v>0</v>
      </c>
      <c r="AW137" s="124">
        <v>0</v>
      </c>
      <c r="AX137" s="124">
        <v>0</v>
      </c>
      <c r="AY137" s="124">
        <v>0</v>
      </c>
      <c r="AZ137" s="124">
        <v>0</v>
      </c>
      <c r="BA137" s="124">
        <v>0</v>
      </c>
      <c r="BB137" s="124">
        <v>0</v>
      </c>
      <c r="BC137" s="124">
        <v>0</v>
      </c>
      <c r="BD137" s="124">
        <v>0</v>
      </c>
      <c r="BE137" s="124">
        <v>0</v>
      </c>
      <c r="BF137" s="124">
        <v>0</v>
      </c>
      <c r="BG137" s="124">
        <v>0</v>
      </c>
      <c r="BH137" s="124">
        <v>0</v>
      </c>
      <c r="BI137" s="124">
        <v>0</v>
      </c>
      <c r="BJ137" s="124">
        <v>0</v>
      </c>
      <c r="BK137" s="125">
        <v>0</v>
      </c>
    </row>
    <row r="138" spans="1:63">
      <c r="A138" s="122">
        <v>56</v>
      </c>
      <c r="B138" s="128">
        <v>0.55000000000000004</v>
      </c>
      <c r="C138" s="129">
        <v>0.55000000000000004</v>
      </c>
      <c r="D138" s="129">
        <v>0.54</v>
      </c>
      <c r="E138" s="129">
        <v>0.53</v>
      </c>
      <c r="F138" s="129">
        <v>0.52</v>
      </c>
      <c r="G138" s="129">
        <v>0.51</v>
      </c>
      <c r="H138" s="129">
        <v>0.5</v>
      </c>
      <c r="I138" s="129">
        <v>0.48</v>
      </c>
      <c r="J138" s="129">
        <v>0.47</v>
      </c>
      <c r="K138" s="129">
        <v>0.46</v>
      </c>
      <c r="L138" s="129">
        <v>0.45</v>
      </c>
      <c r="M138" s="120">
        <v>0.44</v>
      </c>
      <c r="N138" s="120">
        <v>0.42</v>
      </c>
      <c r="O138" s="120">
        <v>0.41</v>
      </c>
      <c r="P138" s="120">
        <v>0.4</v>
      </c>
      <c r="Q138" s="120">
        <v>0.39</v>
      </c>
      <c r="R138" s="120">
        <v>0.37</v>
      </c>
      <c r="S138" s="120">
        <v>0.36</v>
      </c>
      <c r="T138" s="120">
        <v>0.35</v>
      </c>
      <c r="U138" s="120">
        <v>0.33</v>
      </c>
      <c r="V138" s="120">
        <v>0.32</v>
      </c>
      <c r="W138" s="120">
        <v>0.3</v>
      </c>
      <c r="X138" s="120">
        <v>0.28999999999999998</v>
      </c>
      <c r="Y138" s="120">
        <v>0.28000000000000003</v>
      </c>
      <c r="Z138" s="120">
        <v>0.26</v>
      </c>
      <c r="AA138" s="120">
        <v>0.24</v>
      </c>
      <c r="AB138" s="120">
        <v>0.23</v>
      </c>
      <c r="AC138" s="120">
        <v>0.21</v>
      </c>
      <c r="AD138" s="120">
        <v>0.2</v>
      </c>
      <c r="AE138" s="120">
        <v>0.18</v>
      </c>
      <c r="AF138" s="120">
        <v>0.17</v>
      </c>
      <c r="AG138" s="120">
        <v>0.15</v>
      </c>
      <c r="AH138" s="120">
        <v>0</v>
      </c>
      <c r="AI138" s="120">
        <v>0</v>
      </c>
      <c r="AJ138" s="120">
        <v>0</v>
      </c>
      <c r="AK138" s="120">
        <v>0</v>
      </c>
      <c r="AL138" s="120">
        <v>0</v>
      </c>
      <c r="AM138" s="120">
        <v>0</v>
      </c>
      <c r="AN138" s="120">
        <v>0</v>
      </c>
      <c r="AO138" s="120">
        <v>0</v>
      </c>
      <c r="AP138" s="120">
        <v>0</v>
      </c>
      <c r="AQ138" s="120">
        <v>0</v>
      </c>
      <c r="AR138" s="120">
        <v>0</v>
      </c>
      <c r="AS138" s="120">
        <v>0</v>
      </c>
      <c r="AT138" s="120">
        <v>0</v>
      </c>
      <c r="AU138" s="120">
        <v>0</v>
      </c>
      <c r="AV138" s="120">
        <v>0</v>
      </c>
      <c r="AW138" s="120">
        <v>0</v>
      </c>
      <c r="AX138" s="120">
        <v>0</v>
      </c>
      <c r="AY138" s="120">
        <v>0</v>
      </c>
      <c r="AZ138" s="120">
        <v>0</v>
      </c>
      <c r="BA138" s="120">
        <v>0</v>
      </c>
      <c r="BB138" s="120">
        <v>0</v>
      </c>
      <c r="BC138" s="120">
        <v>0</v>
      </c>
      <c r="BD138" s="120">
        <v>0</v>
      </c>
      <c r="BE138" s="120">
        <v>0</v>
      </c>
      <c r="BF138" s="120">
        <v>0</v>
      </c>
      <c r="BG138" s="120">
        <v>0</v>
      </c>
      <c r="BH138" s="120">
        <v>0</v>
      </c>
      <c r="BI138" s="120">
        <v>0</v>
      </c>
      <c r="BJ138" s="120">
        <v>0</v>
      </c>
      <c r="BK138" s="121">
        <v>0</v>
      </c>
    </row>
    <row r="139" spans="1:63">
      <c r="A139" s="122">
        <v>57</v>
      </c>
      <c r="B139" s="116">
        <v>0.54</v>
      </c>
      <c r="C139" s="126">
        <v>0.54</v>
      </c>
      <c r="D139" s="126">
        <v>0.53</v>
      </c>
      <c r="E139" s="126">
        <v>0.51</v>
      </c>
      <c r="F139" s="126">
        <v>0.5</v>
      </c>
      <c r="G139" s="126">
        <v>0.49</v>
      </c>
      <c r="H139" s="126">
        <v>0.48</v>
      </c>
      <c r="I139" s="126">
        <v>0.47</v>
      </c>
      <c r="J139" s="126">
        <v>0.46</v>
      </c>
      <c r="K139" s="126">
        <v>0.45</v>
      </c>
      <c r="L139" s="126">
        <v>0.43</v>
      </c>
      <c r="M139">
        <v>0.42</v>
      </c>
      <c r="N139">
        <v>0.41</v>
      </c>
      <c r="O139">
        <v>0.4</v>
      </c>
      <c r="P139">
        <v>0.38</v>
      </c>
      <c r="Q139">
        <v>0.37</v>
      </c>
      <c r="R139">
        <v>0.36</v>
      </c>
      <c r="S139">
        <v>0.34</v>
      </c>
      <c r="T139">
        <v>0.33</v>
      </c>
      <c r="U139">
        <v>0.31</v>
      </c>
      <c r="V139">
        <v>0.3</v>
      </c>
      <c r="W139">
        <v>0.26</v>
      </c>
      <c r="X139">
        <v>0.27</v>
      </c>
      <c r="Y139">
        <v>0.25</v>
      </c>
      <c r="Z139">
        <v>0.24</v>
      </c>
      <c r="AA139">
        <v>0.22</v>
      </c>
      <c r="AB139">
        <v>0.21</v>
      </c>
      <c r="AC139">
        <v>0.19</v>
      </c>
      <c r="AD139">
        <v>0.17</v>
      </c>
      <c r="AE139">
        <v>0.16</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s="84">
        <v>0</v>
      </c>
    </row>
    <row r="140" spans="1:63">
      <c r="A140" s="122">
        <v>58</v>
      </c>
      <c r="B140" s="116">
        <v>0.52</v>
      </c>
      <c r="C140" s="126">
        <v>0.52</v>
      </c>
      <c r="D140" s="126">
        <v>0.51</v>
      </c>
      <c r="E140" s="126">
        <v>0.5</v>
      </c>
      <c r="F140" s="126">
        <v>0.49</v>
      </c>
      <c r="G140" s="126">
        <v>0.48</v>
      </c>
      <c r="H140" s="126">
        <v>0.47</v>
      </c>
      <c r="I140" s="126">
        <v>0.45</v>
      </c>
      <c r="J140" s="126">
        <v>0.44</v>
      </c>
      <c r="K140" s="126">
        <v>0.43</v>
      </c>
      <c r="L140" s="126">
        <v>0.42</v>
      </c>
      <c r="M140">
        <v>0.4</v>
      </c>
      <c r="N140">
        <v>0.39</v>
      </c>
      <c r="O140">
        <v>0.38</v>
      </c>
      <c r="P140">
        <v>0.36</v>
      </c>
      <c r="Q140">
        <v>0.35</v>
      </c>
      <c r="R140">
        <v>0.34</v>
      </c>
      <c r="S140">
        <v>0.32</v>
      </c>
      <c r="T140">
        <v>0.31</v>
      </c>
      <c r="U140">
        <v>0.28999999999999998</v>
      </c>
      <c r="V140">
        <v>0.28000000000000003</v>
      </c>
      <c r="W140">
        <v>0.26</v>
      </c>
      <c r="X140">
        <v>0.25</v>
      </c>
      <c r="Y140">
        <v>0.23</v>
      </c>
      <c r="Z140">
        <v>0.22</v>
      </c>
      <c r="AA140">
        <v>0.2</v>
      </c>
      <c r="AB140">
        <v>0.18</v>
      </c>
      <c r="AC140">
        <v>0.17</v>
      </c>
      <c r="AD140">
        <v>0.15</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s="84">
        <v>0</v>
      </c>
    </row>
    <row r="141" spans="1:63">
      <c r="A141" s="122">
        <v>59</v>
      </c>
      <c r="B141" s="116">
        <v>0.51</v>
      </c>
      <c r="C141" s="126">
        <v>0.51</v>
      </c>
      <c r="D141" s="126">
        <v>0.5</v>
      </c>
      <c r="E141" s="126">
        <v>0.48</v>
      </c>
      <c r="F141" s="126">
        <v>0.47</v>
      </c>
      <c r="G141" s="126">
        <v>0.46</v>
      </c>
      <c r="H141" s="126">
        <v>0.45</v>
      </c>
      <c r="I141" s="126">
        <v>0.44</v>
      </c>
      <c r="J141" s="126">
        <v>0.42</v>
      </c>
      <c r="K141" s="126">
        <v>0.41</v>
      </c>
      <c r="L141" s="126">
        <v>0.4</v>
      </c>
      <c r="M141">
        <v>0.39</v>
      </c>
      <c r="N141">
        <v>0.37</v>
      </c>
      <c r="O141">
        <v>0.36</v>
      </c>
      <c r="P141">
        <v>0.35</v>
      </c>
      <c r="Q141">
        <v>0.33</v>
      </c>
      <c r="R141">
        <v>0.32</v>
      </c>
      <c r="S141">
        <v>0.3</v>
      </c>
      <c r="T141">
        <v>0.28999999999999998</v>
      </c>
      <c r="U141">
        <v>0.27</v>
      </c>
      <c r="V141">
        <v>0.26</v>
      </c>
      <c r="W141">
        <v>0.24</v>
      </c>
      <c r="X141">
        <v>0.23</v>
      </c>
      <c r="Y141">
        <v>0.21</v>
      </c>
      <c r="Z141">
        <v>0.19</v>
      </c>
      <c r="AA141">
        <v>0.18</v>
      </c>
      <c r="AB141">
        <v>0.16</v>
      </c>
      <c r="AC141">
        <v>0.14000000000000001</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s="84">
        <v>0</v>
      </c>
    </row>
    <row r="142" spans="1:63">
      <c r="A142" s="122">
        <v>60</v>
      </c>
      <c r="B142" s="130">
        <v>0.49</v>
      </c>
      <c r="C142" s="127">
        <v>0.49</v>
      </c>
      <c r="D142" s="127">
        <v>0.48</v>
      </c>
      <c r="E142" s="127">
        <v>0.47</v>
      </c>
      <c r="F142" s="127">
        <v>0.46</v>
      </c>
      <c r="G142" s="127">
        <v>0.44</v>
      </c>
      <c r="H142" s="127">
        <v>0.43</v>
      </c>
      <c r="I142" s="127">
        <v>0.42</v>
      </c>
      <c r="J142" s="127">
        <v>0.41</v>
      </c>
      <c r="K142" s="127">
        <v>0.39</v>
      </c>
      <c r="L142" s="127">
        <v>0.38</v>
      </c>
      <c r="M142" s="124">
        <v>0.37</v>
      </c>
      <c r="N142" s="124">
        <v>0.35</v>
      </c>
      <c r="O142" s="124">
        <v>0.34</v>
      </c>
      <c r="P142" s="124">
        <v>0.33</v>
      </c>
      <c r="Q142" s="124">
        <v>0.31</v>
      </c>
      <c r="R142" s="124">
        <v>0.3</v>
      </c>
      <c r="S142" s="124">
        <v>0.28000000000000003</v>
      </c>
      <c r="T142" s="124">
        <v>0.27</v>
      </c>
      <c r="U142" s="124">
        <v>0.25</v>
      </c>
      <c r="V142" s="124">
        <v>0.24</v>
      </c>
      <c r="W142" s="124">
        <v>0.22</v>
      </c>
      <c r="X142" s="124">
        <v>0.2</v>
      </c>
      <c r="Y142" s="124">
        <v>0.19</v>
      </c>
      <c r="Z142" s="124">
        <v>0.17</v>
      </c>
      <c r="AA142" s="124">
        <v>0.15</v>
      </c>
      <c r="AB142" s="124">
        <v>0</v>
      </c>
      <c r="AC142" s="124">
        <v>0</v>
      </c>
      <c r="AD142" s="124">
        <v>0</v>
      </c>
      <c r="AE142" s="124">
        <v>0</v>
      </c>
      <c r="AF142" s="124">
        <v>0</v>
      </c>
      <c r="AG142" s="124">
        <v>0</v>
      </c>
      <c r="AH142" s="124">
        <v>0</v>
      </c>
      <c r="AI142" s="124">
        <v>0</v>
      </c>
      <c r="AJ142" s="124">
        <v>0</v>
      </c>
      <c r="AK142" s="124">
        <v>0</v>
      </c>
      <c r="AL142" s="124">
        <v>0</v>
      </c>
      <c r="AM142" s="124">
        <v>0</v>
      </c>
      <c r="AN142" s="124">
        <v>0</v>
      </c>
      <c r="AO142" s="124">
        <v>0</v>
      </c>
      <c r="AP142" s="124">
        <v>0</v>
      </c>
      <c r="AQ142" s="124">
        <v>0</v>
      </c>
      <c r="AR142" s="124">
        <v>0</v>
      </c>
      <c r="AS142" s="124">
        <v>0</v>
      </c>
      <c r="AT142" s="124">
        <v>0</v>
      </c>
      <c r="AU142" s="124">
        <v>0</v>
      </c>
      <c r="AV142" s="124">
        <v>0</v>
      </c>
      <c r="AW142" s="124">
        <v>0</v>
      </c>
      <c r="AX142" s="124">
        <v>0</v>
      </c>
      <c r="AY142" s="124">
        <v>0</v>
      </c>
      <c r="AZ142" s="124">
        <v>0</v>
      </c>
      <c r="BA142" s="124">
        <v>0</v>
      </c>
      <c r="BB142" s="124">
        <v>0</v>
      </c>
      <c r="BC142" s="124">
        <v>0</v>
      </c>
      <c r="BD142" s="124">
        <v>0</v>
      </c>
      <c r="BE142" s="124">
        <v>0</v>
      </c>
      <c r="BF142" s="124">
        <v>0</v>
      </c>
      <c r="BG142" s="124">
        <v>0</v>
      </c>
      <c r="BH142" s="124">
        <v>0</v>
      </c>
      <c r="BI142" s="124">
        <v>0</v>
      </c>
      <c r="BJ142" s="124">
        <v>0</v>
      </c>
      <c r="BK142" s="125">
        <v>0</v>
      </c>
    </row>
    <row r="143" spans="1:63">
      <c r="A143" s="122">
        <v>61</v>
      </c>
      <c r="B143" s="128">
        <v>0.48</v>
      </c>
      <c r="C143" s="129">
        <v>0.48</v>
      </c>
      <c r="D143" s="129">
        <v>0.46</v>
      </c>
      <c r="E143" s="129">
        <v>0.45</v>
      </c>
      <c r="F143" s="129">
        <v>0.44</v>
      </c>
      <c r="G143" s="129">
        <v>0.43</v>
      </c>
      <c r="H143" s="129">
        <v>0.41</v>
      </c>
      <c r="I143" s="129">
        <v>0.4</v>
      </c>
      <c r="J143" s="129">
        <v>0.39</v>
      </c>
      <c r="K143" s="129">
        <v>0.38</v>
      </c>
      <c r="L143" s="129">
        <v>0.36</v>
      </c>
      <c r="M143" s="120">
        <v>0.35</v>
      </c>
      <c r="N143" s="120">
        <v>0.33</v>
      </c>
      <c r="O143" s="120">
        <v>0.32</v>
      </c>
      <c r="P143" s="120">
        <v>0.31</v>
      </c>
      <c r="Q143" s="120">
        <v>0.28999999999999998</v>
      </c>
      <c r="R143" s="120">
        <v>0.28000000000000003</v>
      </c>
      <c r="S143" s="120">
        <v>0.26</v>
      </c>
      <c r="T143" s="120">
        <v>0.24</v>
      </c>
      <c r="U143" s="120">
        <v>0.23</v>
      </c>
      <c r="V143" s="120">
        <v>0.21</v>
      </c>
      <c r="W143" s="120">
        <v>0.2</v>
      </c>
      <c r="X143" s="120">
        <v>0.18</v>
      </c>
      <c r="Y143" s="120">
        <v>0.16</v>
      </c>
      <c r="Z143" s="120">
        <v>0.14000000000000001</v>
      </c>
      <c r="AA143" s="120">
        <v>0</v>
      </c>
      <c r="AB143" s="120">
        <v>0</v>
      </c>
      <c r="AC143" s="120">
        <v>0</v>
      </c>
      <c r="AD143" s="120">
        <v>0</v>
      </c>
      <c r="AE143" s="120">
        <v>0</v>
      </c>
      <c r="AF143" s="120">
        <v>0</v>
      </c>
      <c r="AG143" s="120">
        <v>0</v>
      </c>
      <c r="AH143" s="120">
        <v>0</v>
      </c>
      <c r="AI143" s="120">
        <v>0</v>
      </c>
      <c r="AJ143" s="120">
        <v>0</v>
      </c>
      <c r="AK143" s="120">
        <v>0</v>
      </c>
      <c r="AL143" s="120">
        <v>0</v>
      </c>
      <c r="AM143" s="120">
        <v>0</v>
      </c>
      <c r="AN143" s="120">
        <v>0</v>
      </c>
      <c r="AO143" s="120">
        <v>0</v>
      </c>
      <c r="AP143" s="120">
        <v>0</v>
      </c>
      <c r="AQ143" s="120">
        <v>0</v>
      </c>
      <c r="AR143" s="120">
        <v>0</v>
      </c>
      <c r="AS143" s="120">
        <v>0</v>
      </c>
      <c r="AT143" s="120">
        <v>0</v>
      </c>
      <c r="AU143" s="120">
        <v>0</v>
      </c>
      <c r="AV143" s="120">
        <v>0</v>
      </c>
      <c r="AW143" s="120">
        <v>0</v>
      </c>
      <c r="AX143" s="120">
        <v>0</v>
      </c>
      <c r="AY143" s="120">
        <v>0</v>
      </c>
      <c r="AZ143" s="120">
        <v>0</v>
      </c>
      <c r="BA143" s="120">
        <v>0</v>
      </c>
      <c r="BB143" s="120">
        <v>0</v>
      </c>
      <c r="BC143" s="120">
        <v>0</v>
      </c>
      <c r="BD143" s="120">
        <v>0</v>
      </c>
      <c r="BE143" s="120">
        <v>0</v>
      </c>
      <c r="BF143" s="120">
        <v>0</v>
      </c>
      <c r="BG143" s="120">
        <v>0</v>
      </c>
      <c r="BH143" s="120">
        <v>0</v>
      </c>
      <c r="BI143" s="120">
        <v>0</v>
      </c>
      <c r="BJ143" s="120">
        <v>0</v>
      </c>
      <c r="BK143" s="121">
        <v>0</v>
      </c>
    </row>
    <row r="144" spans="1:63">
      <c r="A144" s="122">
        <v>62</v>
      </c>
      <c r="B144" s="116">
        <v>0.46</v>
      </c>
      <c r="C144" s="126">
        <v>0.46</v>
      </c>
      <c r="D144" s="126">
        <v>0.45</v>
      </c>
      <c r="E144" s="126">
        <v>0.43</v>
      </c>
      <c r="F144" s="126">
        <v>0.42</v>
      </c>
      <c r="G144" s="126">
        <v>0.41</v>
      </c>
      <c r="H144" s="126">
        <v>0.4</v>
      </c>
      <c r="I144" s="126">
        <v>0.38</v>
      </c>
      <c r="J144" s="126">
        <v>0.37</v>
      </c>
      <c r="K144" s="126">
        <v>0.36</v>
      </c>
      <c r="L144" s="126">
        <v>0.34</v>
      </c>
      <c r="M144">
        <v>0.33</v>
      </c>
      <c r="N144">
        <v>0.31</v>
      </c>
      <c r="O144">
        <v>0.3</v>
      </c>
      <c r="P144">
        <v>0.28000000000000003</v>
      </c>
      <c r="Q144">
        <v>0.27</v>
      </c>
      <c r="R144">
        <v>0.25</v>
      </c>
      <c r="S144">
        <v>0.24</v>
      </c>
      <c r="T144">
        <v>0.22</v>
      </c>
      <c r="U144">
        <v>0.2</v>
      </c>
      <c r="V144">
        <v>0.19</v>
      </c>
      <c r="W144">
        <v>0.17</v>
      </c>
      <c r="X144">
        <v>0.15</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s="84">
        <v>0</v>
      </c>
    </row>
    <row r="145" spans="1:79">
      <c r="A145" s="122">
        <v>63</v>
      </c>
      <c r="B145" s="116">
        <v>0.44</v>
      </c>
      <c r="C145" s="126">
        <v>0.44</v>
      </c>
      <c r="D145" s="126">
        <v>0.43</v>
      </c>
      <c r="E145" s="126">
        <v>0.42</v>
      </c>
      <c r="F145" s="126">
        <v>0.4</v>
      </c>
      <c r="G145" s="126">
        <v>0.39</v>
      </c>
      <c r="H145" s="126">
        <v>0.38</v>
      </c>
      <c r="I145" s="126">
        <v>0.36</v>
      </c>
      <c r="J145" s="126">
        <v>0.35</v>
      </c>
      <c r="K145" s="126">
        <v>0.34</v>
      </c>
      <c r="L145" s="126">
        <v>0.32</v>
      </c>
      <c r="M145">
        <v>0.31</v>
      </c>
      <c r="N145">
        <v>0.28999999999999998</v>
      </c>
      <c r="O145">
        <v>0.28000000000000003</v>
      </c>
      <c r="P145">
        <v>0.26</v>
      </c>
      <c r="Q145">
        <v>0.25</v>
      </c>
      <c r="R145">
        <v>0.23</v>
      </c>
      <c r="S145">
        <v>0.21</v>
      </c>
      <c r="T145">
        <v>0.2</v>
      </c>
      <c r="U145">
        <v>0.18</v>
      </c>
      <c r="V145">
        <v>0.16</v>
      </c>
      <c r="W145">
        <v>0.15</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s="84">
        <v>0</v>
      </c>
    </row>
    <row r="146" spans="1:79">
      <c r="A146" s="122">
        <v>64</v>
      </c>
      <c r="B146" s="116">
        <v>0.42</v>
      </c>
      <c r="C146" s="126">
        <v>0.42</v>
      </c>
      <c r="D146" s="126">
        <v>0.41</v>
      </c>
      <c r="E146" s="126">
        <v>0.4</v>
      </c>
      <c r="F146" s="126">
        <v>0.38</v>
      </c>
      <c r="G146" s="126">
        <v>0.37</v>
      </c>
      <c r="H146" s="126">
        <v>0.36</v>
      </c>
      <c r="I146" s="126">
        <v>0.34</v>
      </c>
      <c r="J146" s="126">
        <v>0.33</v>
      </c>
      <c r="K146" s="126">
        <v>0.31</v>
      </c>
      <c r="L146" s="126">
        <v>0.3</v>
      </c>
      <c r="M146">
        <v>0.28000000000000003</v>
      </c>
      <c r="N146">
        <v>0.27</v>
      </c>
      <c r="O146">
        <v>0.25</v>
      </c>
      <c r="P146">
        <v>0.24</v>
      </c>
      <c r="Q146">
        <v>0.22</v>
      </c>
      <c r="R146">
        <v>0.21</v>
      </c>
      <c r="S146">
        <v>0.19</v>
      </c>
      <c r="T146">
        <v>0.17</v>
      </c>
      <c r="U146">
        <v>0.15</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s="84">
        <v>0</v>
      </c>
    </row>
    <row r="147" spans="1:79">
      <c r="A147" s="122">
        <v>65</v>
      </c>
      <c r="B147" s="130">
        <v>0.4</v>
      </c>
      <c r="C147" s="127">
        <v>0.4</v>
      </c>
      <c r="D147" s="127">
        <v>0.39</v>
      </c>
      <c r="E147" s="127">
        <v>0.38</v>
      </c>
      <c r="F147" s="127">
        <v>0.36</v>
      </c>
      <c r="G147" s="127">
        <v>0.35</v>
      </c>
      <c r="H147" s="127">
        <v>0.33</v>
      </c>
      <c r="I147" s="127">
        <v>0.32</v>
      </c>
      <c r="J147" s="127">
        <v>0.31</v>
      </c>
      <c r="K147" s="127">
        <v>0.28999999999999998</v>
      </c>
      <c r="L147" s="127">
        <v>0.28000000000000003</v>
      </c>
      <c r="M147" s="124">
        <v>0.26</v>
      </c>
      <c r="N147" s="124">
        <v>0.25</v>
      </c>
      <c r="O147" s="124">
        <v>0.23</v>
      </c>
      <c r="P147" s="124">
        <v>0.21</v>
      </c>
      <c r="Q147" s="124">
        <v>0.2</v>
      </c>
      <c r="R147" s="124">
        <v>0.18</v>
      </c>
      <c r="S147" s="124">
        <v>0.16</v>
      </c>
      <c r="T147" s="124">
        <v>0.15</v>
      </c>
      <c r="U147" s="124">
        <v>0</v>
      </c>
      <c r="V147" s="124">
        <v>0</v>
      </c>
      <c r="W147" s="124">
        <v>0</v>
      </c>
      <c r="X147" s="124">
        <v>0</v>
      </c>
      <c r="Y147" s="124">
        <v>0</v>
      </c>
      <c r="Z147" s="124">
        <v>0</v>
      </c>
      <c r="AA147" s="124">
        <v>0</v>
      </c>
      <c r="AB147" s="124">
        <v>0</v>
      </c>
      <c r="AC147" s="124">
        <v>0</v>
      </c>
      <c r="AD147" s="124">
        <v>0</v>
      </c>
      <c r="AE147" s="124">
        <v>0</v>
      </c>
      <c r="AF147" s="124">
        <v>0</v>
      </c>
      <c r="AG147" s="124">
        <v>0</v>
      </c>
      <c r="AH147" s="124">
        <v>0</v>
      </c>
      <c r="AI147" s="124">
        <v>0</v>
      </c>
      <c r="AJ147" s="124">
        <v>0</v>
      </c>
      <c r="AK147" s="124">
        <v>0</v>
      </c>
      <c r="AL147" s="124">
        <v>0</v>
      </c>
      <c r="AM147" s="124">
        <v>0</v>
      </c>
      <c r="AN147" s="124">
        <v>0</v>
      </c>
      <c r="AO147" s="124">
        <v>0</v>
      </c>
      <c r="AP147" s="124">
        <v>0</v>
      </c>
      <c r="AQ147" s="124">
        <v>0</v>
      </c>
      <c r="AR147" s="124">
        <v>0</v>
      </c>
      <c r="AS147" s="124">
        <v>0</v>
      </c>
      <c r="AT147" s="124">
        <v>0</v>
      </c>
      <c r="AU147" s="124">
        <v>0</v>
      </c>
      <c r="AV147" s="124">
        <v>0</v>
      </c>
      <c r="AW147" s="124">
        <v>0</v>
      </c>
      <c r="AX147" s="124">
        <v>0</v>
      </c>
      <c r="AY147" s="124">
        <v>0</v>
      </c>
      <c r="AZ147" s="124">
        <v>0</v>
      </c>
      <c r="BA147" s="124">
        <v>0</v>
      </c>
      <c r="BB147" s="124">
        <v>0</v>
      </c>
      <c r="BC147" s="124">
        <v>0</v>
      </c>
      <c r="BD147" s="124">
        <v>0</v>
      </c>
      <c r="BE147" s="124">
        <v>0</v>
      </c>
      <c r="BF147" s="124">
        <v>0</v>
      </c>
      <c r="BG147" s="124">
        <v>0</v>
      </c>
      <c r="BH147" s="124">
        <v>0</v>
      </c>
      <c r="BI147" s="124">
        <v>0</v>
      </c>
      <c r="BJ147" s="124">
        <v>0</v>
      </c>
      <c r="BK147" s="125">
        <v>0</v>
      </c>
    </row>
    <row r="148" spans="1:79">
      <c r="A148" s="122">
        <v>66</v>
      </c>
      <c r="B148" s="128">
        <v>0.39</v>
      </c>
      <c r="C148" s="129">
        <v>0.39</v>
      </c>
      <c r="D148" s="129">
        <v>0.37</v>
      </c>
      <c r="E148" s="129">
        <v>0.36</v>
      </c>
      <c r="F148" s="129">
        <v>0.34</v>
      </c>
      <c r="G148" s="129">
        <v>0.33</v>
      </c>
      <c r="H148" s="129">
        <v>0.31</v>
      </c>
      <c r="I148" s="129">
        <v>0.3</v>
      </c>
      <c r="J148" s="129">
        <v>0.28000000000000003</v>
      </c>
      <c r="K148" s="129">
        <v>0.27</v>
      </c>
      <c r="L148" s="129">
        <v>0.25</v>
      </c>
      <c r="M148" s="120">
        <v>0.24</v>
      </c>
      <c r="N148" s="120">
        <v>0.22</v>
      </c>
      <c r="O148" s="120">
        <v>0.21</v>
      </c>
      <c r="P148" s="120">
        <v>0.19</v>
      </c>
      <c r="Q148" s="120">
        <v>0.17</v>
      </c>
      <c r="R148" s="120">
        <v>0.15</v>
      </c>
      <c r="S148" s="120">
        <v>0</v>
      </c>
      <c r="T148" s="120">
        <v>0</v>
      </c>
      <c r="U148" s="120">
        <v>0</v>
      </c>
      <c r="V148" s="120">
        <v>0</v>
      </c>
      <c r="W148" s="120">
        <v>0</v>
      </c>
      <c r="X148" s="120">
        <v>0</v>
      </c>
      <c r="Y148" s="120">
        <v>0</v>
      </c>
      <c r="Z148" s="120">
        <v>0</v>
      </c>
      <c r="AA148" s="120">
        <v>0</v>
      </c>
      <c r="AB148" s="120">
        <v>0</v>
      </c>
      <c r="AC148" s="120">
        <v>0</v>
      </c>
      <c r="AD148" s="120">
        <v>0</v>
      </c>
      <c r="AE148" s="120">
        <v>0</v>
      </c>
      <c r="AF148" s="120">
        <v>0</v>
      </c>
      <c r="AG148" s="120">
        <v>0</v>
      </c>
      <c r="AH148" s="120">
        <v>0</v>
      </c>
      <c r="AI148" s="120">
        <v>0</v>
      </c>
      <c r="AJ148" s="120">
        <v>0</v>
      </c>
      <c r="AK148" s="120">
        <v>0</v>
      </c>
      <c r="AL148" s="120">
        <v>0</v>
      </c>
      <c r="AM148" s="120">
        <v>0</v>
      </c>
      <c r="AN148" s="120">
        <v>0</v>
      </c>
      <c r="AO148" s="120">
        <v>0</v>
      </c>
      <c r="AP148" s="120">
        <v>0</v>
      </c>
      <c r="AQ148" s="120">
        <v>0</v>
      </c>
      <c r="AR148" s="120">
        <v>0</v>
      </c>
      <c r="AS148" s="120">
        <v>0</v>
      </c>
      <c r="AT148" s="120">
        <v>0</v>
      </c>
      <c r="AU148" s="120">
        <v>0</v>
      </c>
      <c r="AV148" s="120">
        <v>0</v>
      </c>
      <c r="AW148" s="120">
        <v>0</v>
      </c>
      <c r="AX148" s="120">
        <v>0</v>
      </c>
      <c r="AY148" s="120">
        <v>0</v>
      </c>
      <c r="AZ148" s="120">
        <v>0</v>
      </c>
      <c r="BA148" s="120">
        <v>0</v>
      </c>
      <c r="BB148" s="120">
        <v>0</v>
      </c>
      <c r="BC148" s="120">
        <v>0</v>
      </c>
      <c r="BD148" s="120">
        <v>0</v>
      </c>
      <c r="BE148" s="120">
        <v>0</v>
      </c>
      <c r="BF148" s="120">
        <v>0</v>
      </c>
      <c r="BG148" s="120">
        <v>0</v>
      </c>
      <c r="BH148" s="120">
        <v>0</v>
      </c>
      <c r="BI148" s="120">
        <v>0</v>
      </c>
      <c r="BJ148" s="120">
        <v>0</v>
      </c>
      <c r="BK148" s="121">
        <v>0</v>
      </c>
    </row>
    <row r="149" spans="1:79">
      <c r="A149" s="122">
        <v>67</v>
      </c>
      <c r="B149" s="116">
        <v>0.36</v>
      </c>
      <c r="C149" s="126">
        <v>0.36</v>
      </c>
      <c r="D149" s="126">
        <v>0.35</v>
      </c>
      <c r="E149" s="126">
        <v>0.33</v>
      </c>
      <c r="F149" s="126">
        <v>0.32</v>
      </c>
      <c r="G149" s="126">
        <v>0.3</v>
      </c>
      <c r="H149" s="126">
        <v>0.28999999999999998</v>
      </c>
      <c r="I149" s="126">
        <v>0.28000000000000003</v>
      </c>
      <c r="J149" s="126">
        <v>0.26</v>
      </c>
      <c r="K149" s="126">
        <v>0.24</v>
      </c>
      <c r="L149" s="126">
        <v>0.23</v>
      </c>
      <c r="M149">
        <v>0.21</v>
      </c>
      <c r="N149">
        <v>0.2</v>
      </c>
      <c r="O149">
        <v>0.18</v>
      </c>
      <c r="P149">
        <v>0.16</v>
      </c>
      <c r="Q149">
        <v>0.14000000000000001</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s="84">
        <v>0</v>
      </c>
    </row>
    <row r="150" spans="1:79">
      <c r="A150" s="122">
        <v>68</v>
      </c>
      <c r="B150" s="116">
        <v>0.34</v>
      </c>
      <c r="C150" s="126">
        <v>0.34</v>
      </c>
      <c r="D150" s="126">
        <v>0.33</v>
      </c>
      <c r="E150" s="126">
        <v>0.31</v>
      </c>
      <c r="F150" s="126">
        <v>0.3</v>
      </c>
      <c r="G150" s="126">
        <v>0.28000000000000003</v>
      </c>
      <c r="H150" s="126">
        <v>0.27</v>
      </c>
      <c r="I150" s="126">
        <v>0.25</v>
      </c>
      <c r="J150" s="126">
        <v>0.24</v>
      </c>
      <c r="K150" s="126">
        <v>0.22</v>
      </c>
      <c r="L150" s="126">
        <v>0.2</v>
      </c>
      <c r="M150">
        <v>0.19</v>
      </c>
      <c r="N150">
        <v>0.17</v>
      </c>
      <c r="O150">
        <v>0.15</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s="84">
        <v>0</v>
      </c>
    </row>
    <row r="151" spans="1:79">
      <c r="A151" s="122">
        <v>69</v>
      </c>
      <c r="B151" s="116">
        <v>0.32</v>
      </c>
      <c r="C151" s="126">
        <v>0.32</v>
      </c>
      <c r="D151" s="126">
        <v>0.3</v>
      </c>
      <c r="E151" s="126">
        <v>0.28999999999999998</v>
      </c>
      <c r="F151" s="126">
        <v>0.27</v>
      </c>
      <c r="G151" s="126">
        <v>0.26</v>
      </c>
      <c r="H151" s="126">
        <v>0.24</v>
      </c>
      <c r="I151" s="126">
        <v>0.23</v>
      </c>
      <c r="J151" s="126">
        <v>0.21</v>
      </c>
      <c r="K151" s="126">
        <v>0.19</v>
      </c>
      <c r="L151" s="126">
        <v>0.18</v>
      </c>
      <c r="M151">
        <v>0.16</v>
      </c>
      <c r="N151">
        <v>0.14000000000000001</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s="84">
        <v>0</v>
      </c>
    </row>
    <row r="152" spans="1:79">
      <c r="A152" s="122">
        <v>70</v>
      </c>
      <c r="B152" s="130">
        <v>0.28999999999999998</v>
      </c>
      <c r="C152" s="127">
        <v>0.28999999999999998</v>
      </c>
      <c r="D152" s="127">
        <v>0.28000000000000003</v>
      </c>
      <c r="E152" s="127">
        <v>0.26</v>
      </c>
      <c r="F152" s="127">
        <v>0.25</v>
      </c>
      <c r="G152" s="127">
        <v>0.23</v>
      </c>
      <c r="H152" s="127">
        <v>0.22</v>
      </c>
      <c r="I152" s="127">
        <v>0.2</v>
      </c>
      <c r="J152" s="127">
        <v>0.18</v>
      </c>
      <c r="K152" s="127">
        <v>0.17</v>
      </c>
      <c r="L152" s="127">
        <v>0.15</v>
      </c>
      <c r="M152" s="124">
        <v>0</v>
      </c>
      <c r="N152" s="124">
        <v>0</v>
      </c>
      <c r="O152" s="124">
        <v>0</v>
      </c>
      <c r="P152" s="124">
        <v>0</v>
      </c>
      <c r="Q152" s="124">
        <v>0</v>
      </c>
      <c r="R152" s="124">
        <v>0</v>
      </c>
      <c r="S152" s="124">
        <v>0</v>
      </c>
      <c r="T152" s="124">
        <v>0</v>
      </c>
      <c r="U152" s="124">
        <v>0</v>
      </c>
      <c r="V152" s="124">
        <v>0</v>
      </c>
      <c r="W152" s="124">
        <v>0</v>
      </c>
      <c r="X152" s="124">
        <v>0</v>
      </c>
      <c r="Y152" s="124">
        <v>0</v>
      </c>
      <c r="Z152" s="124">
        <v>0</v>
      </c>
      <c r="AA152" s="124">
        <v>0</v>
      </c>
      <c r="AB152" s="124">
        <v>0</v>
      </c>
      <c r="AC152" s="124">
        <v>0</v>
      </c>
      <c r="AD152" s="124">
        <v>0</v>
      </c>
      <c r="AE152" s="124">
        <v>0</v>
      </c>
      <c r="AF152" s="124">
        <v>0</v>
      </c>
      <c r="AG152" s="124">
        <v>0</v>
      </c>
      <c r="AH152" s="124">
        <v>0</v>
      </c>
      <c r="AI152" s="124">
        <v>0</v>
      </c>
      <c r="AJ152" s="124">
        <v>0</v>
      </c>
      <c r="AK152" s="124">
        <v>0</v>
      </c>
      <c r="AL152" s="124">
        <v>0</v>
      </c>
      <c r="AM152" s="124">
        <v>0</v>
      </c>
      <c r="AN152" s="124">
        <v>0</v>
      </c>
      <c r="AO152" s="124">
        <v>0</v>
      </c>
      <c r="AP152" s="124">
        <v>0</v>
      </c>
      <c r="AQ152" s="124">
        <v>0</v>
      </c>
      <c r="AR152" s="124">
        <v>0</v>
      </c>
      <c r="AS152" s="124">
        <v>0</v>
      </c>
      <c r="AT152" s="124">
        <v>0</v>
      </c>
      <c r="AU152" s="124">
        <v>0</v>
      </c>
      <c r="AV152" s="124">
        <v>0</v>
      </c>
      <c r="AW152" s="124">
        <v>0</v>
      </c>
      <c r="AX152" s="124">
        <v>0</v>
      </c>
      <c r="AY152" s="124">
        <v>0</v>
      </c>
      <c r="AZ152" s="124">
        <v>0</v>
      </c>
      <c r="BA152" s="124">
        <v>0</v>
      </c>
      <c r="BB152" s="124">
        <v>0</v>
      </c>
      <c r="BC152" s="124">
        <v>0</v>
      </c>
      <c r="BD152" s="124">
        <v>0</v>
      </c>
      <c r="BE152" s="124">
        <v>0</v>
      </c>
      <c r="BF152" s="124">
        <v>0</v>
      </c>
      <c r="BG152" s="124">
        <v>0</v>
      </c>
      <c r="BH152" s="124">
        <v>0</v>
      </c>
      <c r="BI152" s="124">
        <v>0</v>
      </c>
      <c r="BJ152" s="124">
        <v>0</v>
      </c>
      <c r="BK152" s="125">
        <v>0</v>
      </c>
    </row>
    <row r="153" spans="1:79">
      <c r="A153" s="122">
        <v>71</v>
      </c>
      <c r="B153" s="128">
        <v>0.27</v>
      </c>
      <c r="C153" s="129">
        <v>0.27</v>
      </c>
      <c r="D153" s="129">
        <v>0.25</v>
      </c>
      <c r="E153" s="129">
        <v>0.24</v>
      </c>
      <c r="F153" s="129">
        <v>0.22</v>
      </c>
      <c r="G153" s="128">
        <v>0.21</v>
      </c>
      <c r="H153" s="129">
        <v>0.19</v>
      </c>
      <c r="I153" s="129">
        <v>0.17</v>
      </c>
      <c r="J153" s="129">
        <v>0.16</v>
      </c>
      <c r="K153" s="129">
        <v>0</v>
      </c>
      <c r="L153" s="129">
        <v>0</v>
      </c>
      <c r="M153" s="120">
        <v>0</v>
      </c>
      <c r="N153" s="120">
        <v>0</v>
      </c>
      <c r="O153" s="120">
        <v>0</v>
      </c>
      <c r="P153" s="120">
        <v>0</v>
      </c>
      <c r="Q153" s="120">
        <v>0</v>
      </c>
      <c r="R153" s="120">
        <v>0</v>
      </c>
      <c r="S153" s="120">
        <v>0</v>
      </c>
      <c r="T153" s="120">
        <v>0</v>
      </c>
      <c r="U153" s="120">
        <v>0</v>
      </c>
      <c r="V153" s="120">
        <v>0</v>
      </c>
      <c r="W153" s="120">
        <v>0</v>
      </c>
      <c r="X153" s="120">
        <v>0</v>
      </c>
      <c r="Y153" s="120">
        <v>0</v>
      </c>
      <c r="Z153" s="120">
        <v>0</v>
      </c>
      <c r="AA153" s="120">
        <v>0</v>
      </c>
      <c r="AB153" s="120">
        <v>0</v>
      </c>
      <c r="AC153" s="120">
        <v>0</v>
      </c>
      <c r="AD153" s="120">
        <v>0</v>
      </c>
      <c r="AE153" s="120">
        <v>0</v>
      </c>
      <c r="AF153" s="120">
        <v>0</v>
      </c>
      <c r="AG153" s="120">
        <v>0</v>
      </c>
      <c r="AH153" s="120">
        <v>0</v>
      </c>
      <c r="AI153" s="120">
        <v>0</v>
      </c>
      <c r="AJ153" s="120">
        <v>0</v>
      </c>
      <c r="AK153" s="120">
        <v>0</v>
      </c>
      <c r="AL153" s="120">
        <v>0</v>
      </c>
      <c r="AM153" s="120">
        <v>0</v>
      </c>
      <c r="AN153" s="120">
        <v>0</v>
      </c>
      <c r="AO153" s="120">
        <v>0</v>
      </c>
      <c r="AP153" s="120">
        <v>0</v>
      </c>
      <c r="AQ153" s="120">
        <v>0</v>
      </c>
      <c r="AR153" s="120">
        <v>0</v>
      </c>
      <c r="AS153" s="120">
        <v>0</v>
      </c>
      <c r="AT153" s="120">
        <v>0</v>
      </c>
      <c r="AU153" s="120">
        <v>0</v>
      </c>
      <c r="AV153" s="120">
        <v>0</v>
      </c>
      <c r="AW153" s="120">
        <v>0</v>
      </c>
      <c r="AX153" s="120">
        <v>0</v>
      </c>
      <c r="AY153" s="120">
        <v>0</v>
      </c>
      <c r="AZ153" s="120">
        <v>0</v>
      </c>
      <c r="BA153" s="120">
        <v>0</v>
      </c>
      <c r="BB153" s="120">
        <v>0</v>
      </c>
      <c r="BC153" s="120">
        <v>0</v>
      </c>
      <c r="BD153" s="120">
        <v>0</v>
      </c>
      <c r="BE153" s="120">
        <v>0</v>
      </c>
      <c r="BF153" s="120">
        <v>0</v>
      </c>
      <c r="BG153" s="120">
        <v>0</v>
      </c>
      <c r="BH153" s="120">
        <v>0</v>
      </c>
      <c r="BI153" s="120">
        <v>0</v>
      </c>
      <c r="BJ153" s="120">
        <v>0</v>
      </c>
      <c r="BK153" s="121">
        <v>0</v>
      </c>
    </row>
    <row r="154" spans="1:79">
      <c r="A154" s="122">
        <v>72</v>
      </c>
      <c r="B154" s="116">
        <v>0.24</v>
      </c>
      <c r="C154" s="126">
        <v>0.24</v>
      </c>
      <c r="D154" s="126">
        <v>0.23</v>
      </c>
      <c r="E154" s="126">
        <v>0.21</v>
      </c>
      <c r="F154" s="126">
        <v>0.2</v>
      </c>
      <c r="G154" s="126">
        <v>0.18</v>
      </c>
      <c r="H154" s="126">
        <v>0.16</v>
      </c>
      <c r="I154" s="126">
        <v>0.15</v>
      </c>
      <c r="J154" s="126">
        <v>0</v>
      </c>
      <c r="K154" s="126">
        <v>0</v>
      </c>
      <c r="L154" s="126">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s="84">
        <v>0</v>
      </c>
    </row>
    <row r="155" spans="1:79">
      <c r="A155" s="122">
        <v>73</v>
      </c>
      <c r="B155" s="116">
        <v>0.22</v>
      </c>
      <c r="C155" s="126">
        <v>0.22</v>
      </c>
      <c r="D155" s="126">
        <v>0.2</v>
      </c>
      <c r="E155" s="126">
        <v>0.19</v>
      </c>
      <c r="F155" s="126">
        <v>0.17</v>
      </c>
      <c r="G155" s="126">
        <v>0.15</v>
      </c>
      <c r="H155" s="126">
        <v>0</v>
      </c>
      <c r="I155" s="126">
        <v>0</v>
      </c>
      <c r="J155" s="126">
        <v>0</v>
      </c>
      <c r="K155" s="126">
        <v>0</v>
      </c>
      <c r="L155" s="126">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s="84">
        <v>0</v>
      </c>
    </row>
    <row r="156" spans="1:79">
      <c r="A156" s="122">
        <v>74</v>
      </c>
      <c r="B156" s="116">
        <v>0.19</v>
      </c>
      <c r="C156" s="126">
        <v>0.19</v>
      </c>
      <c r="D156" s="126">
        <v>0.18</v>
      </c>
      <c r="E156" s="126">
        <v>0.16</v>
      </c>
      <c r="F156" s="126">
        <v>0.14000000000000001</v>
      </c>
      <c r="G156" s="126">
        <v>0</v>
      </c>
      <c r="H156" s="126">
        <v>0</v>
      </c>
      <c r="I156" s="126">
        <v>0</v>
      </c>
      <c r="J156" s="126">
        <v>0</v>
      </c>
      <c r="K156" s="126">
        <v>0</v>
      </c>
      <c r="L156" s="12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s="84">
        <v>0</v>
      </c>
    </row>
    <row r="157" spans="1:79">
      <c r="A157" s="122">
        <v>75</v>
      </c>
      <c r="B157" s="130">
        <v>0.17</v>
      </c>
      <c r="C157" s="127">
        <v>0.17</v>
      </c>
      <c r="D157" s="127">
        <v>0.15</v>
      </c>
      <c r="E157" s="127">
        <v>0</v>
      </c>
      <c r="F157" s="127">
        <v>0</v>
      </c>
      <c r="G157" s="127">
        <v>0</v>
      </c>
      <c r="H157" s="127">
        <v>0</v>
      </c>
      <c r="I157" s="127">
        <v>0</v>
      </c>
      <c r="J157" s="127">
        <v>0</v>
      </c>
      <c r="K157" s="127">
        <v>0</v>
      </c>
      <c r="L157" s="127">
        <v>0</v>
      </c>
      <c r="M157" s="124">
        <v>0</v>
      </c>
      <c r="N157" s="124">
        <v>0</v>
      </c>
      <c r="O157" s="124">
        <v>0</v>
      </c>
      <c r="P157" s="124">
        <v>0</v>
      </c>
      <c r="Q157" s="124">
        <v>0</v>
      </c>
      <c r="R157" s="124">
        <v>0</v>
      </c>
      <c r="S157" s="124">
        <v>0</v>
      </c>
      <c r="T157" s="124">
        <v>0</v>
      </c>
      <c r="U157" s="124">
        <v>0</v>
      </c>
      <c r="V157" s="124">
        <v>0</v>
      </c>
      <c r="W157" s="124">
        <v>0</v>
      </c>
      <c r="X157" s="124">
        <v>0</v>
      </c>
      <c r="Y157" s="124">
        <v>0</v>
      </c>
      <c r="Z157" s="124">
        <v>0</v>
      </c>
      <c r="AA157" s="124">
        <v>0</v>
      </c>
      <c r="AB157" s="124">
        <v>0</v>
      </c>
      <c r="AC157" s="124">
        <v>0</v>
      </c>
      <c r="AD157" s="124">
        <v>0</v>
      </c>
      <c r="AE157" s="124">
        <v>0</v>
      </c>
      <c r="AF157" s="124">
        <v>0</v>
      </c>
      <c r="AG157" s="124">
        <v>0</v>
      </c>
      <c r="AH157" s="124">
        <v>0</v>
      </c>
      <c r="AI157" s="124">
        <v>0</v>
      </c>
      <c r="AJ157" s="124">
        <v>0</v>
      </c>
      <c r="AK157" s="124">
        <v>0</v>
      </c>
      <c r="AL157" s="124">
        <v>0</v>
      </c>
      <c r="AM157" s="124">
        <v>0</v>
      </c>
      <c r="AN157" s="124">
        <v>0</v>
      </c>
      <c r="AO157" s="124">
        <v>0</v>
      </c>
      <c r="AP157" s="124">
        <v>0</v>
      </c>
      <c r="AQ157" s="124">
        <v>0</v>
      </c>
      <c r="AR157" s="124">
        <v>0</v>
      </c>
      <c r="AS157" s="124">
        <v>0</v>
      </c>
      <c r="AT157" s="124">
        <v>0</v>
      </c>
      <c r="AU157" s="124">
        <v>0</v>
      </c>
      <c r="AV157" s="124">
        <v>0</v>
      </c>
      <c r="AW157" s="124">
        <v>0</v>
      </c>
      <c r="AX157" s="124">
        <v>0</v>
      </c>
      <c r="AY157" s="124">
        <v>0</v>
      </c>
      <c r="AZ157" s="124">
        <v>0</v>
      </c>
      <c r="BA157" s="124">
        <v>0</v>
      </c>
      <c r="BB157" s="124">
        <v>0</v>
      </c>
      <c r="BC157" s="124">
        <v>0</v>
      </c>
      <c r="BD157" s="124">
        <v>0</v>
      </c>
      <c r="BE157" s="124">
        <v>0</v>
      </c>
      <c r="BF157" s="124">
        <v>0</v>
      </c>
      <c r="BG157" s="124">
        <v>0</v>
      </c>
      <c r="BH157" s="124">
        <v>0</v>
      </c>
      <c r="BI157" s="124">
        <v>0</v>
      </c>
      <c r="BJ157" s="124">
        <v>0</v>
      </c>
      <c r="BK157" s="125">
        <v>0</v>
      </c>
    </row>
    <row r="158" spans="1:79">
      <c r="A158" s="131">
        <v>76</v>
      </c>
      <c r="B158" s="132">
        <v>0</v>
      </c>
      <c r="C158" s="132">
        <v>0</v>
      </c>
      <c r="D158" s="132">
        <v>0</v>
      </c>
      <c r="E158" s="132">
        <v>0</v>
      </c>
      <c r="F158" s="132">
        <v>0</v>
      </c>
      <c r="G158" s="132">
        <v>0</v>
      </c>
      <c r="H158" s="132">
        <v>0</v>
      </c>
      <c r="I158" s="132">
        <v>0</v>
      </c>
      <c r="J158" s="132">
        <v>0</v>
      </c>
      <c r="K158" s="132">
        <v>0</v>
      </c>
      <c r="L158" s="132">
        <v>0</v>
      </c>
      <c r="M158" s="132">
        <v>0</v>
      </c>
      <c r="N158" s="132">
        <v>0</v>
      </c>
      <c r="O158" s="132">
        <v>0</v>
      </c>
      <c r="P158" s="132">
        <v>0</v>
      </c>
      <c r="Q158" s="132">
        <v>0</v>
      </c>
      <c r="R158" s="132">
        <v>0</v>
      </c>
      <c r="S158" s="132">
        <v>0</v>
      </c>
      <c r="T158" s="132">
        <v>0</v>
      </c>
      <c r="U158" s="132">
        <v>0</v>
      </c>
      <c r="V158" s="132">
        <v>0</v>
      </c>
      <c r="W158" s="132">
        <v>0</v>
      </c>
      <c r="X158" s="132">
        <v>0</v>
      </c>
      <c r="Y158" s="132">
        <v>0</v>
      </c>
      <c r="Z158" s="132">
        <v>0</v>
      </c>
      <c r="AA158" s="132">
        <v>0</v>
      </c>
      <c r="AB158" s="132">
        <v>0</v>
      </c>
      <c r="AC158" s="132">
        <v>0</v>
      </c>
      <c r="AD158" s="132">
        <v>0</v>
      </c>
      <c r="AE158" s="132">
        <v>0</v>
      </c>
      <c r="AF158" s="132">
        <v>0</v>
      </c>
      <c r="AG158" s="132">
        <v>0</v>
      </c>
      <c r="AH158" s="132">
        <v>0</v>
      </c>
      <c r="AI158" s="132">
        <v>0</v>
      </c>
      <c r="AJ158" s="132">
        <v>0</v>
      </c>
      <c r="AK158" s="132">
        <v>0</v>
      </c>
      <c r="AL158" s="132">
        <v>0</v>
      </c>
      <c r="AM158" s="132">
        <v>0</v>
      </c>
      <c r="AN158" s="132">
        <v>0</v>
      </c>
      <c r="AO158" s="132">
        <v>0</v>
      </c>
      <c r="AP158" s="132">
        <v>0</v>
      </c>
      <c r="AQ158" s="132">
        <v>0</v>
      </c>
      <c r="AR158" s="132">
        <v>0</v>
      </c>
      <c r="AS158" s="132">
        <v>0</v>
      </c>
      <c r="AT158" s="132">
        <v>0</v>
      </c>
      <c r="AU158" s="132">
        <v>0</v>
      </c>
      <c r="AV158" s="132">
        <v>0</v>
      </c>
      <c r="AW158" s="132">
        <v>0</v>
      </c>
      <c r="AX158" s="132">
        <v>0</v>
      </c>
      <c r="AY158" s="132">
        <v>0</v>
      </c>
      <c r="AZ158" s="132">
        <v>0</v>
      </c>
      <c r="BA158" s="132">
        <v>0</v>
      </c>
      <c r="BB158" s="132">
        <v>0</v>
      </c>
      <c r="BC158" s="132">
        <v>0</v>
      </c>
      <c r="BD158" s="132">
        <v>0</v>
      </c>
      <c r="BE158" s="132">
        <v>0</v>
      </c>
      <c r="BF158" s="132">
        <v>0</v>
      </c>
      <c r="BG158" s="132">
        <v>0</v>
      </c>
      <c r="BH158" s="132">
        <v>0</v>
      </c>
      <c r="BI158" s="132">
        <v>0</v>
      </c>
      <c r="BJ158" s="132">
        <v>0</v>
      </c>
      <c r="BK158" s="132">
        <v>0</v>
      </c>
    </row>
    <row r="160" spans="1:79">
      <c r="A160" s="102" t="s">
        <v>646</v>
      </c>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4"/>
      <c r="AB160" s="14"/>
      <c r="AC160" s="14"/>
      <c r="AD160" s="14"/>
      <c r="AE160" s="14"/>
      <c r="AF160" s="14"/>
      <c r="AG160" s="14"/>
      <c r="AH160" s="14"/>
      <c r="AI160" s="14"/>
      <c r="AJ160" s="14"/>
      <c r="AK160" s="14"/>
      <c r="AL160" s="14"/>
      <c r="AM160" s="14"/>
      <c r="AN160" s="14"/>
      <c r="AO160" s="14"/>
      <c r="AP160" s="14"/>
      <c r="AQ160" s="14"/>
      <c r="AR160" s="14"/>
      <c r="AS160" s="14"/>
      <c r="AT160" s="14"/>
      <c r="AU160" s="133"/>
      <c r="AV160" s="133"/>
      <c r="AW160" s="133"/>
      <c r="AX160" s="133"/>
      <c r="AY160" s="133"/>
      <c r="AZ160" s="133"/>
      <c r="BA160" s="133"/>
      <c r="BB160" s="133"/>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row>
    <row r="161" spans="1:79">
      <c r="A161" s="929" t="s">
        <v>647</v>
      </c>
      <c r="B161" s="134" t="s">
        <v>648</v>
      </c>
      <c r="C161" s="135"/>
      <c r="D161" s="135"/>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19"/>
      <c r="AE161" s="119"/>
      <c r="AF161" s="119"/>
      <c r="AG161" s="119"/>
      <c r="AH161" s="119"/>
      <c r="AI161" s="119"/>
      <c r="AJ161" s="119"/>
      <c r="AK161" s="119"/>
      <c r="AL161" s="119"/>
      <c r="AM161" s="119"/>
      <c r="AN161" s="119"/>
      <c r="AO161" s="119"/>
      <c r="AP161" s="119"/>
      <c r="AQ161" s="119"/>
      <c r="AR161" s="119"/>
      <c r="AS161" s="119"/>
      <c r="AT161" s="119"/>
      <c r="AU161" s="119"/>
      <c r="AV161" s="119"/>
      <c r="AW161" s="119"/>
      <c r="AX161" s="119"/>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36"/>
    </row>
    <row r="162" spans="1:79">
      <c r="A162" s="930"/>
      <c r="B162" s="137"/>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39"/>
    </row>
    <row r="163" spans="1:79">
      <c r="A163" s="140" t="s">
        <v>649</v>
      </c>
      <c r="B163" s="141"/>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c r="AA163" s="142"/>
      <c r="AB163" s="142"/>
      <c r="AC163" s="142"/>
      <c r="AD163" s="123"/>
      <c r="AE163" s="123"/>
      <c r="AF163" s="123"/>
      <c r="AG163" s="123"/>
      <c r="AH163" s="123"/>
      <c r="AI163" s="123"/>
      <c r="AJ163" s="123"/>
      <c r="AK163" s="123"/>
      <c r="AL163" s="123"/>
      <c r="AM163" s="123"/>
      <c r="AN163" s="123"/>
      <c r="AO163" s="123"/>
      <c r="AP163" s="123"/>
      <c r="AQ163" s="123"/>
      <c r="AR163" s="123"/>
      <c r="AS163" s="123"/>
      <c r="AT163" s="123"/>
      <c r="AU163" s="123"/>
      <c r="AV163" s="123"/>
      <c r="AW163" s="123"/>
      <c r="AX163" s="123"/>
      <c r="AY163" s="123"/>
      <c r="AZ163" s="123"/>
      <c r="BA163" s="123"/>
      <c r="BB163" s="123"/>
      <c r="BC163" s="123"/>
      <c r="BD163" s="123"/>
      <c r="BE163" s="123"/>
      <c r="BF163" s="123"/>
      <c r="BG163" s="123"/>
      <c r="BH163" s="123"/>
      <c r="BI163" s="123"/>
      <c r="BJ163" s="123"/>
      <c r="BK163" s="123"/>
      <c r="BL163" s="123"/>
      <c r="BM163" s="123"/>
      <c r="BN163" s="123"/>
      <c r="BO163" s="123"/>
      <c r="BP163" s="123"/>
      <c r="BQ163" s="123"/>
      <c r="BR163" s="123"/>
      <c r="BS163" s="123"/>
      <c r="BT163" s="123"/>
      <c r="BU163" s="123"/>
      <c r="BV163" s="123"/>
      <c r="BW163" s="123"/>
      <c r="BX163" s="123"/>
      <c r="BY163" s="123"/>
      <c r="BZ163" s="123"/>
      <c r="CA163" s="143"/>
    </row>
    <row r="164" spans="1:79">
      <c r="A164" s="96"/>
      <c r="B164" s="96">
        <v>0</v>
      </c>
      <c r="C164" s="96">
        <v>1</v>
      </c>
      <c r="D164" s="96">
        <v>2</v>
      </c>
      <c r="E164" s="96">
        <v>3</v>
      </c>
      <c r="F164" s="96">
        <v>4</v>
      </c>
      <c r="G164" s="96">
        <v>5</v>
      </c>
      <c r="H164" s="96">
        <v>6</v>
      </c>
      <c r="I164" s="96">
        <v>7</v>
      </c>
      <c r="J164" s="96">
        <v>8</v>
      </c>
      <c r="K164" s="96">
        <v>9</v>
      </c>
      <c r="L164" s="96">
        <v>10</v>
      </c>
      <c r="M164" s="96">
        <v>11</v>
      </c>
      <c r="N164" s="96">
        <v>12</v>
      </c>
      <c r="O164" s="96">
        <v>13</v>
      </c>
      <c r="P164" s="96"/>
      <c r="Q164" s="96">
        <v>14</v>
      </c>
      <c r="R164" s="96">
        <v>15</v>
      </c>
      <c r="S164" s="96">
        <v>16</v>
      </c>
      <c r="T164" s="96">
        <v>17</v>
      </c>
      <c r="U164" s="96"/>
      <c r="V164" s="96">
        <v>18</v>
      </c>
      <c r="W164" s="96">
        <v>19</v>
      </c>
      <c r="X164" s="96">
        <v>20</v>
      </c>
      <c r="Y164" s="96">
        <v>21</v>
      </c>
      <c r="Z164" s="96">
        <v>22</v>
      </c>
      <c r="AA164" s="96">
        <v>23</v>
      </c>
      <c r="AB164" s="96">
        <v>24</v>
      </c>
      <c r="AC164" s="96">
        <v>25</v>
      </c>
      <c r="AD164" s="96">
        <v>26</v>
      </c>
      <c r="AE164" s="96">
        <v>27</v>
      </c>
      <c r="AF164" s="96">
        <v>28</v>
      </c>
      <c r="AG164" s="96">
        <v>29</v>
      </c>
      <c r="AH164" s="96">
        <v>30</v>
      </c>
      <c r="AI164" s="96">
        <v>31</v>
      </c>
      <c r="AJ164" s="96">
        <v>32</v>
      </c>
      <c r="AK164" s="96">
        <v>33</v>
      </c>
      <c r="AL164" s="96">
        <v>34</v>
      </c>
      <c r="AM164" s="96">
        <v>35</v>
      </c>
      <c r="AN164" s="96">
        <v>36</v>
      </c>
      <c r="AO164" s="96">
        <v>37</v>
      </c>
      <c r="AP164" s="96">
        <v>38</v>
      </c>
      <c r="AQ164" s="96">
        <v>39</v>
      </c>
      <c r="AR164" s="96">
        <v>40</v>
      </c>
      <c r="AS164" s="96">
        <v>41</v>
      </c>
      <c r="AT164" s="96">
        <v>42</v>
      </c>
      <c r="AU164" s="96">
        <v>43</v>
      </c>
      <c r="AV164" s="96">
        <v>44</v>
      </c>
      <c r="AW164" s="96">
        <v>45</v>
      </c>
      <c r="AX164" s="96">
        <v>46</v>
      </c>
      <c r="AY164" s="96">
        <v>47</v>
      </c>
      <c r="AZ164" s="96">
        <v>48</v>
      </c>
      <c r="BA164" s="96">
        <v>49</v>
      </c>
      <c r="BB164" s="96">
        <v>50</v>
      </c>
      <c r="BC164" s="96">
        <v>51</v>
      </c>
      <c r="BD164" s="96">
        <v>52</v>
      </c>
      <c r="BE164" s="96">
        <v>53</v>
      </c>
      <c r="BF164" s="96">
        <v>54</v>
      </c>
      <c r="BG164" s="96">
        <v>55</v>
      </c>
      <c r="BH164" s="96">
        <v>56</v>
      </c>
      <c r="BI164" s="96">
        <v>57</v>
      </c>
      <c r="BJ164" s="96">
        <v>58</v>
      </c>
      <c r="BK164" s="96">
        <v>59</v>
      </c>
      <c r="BL164" s="96">
        <v>60</v>
      </c>
      <c r="BM164" s="96">
        <v>61</v>
      </c>
      <c r="BN164" s="96">
        <v>62</v>
      </c>
      <c r="BO164" s="96">
        <v>63</v>
      </c>
      <c r="BP164" s="96">
        <v>64</v>
      </c>
      <c r="BQ164" s="96">
        <v>65</v>
      </c>
      <c r="BR164" s="96">
        <v>66</v>
      </c>
      <c r="BS164" s="96">
        <v>67</v>
      </c>
      <c r="BT164" s="96">
        <v>68</v>
      </c>
      <c r="BU164" s="96">
        <v>69</v>
      </c>
      <c r="BV164" s="96">
        <v>70</v>
      </c>
      <c r="BW164" s="96">
        <v>71</v>
      </c>
      <c r="BX164" s="96">
        <v>72</v>
      </c>
      <c r="BY164" s="96">
        <v>73</v>
      </c>
      <c r="BZ164" s="96">
        <v>74</v>
      </c>
      <c r="CA164" s="96">
        <v>75</v>
      </c>
    </row>
    <row r="165" spans="1:79">
      <c r="A165" s="144">
        <v>0</v>
      </c>
      <c r="B165" s="147">
        <v>1.1399999999999999</v>
      </c>
      <c r="C165" s="147">
        <v>1.1399999999999999</v>
      </c>
      <c r="D165" s="147">
        <v>1.1399999999999999</v>
      </c>
      <c r="E165" s="147">
        <v>1.1399999999999999</v>
      </c>
      <c r="F165" s="147">
        <v>1.1399999999999999</v>
      </c>
      <c r="G165" s="147">
        <v>1.1399999999999999</v>
      </c>
      <c r="H165" s="147">
        <v>1.1399999999999999</v>
      </c>
      <c r="I165" s="147">
        <v>1.1399999999999999</v>
      </c>
      <c r="J165" s="147">
        <v>1.1399999999999999</v>
      </c>
      <c r="K165" s="147">
        <v>1.1399999999999999</v>
      </c>
      <c r="L165" s="147">
        <v>1.1399999999999999</v>
      </c>
      <c r="M165" s="147">
        <v>1.1399999999999999</v>
      </c>
      <c r="N165" s="147">
        <v>1.1399999999999999</v>
      </c>
      <c r="O165" s="147">
        <v>1.1399999999999999</v>
      </c>
      <c r="P165" s="147">
        <v>1.1399999999999999</v>
      </c>
      <c r="Q165" s="147">
        <v>1.1399999999999999</v>
      </c>
      <c r="R165" s="147">
        <v>1.1399999999999999</v>
      </c>
      <c r="S165" s="147">
        <v>1.1399999999999999</v>
      </c>
      <c r="T165" s="147">
        <v>1.1399999999999999</v>
      </c>
      <c r="U165" s="147"/>
      <c r="V165" s="147">
        <v>1.1399999999999999</v>
      </c>
      <c r="W165" s="147">
        <v>1.1399999999999999</v>
      </c>
      <c r="X165" s="147">
        <v>1.1399999999999999</v>
      </c>
      <c r="Y165" s="147">
        <v>1.1100000000000001</v>
      </c>
      <c r="Z165" s="147">
        <v>1.1100000000000001</v>
      </c>
      <c r="AA165" s="147">
        <v>1.1100000000000001</v>
      </c>
      <c r="AB165" s="147">
        <v>1.1100000000000001</v>
      </c>
      <c r="AC165" s="147">
        <v>1.1100000000000001</v>
      </c>
      <c r="AD165" s="147">
        <v>1.08</v>
      </c>
      <c r="AE165" s="147">
        <v>1.08</v>
      </c>
      <c r="AF165" s="147">
        <v>1.08</v>
      </c>
      <c r="AG165" s="147">
        <v>1.08</v>
      </c>
      <c r="AH165" s="147">
        <v>1.08</v>
      </c>
      <c r="AI165" s="147">
        <v>1.05</v>
      </c>
      <c r="AJ165" s="147">
        <v>1.05</v>
      </c>
      <c r="AK165" s="147">
        <v>1.05</v>
      </c>
      <c r="AL165" s="147">
        <v>1.05</v>
      </c>
      <c r="AM165" s="147">
        <v>1.05</v>
      </c>
      <c r="AN165" s="147">
        <v>1.02</v>
      </c>
      <c r="AO165" s="147">
        <v>1.02</v>
      </c>
      <c r="AP165" s="147">
        <v>1.02</v>
      </c>
      <c r="AQ165" s="147">
        <v>1.02</v>
      </c>
      <c r="AR165" s="147">
        <v>1.02</v>
      </c>
      <c r="AS165" s="147">
        <v>0.98</v>
      </c>
      <c r="AT165" s="147">
        <v>0.98</v>
      </c>
      <c r="AU165" s="147">
        <v>0.98</v>
      </c>
      <c r="AV165" s="147">
        <v>0.98</v>
      </c>
      <c r="AW165" s="147">
        <v>0.98</v>
      </c>
      <c r="AX165" s="147">
        <v>0.94</v>
      </c>
      <c r="AY165" s="147">
        <v>0.94</v>
      </c>
      <c r="AZ165" s="147">
        <v>0.94</v>
      </c>
      <c r="BA165" s="147">
        <v>0.94</v>
      </c>
      <c r="BB165" s="147">
        <v>0.94</v>
      </c>
      <c r="BC165" s="147">
        <v>0.9</v>
      </c>
      <c r="BD165" s="147">
        <v>0.9</v>
      </c>
      <c r="BE165" s="147">
        <v>0.9</v>
      </c>
      <c r="BF165" s="147">
        <v>0.9</v>
      </c>
      <c r="BG165" s="147">
        <v>0.9</v>
      </c>
      <c r="BH165" s="147">
        <v>0.85</v>
      </c>
      <c r="BI165" s="147">
        <v>0.85</v>
      </c>
      <c r="BJ165" s="147">
        <v>0.85</v>
      </c>
      <c r="BK165" s="147">
        <v>0.85</v>
      </c>
      <c r="BL165" s="147">
        <v>0.85</v>
      </c>
      <c r="BM165" s="147">
        <v>0.8</v>
      </c>
      <c r="BN165" s="147">
        <v>0.8</v>
      </c>
      <c r="BO165" s="147">
        <v>0.8</v>
      </c>
      <c r="BP165" s="147">
        <v>0.8</v>
      </c>
      <c r="BQ165" s="147">
        <v>0.75</v>
      </c>
      <c r="BR165" s="147">
        <v>0.75</v>
      </c>
      <c r="BS165" s="147">
        <v>0.75</v>
      </c>
      <c r="BT165" s="147">
        <v>0.75</v>
      </c>
      <c r="BU165" s="147">
        <v>0.75</v>
      </c>
      <c r="BV165" s="147">
        <v>0.75</v>
      </c>
      <c r="BW165" s="147">
        <v>0.7</v>
      </c>
      <c r="BX165" s="147">
        <v>0.7</v>
      </c>
      <c r="BY165" s="147">
        <v>0.7</v>
      </c>
      <c r="BZ165" s="147">
        <v>0.7</v>
      </c>
      <c r="CA165" s="147">
        <v>0.64</v>
      </c>
    </row>
    <row r="166" spans="1:79">
      <c r="A166" s="144">
        <v>1</v>
      </c>
      <c r="B166" s="147">
        <v>1.1399999999999999</v>
      </c>
      <c r="C166" s="147">
        <v>1.1399999999999999</v>
      </c>
      <c r="D166" s="147">
        <v>1.1399999999999999</v>
      </c>
      <c r="E166" s="147">
        <v>1.1399999999999999</v>
      </c>
      <c r="F166" s="147">
        <v>1.1399999999999999</v>
      </c>
      <c r="G166" s="147">
        <v>1.1399999999999999</v>
      </c>
      <c r="H166" s="147">
        <v>1.1399999999999999</v>
      </c>
      <c r="I166" s="147">
        <v>1.1399999999999999</v>
      </c>
      <c r="J166" s="147">
        <v>1.1399999999999999</v>
      </c>
      <c r="K166" s="147">
        <v>1.1399999999999999</v>
      </c>
      <c r="L166" s="147">
        <v>1.1399999999999999</v>
      </c>
      <c r="M166" s="147">
        <v>1.1399999999999999</v>
      </c>
      <c r="N166" s="147">
        <v>1.1399999999999999</v>
      </c>
      <c r="O166" s="147">
        <v>1.1399999999999999</v>
      </c>
      <c r="P166" s="147">
        <v>1.1399999999999999</v>
      </c>
      <c r="Q166" s="147">
        <v>1.1399999999999999</v>
      </c>
      <c r="R166" s="147">
        <v>1.1399999999999999</v>
      </c>
      <c r="S166" s="147">
        <v>1.1399999999999999</v>
      </c>
      <c r="T166" s="147">
        <v>1.1399999999999999</v>
      </c>
      <c r="U166" s="147"/>
      <c r="V166" s="147">
        <v>1.1399999999999999</v>
      </c>
      <c r="W166" s="147">
        <v>1.1399999999999999</v>
      </c>
      <c r="X166" s="147">
        <v>1.1399999999999999</v>
      </c>
      <c r="Y166" s="147">
        <v>1.1100000000000001</v>
      </c>
      <c r="Z166" s="147">
        <v>1.1100000000000001</v>
      </c>
      <c r="AA166" s="147">
        <v>1.1100000000000001</v>
      </c>
      <c r="AB166" s="147">
        <v>1.1100000000000001</v>
      </c>
      <c r="AC166" s="147">
        <v>1.1100000000000001</v>
      </c>
      <c r="AD166" s="147">
        <v>1.08</v>
      </c>
      <c r="AE166" s="147">
        <v>1.08</v>
      </c>
      <c r="AF166" s="147">
        <v>1.08</v>
      </c>
      <c r="AG166" s="147">
        <v>1.08</v>
      </c>
      <c r="AH166" s="147">
        <v>1.08</v>
      </c>
      <c r="AI166" s="147">
        <v>1.05</v>
      </c>
      <c r="AJ166" s="147">
        <v>1.05</v>
      </c>
      <c r="AK166" s="147">
        <v>1.05</v>
      </c>
      <c r="AL166" s="147">
        <v>1.05</v>
      </c>
      <c r="AM166" s="147">
        <v>1.05</v>
      </c>
      <c r="AN166" s="147">
        <v>1.02</v>
      </c>
      <c r="AO166" s="147">
        <v>1.02</v>
      </c>
      <c r="AP166" s="147">
        <v>1.02</v>
      </c>
      <c r="AQ166" s="147">
        <v>1.02</v>
      </c>
      <c r="AR166" s="147">
        <v>1.02</v>
      </c>
      <c r="AS166" s="147">
        <v>0.98</v>
      </c>
      <c r="AT166" s="147">
        <v>0.98</v>
      </c>
      <c r="AU166" s="147">
        <v>0.98</v>
      </c>
      <c r="AV166" s="147">
        <v>0.98</v>
      </c>
      <c r="AW166" s="147">
        <v>0.98</v>
      </c>
      <c r="AX166" s="147">
        <v>0.94</v>
      </c>
      <c r="AY166" s="147">
        <v>0.94</v>
      </c>
      <c r="AZ166" s="147">
        <v>0.94</v>
      </c>
      <c r="BA166" s="147">
        <v>0.94</v>
      </c>
      <c r="BB166" s="147">
        <v>0.94</v>
      </c>
      <c r="BC166" s="147">
        <v>0.9</v>
      </c>
      <c r="BD166" s="147">
        <v>0.9</v>
      </c>
      <c r="BE166" s="147">
        <v>0.9</v>
      </c>
      <c r="BF166" s="147">
        <v>0.9</v>
      </c>
      <c r="BG166" s="147">
        <v>0.9</v>
      </c>
      <c r="BH166" s="147">
        <v>0.85</v>
      </c>
      <c r="BI166" s="147">
        <v>0.85</v>
      </c>
      <c r="BJ166" s="147">
        <v>0.85</v>
      </c>
      <c r="BK166" s="147">
        <v>0.85</v>
      </c>
      <c r="BL166" s="147">
        <v>0.85</v>
      </c>
      <c r="BM166" s="147">
        <v>0.8</v>
      </c>
      <c r="BN166" s="147">
        <v>0.8</v>
      </c>
      <c r="BO166" s="147">
        <v>0.8</v>
      </c>
      <c r="BP166" s="147">
        <v>0.8</v>
      </c>
      <c r="BQ166" s="147">
        <v>0.75</v>
      </c>
      <c r="BR166" s="147">
        <v>0.75</v>
      </c>
      <c r="BS166" s="147">
        <v>0.75</v>
      </c>
      <c r="BT166" s="147">
        <v>0.75</v>
      </c>
      <c r="BU166" s="147">
        <v>0.75</v>
      </c>
      <c r="BV166" s="147">
        <v>0.75</v>
      </c>
      <c r="BW166" s="147">
        <v>0.7</v>
      </c>
      <c r="BX166" s="147">
        <v>0.7</v>
      </c>
      <c r="BY166" s="147">
        <v>0.7</v>
      </c>
      <c r="BZ166" s="147">
        <v>0.7</v>
      </c>
      <c r="CA166" s="147">
        <v>0.64</v>
      </c>
    </row>
    <row r="167" spans="1:79">
      <c r="A167" s="144">
        <v>2</v>
      </c>
      <c r="B167" s="147">
        <v>1.1399999999999999</v>
      </c>
      <c r="C167" s="147">
        <v>1.1399999999999999</v>
      </c>
      <c r="D167" s="147">
        <v>1.1399999999999999</v>
      </c>
      <c r="E167" s="147">
        <v>1.1399999999999999</v>
      </c>
      <c r="F167" s="147">
        <v>1.1399999999999999</v>
      </c>
      <c r="G167" s="147">
        <v>1.1399999999999999</v>
      </c>
      <c r="H167" s="147">
        <v>1.1399999999999999</v>
      </c>
      <c r="I167" s="147">
        <v>1.1399999999999999</v>
      </c>
      <c r="J167" s="147">
        <v>1.1399999999999999</v>
      </c>
      <c r="K167" s="147">
        <v>1.1399999999999999</v>
      </c>
      <c r="L167" s="147">
        <v>1.1399999999999999</v>
      </c>
      <c r="M167" s="147">
        <v>1.1399999999999999</v>
      </c>
      <c r="N167" s="147">
        <v>1.1399999999999999</v>
      </c>
      <c r="O167" s="147">
        <v>1.1399999999999999</v>
      </c>
      <c r="P167" s="147">
        <v>1.1399999999999999</v>
      </c>
      <c r="Q167" s="147">
        <v>1.1399999999999999</v>
      </c>
      <c r="R167" s="147">
        <v>1.1399999999999999</v>
      </c>
      <c r="S167" s="147">
        <v>1.1399999999999999</v>
      </c>
      <c r="T167" s="147">
        <v>1.1399999999999999</v>
      </c>
      <c r="U167" s="147"/>
      <c r="V167" s="147">
        <v>1.1399999999999999</v>
      </c>
      <c r="W167" s="147">
        <v>1.1399999999999999</v>
      </c>
      <c r="X167" s="147">
        <v>1.1399999999999999</v>
      </c>
      <c r="Y167" s="147">
        <v>1.1100000000000001</v>
      </c>
      <c r="Z167" s="147">
        <v>1.1100000000000001</v>
      </c>
      <c r="AA167" s="147">
        <v>1.1100000000000001</v>
      </c>
      <c r="AB167" s="147">
        <v>1.1100000000000001</v>
      </c>
      <c r="AC167" s="147">
        <v>1.1100000000000001</v>
      </c>
      <c r="AD167" s="147">
        <v>1.08</v>
      </c>
      <c r="AE167" s="147">
        <v>1.08</v>
      </c>
      <c r="AF167" s="147">
        <v>1.08</v>
      </c>
      <c r="AG167" s="147">
        <v>1.08</v>
      </c>
      <c r="AH167" s="147">
        <v>1.08</v>
      </c>
      <c r="AI167" s="147">
        <v>1.05</v>
      </c>
      <c r="AJ167" s="147">
        <v>1.05</v>
      </c>
      <c r="AK167" s="147">
        <v>1.05</v>
      </c>
      <c r="AL167" s="147">
        <v>1.05</v>
      </c>
      <c r="AM167" s="147">
        <v>1.05</v>
      </c>
      <c r="AN167" s="147">
        <v>1.02</v>
      </c>
      <c r="AO167" s="147">
        <v>1.02</v>
      </c>
      <c r="AP167" s="147">
        <v>1.02</v>
      </c>
      <c r="AQ167" s="147">
        <v>1.02</v>
      </c>
      <c r="AR167" s="147">
        <v>1.02</v>
      </c>
      <c r="AS167" s="147">
        <v>0.98</v>
      </c>
      <c r="AT167" s="147">
        <v>0.98</v>
      </c>
      <c r="AU167" s="147">
        <v>0.98</v>
      </c>
      <c r="AV167" s="147">
        <v>0.98</v>
      </c>
      <c r="AW167" s="147">
        <v>0.98</v>
      </c>
      <c r="AX167" s="147">
        <v>0.94</v>
      </c>
      <c r="AY167" s="147">
        <v>0.94</v>
      </c>
      <c r="AZ167" s="147">
        <v>0.94</v>
      </c>
      <c r="BA167" s="147">
        <v>0.94</v>
      </c>
      <c r="BB167" s="147">
        <v>0.94</v>
      </c>
      <c r="BC167" s="147">
        <v>0.9</v>
      </c>
      <c r="BD167" s="147">
        <v>0.9</v>
      </c>
      <c r="BE167" s="147">
        <v>0.9</v>
      </c>
      <c r="BF167" s="147">
        <v>0.9</v>
      </c>
      <c r="BG167" s="147">
        <v>0.9</v>
      </c>
      <c r="BH167" s="147">
        <v>0.85</v>
      </c>
      <c r="BI167" s="147">
        <v>0.85</v>
      </c>
      <c r="BJ167" s="147">
        <v>0.85</v>
      </c>
      <c r="BK167" s="147">
        <v>0.85</v>
      </c>
      <c r="BL167" s="147">
        <v>0.85</v>
      </c>
      <c r="BM167" s="147">
        <v>0.8</v>
      </c>
      <c r="BN167" s="147">
        <v>0.8</v>
      </c>
      <c r="BO167" s="147">
        <v>0.8</v>
      </c>
      <c r="BP167" s="147">
        <v>0.8</v>
      </c>
      <c r="BQ167" s="147">
        <v>0.75</v>
      </c>
      <c r="BR167" s="147">
        <v>0.75</v>
      </c>
      <c r="BS167" s="147">
        <v>0.75</v>
      </c>
      <c r="BT167" s="147">
        <v>0.75</v>
      </c>
      <c r="BU167" s="147">
        <v>0.75</v>
      </c>
      <c r="BV167" s="147">
        <v>0.75</v>
      </c>
      <c r="BW167" s="147">
        <v>0.7</v>
      </c>
      <c r="BX167" s="147">
        <v>0.7</v>
      </c>
      <c r="BY167" s="147">
        <v>0.7</v>
      </c>
      <c r="BZ167" s="147">
        <v>0.7</v>
      </c>
      <c r="CA167" s="147">
        <v>0.64</v>
      </c>
    </row>
    <row r="168" spans="1:79">
      <c r="A168" s="144">
        <v>3</v>
      </c>
      <c r="B168" s="147">
        <v>1.1399999999999999</v>
      </c>
      <c r="C168" s="147">
        <v>1.1399999999999999</v>
      </c>
      <c r="D168" s="147">
        <v>1.1399999999999999</v>
      </c>
      <c r="E168" s="147">
        <v>1.1399999999999999</v>
      </c>
      <c r="F168" s="147">
        <v>1.1399999999999999</v>
      </c>
      <c r="G168" s="147">
        <v>1.1399999999999999</v>
      </c>
      <c r="H168" s="147">
        <v>1.1399999999999999</v>
      </c>
      <c r="I168" s="147">
        <v>1.1399999999999999</v>
      </c>
      <c r="J168" s="147">
        <v>1.1399999999999999</v>
      </c>
      <c r="K168" s="147">
        <v>1.1399999999999999</v>
      </c>
      <c r="L168" s="147">
        <v>1.1399999999999999</v>
      </c>
      <c r="M168" s="147">
        <v>1.1399999999999999</v>
      </c>
      <c r="N168" s="147">
        <v>1.1399999999999999</v>
      </c>
      <c r="O168" s="147">
        <v>1.1399999999999999</v>
      </c>
      <c r="P168" s="147">
        <v>1.1399999999999999</v>
      </c>
      <c r="Q168" s="147">
        <v>1.1399999999999999</v>
      </c>
      <c r="R168" s="147">
        <v>1.1399999999999999</v>
      </c>
      <c r="S168" s="147">
        <v>1.1399999999999999</v>
      </c>
      <c r="T168" s="147">
        <v>1.1399999999999999</v>
      </c>
      <c r="U168" s="147"/>
      <c r="V168" s="147">
        <v>1.1399999999999999</v>
      </c>
      <c r="W168" s="147">
        <v>1.1399999999999999</v>
      </c>
      <c r="X168" s="147">
        <v>1.1399999999999999</v>
      </c>
      <c r="Y168" s="147">
        <v>1.1100000000000001</v>
      </c>
      <c r="Z168" s="147">
        <v>1.1100000000000001</v>
      </c>
      <c r="AA168" s="147">
        <v>1.1100000000000001</v>
      </c>
      <c r="AB168" s="147">
        <v>1.1100000000000001</v>
      </c>
      <c r="AC168" s="147">
        <v>1.1100000000000001</v>
      </c>
      <c r="AD168" s="147">
        <v>1.08</v>
      </c>
      <c r="AE168" s="147">
        <v>1.08</v>
      </c>
      <c r="AF168" s="147">
        <v>1.08</v>
      </c>
      <c r="AG168" s="147">
        <v>1.08</v>
      </c>
      <c r="AH168" s="147">
        <v>1.08</v>
      </c>
      <c r="AI168" s="147">
        <v>1.05</v>
      </c>
      <c r="AJ168" s="147">
        <v>1.05</v>
      </c>
      <c r="AK168" s="147">
        <v>1.05</v>
      </c>
      <c r="AL168" s="147">
        <v>1.05</v>
      </c>
      <c r="AM168" s="147">
        <v>1.05</v>
      </c>
      <c r="AN168" s="147">
        <v>1.02</v>
      </c>
      <c r="AO168" s="147">
        <v>1.02</v>
      </c>
      <c r="AP168" s="147">
        <v>1.02</v>
      </c>
      <c r="AQ168" s="147">
        <v>1.02</v>
      </c>
      <c r="AR168" s="147">
        <v>1.02</v>
      </c>
      <c r="AS168" s="147">
        <v>0.98</v>
      </c>
      <c r="AT168" s="147">
        <v>0.98</v>
      </c>
      <c r="AU168" s="147">
        <v>0.98</v>
      </c>
      <c r="AV168" s="147">
        <v>0.98</v>
      </c>
      <c r="AW168" s="147">
        <v>0.98</v>
      </c>
      <c r="AX168" s="147">
        <v>0.94</v>
      </c>
      <c r="AY168" s="147">
        <v>0.94</v>
      </c>
      <c r="AZ168" s="147">
        <v>0.94</v>
      </c>
      <c r="BA168" s="147">
        <v>0.94</v>
      </c>
      <c r="BB168" s="147">
        <v>0.94</v>
      </c>
      <c r="BC168" s="147">
        <v>0.9</v>
      </c>
      <c r="BD168" s="147">
        <v>0.9</v>
      </c>
      <c r="BE168" s="147">
        <v>0.9</v>
      </c>
      <c r="BF168" s="147">
        <v>0.9</v>
      </c>
      <c r="BG168" s="147">
        <v>0.9</v>
      </c>
      <c r="BH168" s="147">
        <v>0.85</v>
      </c>
      <c r="BI168" s="147">
        <v>0.85</v>
      </c>
      <c r="BJ168" s="147">
        <v>0.85</v>
      </c>
      <c r="BK168" s="147">
        <v>0.85</v>
      </c>
      <c r="BL168" s="147">
        <v>0.85</v>
      </c>
      <c r="BM168" s="147">
        <v>0.8</v>
      </c>
      <c r="BN168" s="147">
        <v>0.8</v>
      </c>
      <c r="BO168" s="147">
        <v>0.8</v>
      </c>
      <c r="BP168" s="147">
        <v>0.8</v>
      </c>
      <c r="BQ168" s="147">
        <v>0.75</v>
      </c>
      <c r="BR168" s="147">
        <v>0.75</v>
      </c>
      <c r="BS168" s="147">
        <v>0.75</v>
      </c>
      <c r="BT168" s="147">
        <v>0.75</v>
      </c>
      <c r="BU168" s="147">
        <v>0.75</v>
      </c>
      <c r="BV168" s="147">
        <v>0.75</v>
      </c>
      <c r="BW168" s="147">
        <v>0.7</v>
      </c>
      <c r="BX168" s="147">
        <v>0.7</v>
      </c>
      <c r="BY168" s="147">
        <v>0.7</v>
      </c>
      <c r="BZ168" s="147">
        <v>0.7</v>
      </c>
      <c r="CA168" s="147">
        <v>0.64</v>
      </c>
    </row>
    <row r="169" spans="1:79">
      <c r="A169" s="144">
        <v>4</v>
      </c>
      <c r="B169" s="147">
        <v>1.1399999999999999</v>
      </c>
      <c r="C169" s="147">
        <v>1.1399999999999999</v>
      </c>
      <c r="D169" s="147">
        <v>1.1399999999999999</v>
      </c>
      <c r="E169" s="147">
        <v>1.1399999999999999</v>
      </c>
      <c r="F169" s="147">
        <v>1.1399999999999999</v>
      </c>
      <c r="G169" s="147">
        <v>1.1399999999999999</v>
      </c>
      <c r="H169" s="147">
        <v>1.1399999999999999</v>
      </c>
      <c r="I169" s="147">
        <v>1.1399999999999999</v>
      </c>
      <c r="J169" s="147">
        <v>1.1399999999999999</v>
      </c>
      <c r="K169" s="147">
        <v>1.1399999999999999</v>
      </c>
      <c r="L169" s="147">
        <v>1.1399999999999999</v>
      </c>
      <c r="M169" s="147">
        <v>1.1399999999999999</v>
      </c>
      <c r="N169" s="147">
        <v>1.1399999999999999</v>
      </c>
      <c r="O169" s="147">
        <v>1.1399999999999999</v>
      </c>
      <c r="P169" s="147">
        <v>1.1399999999999999</v>
      </c>
      <c r="Q169" s="147">
        <v>1.1399999999999999</v>
      </c>
      <c r="R169" s="147">
        <v>1.1399999999999999</v>
      </c>
      <c r="S169" s="147">
        <v>1.1399999999999999</v>
      </c>
      <c r="T169" s="147">
        <v>1.1399999999999999</v>
      </c>
      <c r="U169" s="147"/>
      <c r="V169" s="147">
        <v>1.1399999999999999</v>
      </c>
      <c r="W169" s="147">
        <v>1.1399999999999999</v>
      </c>
      <c r="X169" s="147">
        <v>1.1399999999999999</v>
      </c>
      <c r="Y169" s="147">
        <v>1.1100000000000001</v>
      </c>
      <c r="Z169" s="147">
        <v>1.1100000000000001</v>
      </c>
      <c r="AA169" s="147">
        <v>1.1100000000000001</v>
      </c>
      <c r="AB169" s="147">
        <v>1.1100000000000001</v>
      </c>
      <c r="AC169" s="147">
        <v>1.1100000000000001</v>
      </c>
      <c r="AD169" s="147">
        <v>1.08</v>
      </c>
      <c r="AE169" s="147">
        <v>1.08</v>
      </c>
      <c r="AF169" s="147">
        <v>1.08</v>
      </c>
      <c r="AG169" s="147">
        <v>1.08</v>
      </c>
      <c r="AH169" s="147">
        <v>1.08</v>
      </c>
      <c r="AI169" s="147">
        <v>1.05</v>
      </c>
      <c r="AJ169" s="147">
        <v>1.05</v>
      </c>
      <c r="AK169" s="147">
        <v>1.05</v>
      </c>
      <c r="AL169" s="147">
        <v>1.05</v>
      </c>
      <c r="AM169" s="147">
        <v>1.05</v>
      </c>
      <c r="AN169" s="147">
        <v>1.02</v>
      </c>
      <c r="AO169" s="147">
        <v>1.02</v>
      </c>
      <c r="AP169" s="147">
        <v>1.02</v>
      </c>
      <c r="AQ169" s="147">
        <v>1.02</v>
      </c>
      <c r="AR169" s="147">
        <v>1.02</v>
      </c>
      <c r="AS169" s="147">
        <v>0.98</v>
      </c>
      <c r="AT169" s="147">
        <v>0.98</v>
      </c>
      <c r="AU169" s="147">
        <v>0.98</v>
      </c>
      <c r="AV169" s="147">
        <v>0.98</v>
      </c>
      <c r="AW169" s="147">
        <v>0.98</v>
      </c>
      <c r="AX169" s="147">
        <v>0.94</v>
      </c>
      <c r="AY169" s="147">
        <v>0.94</v>
      </c>
      <c r="AZ169" s="147">
        <v>0.94</v>
      </c>
      <c r="BA169" s="147">
        <v>0.94</v>
      </c>
      <c r="BB169" s="147">
        <v>0.94</v>
      </c>
      <c r="BC169" s="147">
        <v>0.9</v>
      </c>
      <c r="BD169" s="147">
        <v>0.9</v>
      </c>
      <c r="BE169" s="147">
        <v>0.9</v>
      </c>
      <c r="BF169" s="147">
        <v>0.9</v>
      </c>
      <c r="BG169" s="147">
        <v>0.9</v>
      </c>
      <c r="BH169" s="147">
        <v>0.85</v>
      </c>
      <c r="BI169" s="147">
        <v>0.85</v>
      </c>
      <c r="BJ169" s="147">
        <v>0.85</v>
      </c>
      <c r="BK169" s="147">
        <v>0.85</v>
      </c>
      <c r="BL169" s="147">
        <v>0.85</v>
      </c>
      <c r="BM169" s="147">
        <v>0.8</v>
      </c>
      <c r="BN169" s="147">
        <v>0.8</v>
      </c>
      <c r="BO169" s="147">
        <v>0.8</v>
      </c>
      <c r="BP169" s="147">
        <v>0.8</v>
      </c>
      <c r="BQ169" s="147">
        <v>0.75</v>
      </c>
      <c r="BR169" s="147">
        <v>0.75</v>
      </c>
      <c r="BS169" s="147">
        <v>0.75</v>
      </c>
      <c r="BT169" s="147">
        <v>0.75</v>
      </c>
      <c r="BU169" s="147">
        <v>0.75</v>
      </c>
      <c r="BV169" s="147">
        <v>0.75</v>
      </c>
      <c r="BW169" s="147">
        <v>0.7</v>
      </c>
      <c r="BX169" s="147">
        <v>0.7</v>
      </c>
      <c r="BY169" s="147">
        <v>0.7</v>
      </c>
      <c r="BZ169" s="147">
        <v>0.7</v>
      </c>
      <c r="CA169" s="147">
        <v>0.64</v>
      </c>
    </row>
    <row r="170" spans="1:79">
      <c r="A170" s="144">
        <v>5</v>
      </c>
      <c r="B170" s="147">
        <v>1.1399999999999999</v>
      </c>
      <c r="C170" s="147">
        <v>1.1399999999999999</v>
      </c>
      <c r="D170" s="147">
        <v>1.1399999999999999</v>
      </c>
      <c r="E170" s="147">
        <v>1.1399999999999999</v>
      </c>
      <c r="F170" s="147">
        <v>1.1399999999999999</v>
      </c>
      <c r="G170" s="147">
        <v>1.1399999999999999</v>
      </c>
      <c r="H170" s="147">
        <v>1.1399999999999999</v>
      </c>
      <c r="I170" s="147">
        <v>1.1399999999999999</v>
      </c>
      <c r="J170" s="147">
        <v>1.1399999999999999</v>
      </c>
      <c r="K170" s="147">
        <v>1.1399999999999999</v>
      </c>
      <c r="L170" s="147">
        <v>1.1399999999999999</v>
      </c>
      <c r="M170" s="147">
        <v>1.1399999999999999</v>
      </c>
      <c r="N170" s="147">
        <v>1.1399999999999999</v>
      </c>
      <c r="O170" s="147">
        <v>1.1399999999999999</v>
      </c>
      <c r="P170" s="147">
        <v>1.1399999999999999</v>
      </c>
      <c r="Q170" s="147">
        <v>1.1399999999999999</v>
      </c>
      <c r="R170" s="147">
        <v>1.1399999999999999</v>
      </c>
      <c r="S170" s="147">
        <v>1.1399999999999999</v>
      </c>
      <c r="T170" s="147">
        <v>1.1399999999999999</v>
      </c>
      <c r="U170" s="147"/>
      <c r="V170" s="147">
        <v>1.1399999999999999</v>
      </c>
      <c r="W170" s="147">
        <v>1.1399999999999999</v>
      </c>
      <c r="X170" s="147">
        <v>1.1399999999999999</v>
      </c>
      <c r="Y170" s="147">
        <v>1.1100000000000001</v>
      </c>
      <c r="Z170" s="147">
        <v>1.1100000000000001</v>
      </c>
      <c r="AA170" s="147">
        <v>1.1100000000000001</v>
      </c>
      <c r="AB170" s="147">
        <v>1.1100000000000001</v>
      </c>
      <c r="AC170" s="147">
        <v>1.1100000000000001</v>
      </c>
      <c r="AD170" s="147">
        <v>1.08</v>
      </c>
      <c r="AE170" s="147">
        <v>1.08</v>
      </c>
      <c r="AF170" s="147">
        <v>1.08</v>
      </c>
      <c r="AG170" s="147">
        <v>1.08</v>
      </c>
      <c r="AH170" s="147">
        <v>1.08</v>
      </c>
      <c r="AI170" s="147">
        <v>1.05</v>
      </c>
      <c r="AJ170" s="147">
        <v>1.05</v>
      </c>
      <c r="AK170" s="147">
        <v>1.05</v>
      </c>
      <c r="AL170" s="147">
        <v>1.05</v>
      </c>
      <c r="AM170" s="147">
        <v>1.05</v>
      </c>
      <c r="AN170" s="147">
        <v>1.02</v>
      </c>
      <c r="AO170" s="147">
        <v>1.02</v>
      </c>
      <c r="AP170" s="147">
        <v>1.02</v>
      </c>
      <c r="AQ170" s="147">
        <v>1.02</v>
      </c>
      <c r="AR170" s="147">
        <v>1.02</v>
      </c>
      <c r="AS170" s="147">
        <v>0.98</v>
      </c>
      <c r="AT170" s="147">
        <v>0.98</v>
      </c>
      <c r="AU170" s="147">
        <v>0.98</v>
      </c>
      <c r="AV170" s="147">
        <v>0.98</v>
      </c>
      <c r="AW170" s="147">
        <v>0.98</v>
      </c>
      <c r="AX170" s="147">
        <v>0.94</v>
      </c>
      <c r="AY170" s="147">
        <v>0.94</v>
      </c>
      <c r="AZ170" s="147">
        <v>0.94</v>
      </c>
      <c r="BA170" s="147">
        <v>0.94</v>
      </c>
      <c r="BB170" s="147">
        <v>0.94</v>
      </c>
      <c r="BC170" s="147">
        <v>0.9</v>
      </c>
      <c r="BD170" s="147">
        <v>0.9</v>
      </c>
      <c r="BE170" s="147">
        <v>0.9</v>
      </c>
      <c r="BF170" s="147">
        <v>0.9</v>
      </c>
      <c r="BG170" s="147">
        <v>0.9</v>
      </c>
      <c r="BH170" s="147">
        <v>0.85</v>
      </c>
      <c r="BI170" s="147">
        <v>0.85</v>
      </c>
      <c r="BJ170" s="147">
        <v>0.85</v>
      </c>
      <c r="BK170" s="147">
        <v>0.85</v>
      </c>
      <c r="BL170" s="147">
        <v>0.85</v>
      </c>
      <c r="BM170" s="147">
        <v>0.8</v>
      </c>
      <c r="BN170" s="147">
        <v>0.8</v>
      </c>
      <c r="BO170" s="147">
        <v>0.8</v>
      </c>
      <c r="BP170" s="147">
        <v>0.8</v>
      </c>
      <c r="BQ170" s="147">
        <v>0.75</v>
      </c>
      <c r="BR170" s="147">
        <v>0.75</v>
      </c>
      <c r="BS170" s="147">
        <v>0.75</v>
      </c>
      <c r="BT170" s="147">
        <v>0.75</v>
      </c>
      <c r="BU170" s="147">
        <v>0.75</v>
      </c>
      <c r="BV170" s="147">
        <v>0.75</v>
      </c>
      <c r="BW170" s="147">
        <v>0.7</v>
      </c>
      <c r="BX170" s="147">
        <v>0.7</v>
      </c>
      <c r="BY170" s="147">
        <v>0.7</v>
      </c>
      <c r="BZ170" s="147">
        <v>0.7</v>
      </c>
      <c r="CA170" s="147">
        <v>0.64</v>
      </c>
    </row>
    <row r="171" spans="1:79">
      <c r="A171" s="144">
        <v>6</v>
      </c>
      <c r="B171" s="147">
        <v>1.1399999999999999</v>
      </c>
      <c r="C171" s="147">
        <v>1.1399999999999999</v>
      </c>
      <c r="D171" s="147">
        <v>1.1399999999999999</v>
      </c>
      <c r="E171" s="147">
        <v>1.1399999999999999</v>
      </c>
      <c r="F171" s="147">
        <v>1.1399999999999999</v>
      </c>
      <c r="G171" s="147">
        <v>1.1399999999999999</v>
      </c>
      <c r="H171" s="147">
        <v>1.1399999999999999</v>
      </c>
      <c r="I171" s="147">
        <v>1.1399999999999999</v>
      </c>
      <c r="J171" s="147">
        <v>1.1399999999999999</v>
      </c>
      <c r="K171" s="147">
        <v>1.1399999999999999</v>
      </c>
      <c r="L171" s="147">
        <v>1.1399999999999999</v>
      </c>
      <c r="M171" s="147">
        <v>1.1399999999999999</v>
      </c>
      <c r="N171" s="147">
        <v>1.1399999999999999</v>
      </c>
      <c r="O171" s="147">
        <v>1.1399999999999999</v>
      </c>
      <c r="P171" s="147">
        <v>1.1399999999999999</v>
      </c>
      <c r="Q171" s="147">
        <v>1.1399999999999999</v>
      </c>
      <c r="R171" s="147">
        <v>1.1399999999999999</v>
      </c>
      <c r="S171" s="147">
        <v>1.1399999999999999</v>
      </c>
      <c r="T171" s="147">
        <v>1.1399999999999999</v>
      </c>
      <c r="U171" s="147"/>
      <c r="V171" s="147">
        <v>1.1399999999999999</v>
      </c>
      <c r="W171" s="147">
        <v>1.1399999999999999</v>
      </c>
      <c r="X171" s="147">
        <v>1.1399999999999999</v>
      </c>
      <c r="Y171" s="147">
        <v>1.1100000000000001</v>
      </c>
      <c r="Z171" s="147">
        <v>1.1100000000000001</v>
      </c>
      <c r="AA171" s="147">
        <v>1.1100000000000001</v>
      </c>
      <c r="AB171" s="147">
        <v>1.1100000000000001</v>
      </c>
      <c r="AC171" s="147">
        <v>1.1100000000000001</v>
      </c>
      <c r="AD171" s="147">
        <v>1.08</v>
      </c>
      <c r="AE171" s="147">
        <v>1.08</v>
      </c>
      <c r="AF171" s="147">
        <v>1.08</v>
      </c>
      <c r="AG171" s="147">
        <v>1.08</v>
      </c>
      <c r="AH171" s="147">
        <v>1.08</v>
      </c>
      <c r="AI171" s="147">
        <v>1.05</v>
      </c>
      <c r="AJ171" s="147">
        <v>1.05</v>
      </c>
      <c r="AK171" s="147">
        <v>1.05</v>
      </c>
      <c r="AL171" s="147">
        <v>1.05</v>
      </c>
      <c r="AM171" s="147">
        <v>1.05</v>
      </c>
      <c r="AN171" s="147">
        <v>1.02</v>
      </c>
      <c r="AO171" s="147">
        <v>1.02</v>
      </c>
      <c r="AP171" s="147">
        <v>1.02</v>
      </c>
      <c r="AQ171" s="147">
        <v>1.02</v>
      </c>
      <c r="AR171" s="147">
        <v>1.02</v>
      </c>
      <c r="AS171" s="147">
        <v>0.98</v>
      </c>
      <c r="AT171" s="147">
        <v>0.98</v>
      </c>
      <c r="AU171" s="147">
        <v>0.98</v>
      </c>
      <c r="AV171" s="147">
        <v>0.98</v>
      </c>
      <c r="AW171" s="147">
        <v>0.98</v>
      </c>
      <c r="AX171" s="147">
        <v>0.94</v>
      </c>
      <c r="AY171" s="147">
        <v>0.94</v>
      </c>
      <c r="AZ171" s="147">
        <v>0.94</v>
      </c>
      <c r="BA171" s="147">
        <v>0.94</v>
      </c>
      <c r="BB171" s="147">
        <v>0.94</v>
      </c>
      <c r="BC171" s="147">
        <v>0.9</v>
      </c>
      <c r="BD171" s="147">
        <v>0.9</v>
      </c>
      <c r="BE171" s="147">
        <v>0.9</v>
      </c>
      <c r="BF171" s="147">
        <v>0.9</v>
      </c>
      <c r="BG171" s="147">
        <v>0.9</v>
      </c>
      <c r="BH171" s="147">
        <v>0.85</v>
      </c>
      <c r="BI171" s="147">
        <v>0.85</v>
      </c>
      <c r="BJ171" s="147">
        <v>0.85</v>
      </c>
      <c r="BK171" s="147">
        <v>0.85</v>
      </c>
      <c r="BL171" s="147">
        <v>0.85</v>
      </c>
      <c r="BM171" s="147">
        <v>0.8</v>
      </c>
      <c r="BN171" s="147">
        <v>0.8</v>
      </c>
      <c r="BO171" s="147">
        <v>0.8</v>
      </c>
      <c r="BP171" s="147">
        <v>0.8</v>
      </c>
      <c r="BQ171" s="147">
        <v>0.75</v>
      </c>
      <c r="BR171" s="147">
        <v>0.75</v>
      </c>
      <c r="BS171" s="147">
        <v>0.75</v>
      </c>
      <c r="BT171" s="147">
        <v>0.75</v>
      </c>
      <c r="BU171" s="147">
        <v>0.75</v>
      </c>
      <c r="BV171" s="147">
        <v>0.75</v>
      </c>
      <c r="BW171" s="147">
        <v>0.7</v>
      </c>
      <c r="BX171" s="147">
        <v>0.7</v>
      </c>
      <c r="BY171" s="147">
        <v>0.7</v>
      </c>
      <c r="BZ171" s="147">
        <v>0.7</v>
      </c>
      <c r="CA171" s="147">
        <v>0.64</v>
      </c>
    </row>
    <row r="172" spans="1:79">
      <c r="A172" s="144">
        <v>7</v>
      </c>
      <c r="B172" s="147">
        <v>1.1399999999999999</v>
      </c>
      <c r="C172" s="147">
        <v>1.1399999999999999</v>
      </c>
      <c r="D172" s="147">
        <v>1.1399999999999999</v>
      </c>
      <c r="E172" s="147">
        <v>1.1399999999999999</v>
      </c>
      <c r="F172" s="147">
        <v>1.1399999999999999</v>
      </c>
      <c r="G172" s="147">
        <v>1.1399999999999999</v>
      </c>
      <c r="H172" s="147">
        <v>1.1399999999999999</v>
      </c>
      <c r="I172" s="147">
        <v>1.1399999999999999</v>
      </c>
      <c r="J172" s="147">
        <v>1.1399999999999999</v>
      </c>
      <c r="K172" s="147">
        <v>1.1399999999999999</v>
      </c>
      <c r="L172" s="147">
        <v>1.1399999999999999</v>
      </c>
      <c r="M172" s="147">
        <v>1.1399999999999999</v>
      </c>
      <c r="N172" s="147">
        <v>1.1399999999999999</v>
      </c>
      <c r="O172" s="147">
        <v>1.1399999999999999</v>
      </c>
      <c r="P172" s="147">
        <v>1.1399999999999999</v>
      </c>
      <c r="Q172" s="147">
        <v>1.1399999999999999</v>
      </c>
      <c r="R172" s="147">
        <v>1.1399999999999999</v>
      </c>
      <c r="S172" s="147">
        <v>1.1399999999999999</v>
      </c>
      <c r="T172" s="147">
        <v>1.1399999999999999</v>
      </c>
      <c r="U172" s="147"/>
      <c r="V172" s="147">
        <v>1.1399999999999999</v>
      </c>
      <c r="W172" s="147">
        <v>1.1399999999999999</v>
      </c>
      <c r="X172" s="147">
        <v>1.1399999999999999</v>
      </c>
      <c r="Y172" s="147">
        <v>1.1100000000000001</v>
      </c>
      <c r="Z172" s="147">
        <v>1.1100000000000001</v>
      </c>
      <c r="AA172" s="147">
        <v>1.1100000000000001</v>
      </c>
      <c r="AB172" s="147">
        <v>1.1100000000000001</v>
      </c>
      <c r="AC172" s="147">
        <v>1.1100000000000001</v>
      </c>
      <c r="AD172" s="147">
        <v>1.08</v>
      </c>
      <c r="AE172" s="147">
        <v>1.08</v>
      </c>
      <c r="AF172" s="147">
        <v>1.08</v>
      </c>
      <c r="AG172" s="147">
        <v>1.08</v>
      </c>
      <c r="AH172" s="147">
        <v>1.08</v>
      </c>
      <c r="AI172" s="147">
        <v>1.05</v>
      </c>
      <c r="AJ172" s="147">
        <v>1.05</v>
      </c>
      <c r="AK172" s="147">
        <v>1.05</v>
      </c>
      <c r="AL172" s="147">
        <v>1.05</v>
      </c>
      <c r="AM172" s="147">
        <v>1.05</v>
      </c>
      <c r="AN172" s="147">
        <v>1.02</v>
      </c>
      <c r="AO172" s="147">
        <v>1.02</v>
      </c>
      <c r="AP172" s="147">
        <v>1.02</v>
      </c>
      <c r="AQ172" s="147">
        <v>1.02</v>
      </c>
      <c r="AR172" s="147">
        <v>1.02</v>
      </c>
      <c r="AS172" s="147">
        <v>0.98</v>
      </c>
      <c r="AT172" s="147">
        <v>0.98</v>
      </c>
      <c r="AU172" s="147">
        <v>0.98</v>
      </c>
      <c r="AV172" s="147">
        <v>0.98</v>
      </c>
      <c r="AW172" s="147">
        <v>0.98</v>
      </c>
      <c r="AX172" s="147">
        <v>0.94</v>
      </c>
      <c r="AY172" s="147">
        <v>0.94</v>
      </c>
      <c r="AZ172" s="147">
        <v>0.94</v>
      </c>
      <c r="BA172" s="147">
        <v>0.94</v>
      </c>
      <c r="BB172" s="147">
        <v>0.94</v>
      </c>
      <c r="BC172" s="147">
        <v>0.9</v>
      </c>
      <c r="BD172" s="147">
        <v>0.9</v>
      </c>
      <c r="BE172" s="147">
        <v>0.9</v>
      </c>
      <c r="BF172" s="147">
        <v>0.9</v>
      </c>
      <c r="BG172" s="147">
        <v>0.9</v>
      </c>
      <c r="BH172" s="147">
        <v>0.85</v>
      </c>
      <c r="BI172" s="147">
        <v>0.85</v>
      </c>
      <c r="BJ172" s="147">
        <v>0.85</v>
      </c>
      <c r="BK172" s="147">
        <v>0.85</v>
      </c>
      <c r="BL172" s="147">
        <v>0.85</v>
      </c>
      <c r="BM172" s="147">
        <v>0.8</v>
      </c>
      <c r="BN172" s="147">
        <v>0.8</v>
      </c>
      <c r="BO172" s="147">
        <v>0.8</v>
      </c>
      <c r="BP172" s="147">
        <v>0.8</v>
      </c>
      <c r="BQ172" s="147">
        <v>0.75</v>
      </c>
      <c r="BR172" s="147">
        <v>0.75</v>
      </c>
      <c r="BS172" s="147">
        <v>0.75</v>
      </c>
      <c r="BT172" s="147">
        <v>0.75</v>
      </c>
      <c r="BU172" s="147">
        <v>0.75</v>
      </c>
      <c r="BV172" s="147">
        <v>0.75</v>
      </c>
      <c r="BW172" s="147">
        <v>0.7</v>
      </c>
      <c r="BX172" s="147">
        <v>0.7</v>
      </c>
      <c r="BY172" s="147">
        <v>0.7</v>
      </c>
      <c r="BZ172" s="147">
        <v>0.7</v>
      </c>
      <c r="CA172" s="147">
        <v>0.64</v>
      </c>
    </row>
    <row r="173" spans="1:79">
      <c r="A173" s="144">
        <v>8</v>
      </c>
      <c r="B173" s="147">
        <v>1.1399999999999999</v>
      </c>
      <c r="C173" s="147">
        <v>1.1399999999999999</v>
      </c>
      <c r="D173" s="147">
        <v>1.1399999999999999</v>
      </c>
      <c r="E173" s="147">
        <v>1.1399999999999999</v>
      </c>
      <c r="F173" s="147">
        <v>1.1399999999999999</v>
      </c>
      <c r="G173" s="147">
        <v>1.1399999999999999</v>
      </c>
      <c r="H173" s="147">
        <v>1.1399999999999999</v>
      </c>
      <c r="I173" s="147">
        <v>1.1399999999999999</v>
      </c>
      <c r="J173" s="147">
        <v>1.1399999999999999</v>
      </c>
      <c r="K173" s="147">
        <v>1.1399999999999999</v>
      </c>
      <c r="L173" s="147">
        <v>1.1399999999999999</v>
      </c>
      <c r="M173" s="147">
        <v>1.1399999999999999</v>
      </c>
      <c r="N173" s="147">
        <v>1.1399999999999999</v>
      </c>
      <c r="O173" s="147">
        <v>1.1399999999999999</v>
      </c>
      <c r="P173" s="147">
        <v>1.1399999999999999</v>
      </c>
      <c r="Q173" s="147">
        <v>1.1399999999999999</v>
      </c>
      <c r="R173" s="147">
        <v>1.1399999999999999</v>
      </c>
      <c r="S173" s="147">
        <v>1.1399999999999999</v>
      </c>
      <c r="T173" s="147">
        <v>1.1399999999999999</v>
      </c>
      <c r="U173" s="147"/>
      <c r="V173" s="147">
        <v>1.1399999999999999</v>
      </c>
      <c r="W173" s="147">
        <v>1.1399999999999999</v>
      </c>
      <c r="X173" s="147">
        <v>1.1399999999999999</v>
      </c>
      <c r="Y173" s="147">
        <v>1.1100000000000001</v>
      </c>
      <c r="Z173" s="147">
        <v>1.1100000000000001</v>
      </c>
      <c r="AA173" s="147">
        <v>1.1100000000000001</v>
      </c>
      <c r="AB173" s="147">
        <v>1.1100000000000001</v>
      </c>
      <c r="AC173" s="147">
        <v>1.1100000000000001</v>
      </c>
      <c r="AD173" s="147">
        <v>1.08</v>
      </c>
      <c r="AE173" s="147">
        <v>1.08</v>
      </c>
      <c r="AF173" s="147">
        <v>1.08</v>
      </c>
      <c r="AG173" s="147">
        <v>1.08</v>
      </c>
      <c r="AH173" s="147">
        <v>1.08</v>
      </c>
      <c r="AI173" s="147">
        <v>1.05</v>
      </c>
      <c r="AJ173" s="147">
        <v>1.05</v>
      </c>
      <c r="AK173" s="147">
        <v>1.05</v>
      </c>
      <c r="AL173" s="147">
        <v>1.05</v>
      </c>
      <c r="AM173" s="147">
        <v>1.05</v>
      </c>
      <c r="AN173" s="147">
        <v>1.02</v>
      </c>
      <c r="AO173" s="147">
        <v>1.02</v>
      </c>
      <c r="AP173" s="147">
        <v>1.02</v>
      </c>
      <c r="AQ173" s="147">
        <v>1.02</v>
      </c>
      <c r="AR173" s="147">
        <v>1.02</v>
      </c>
      <c r="AS173" s="147">
        <v>0.98</v>
      </c>
      <c r="AT173" s="147">
        <v>0.98</v>
      </c>
      <c r="AU173" s="147">
        <v>0.98</v>
      </c>
      <c r="AV173" s="147">
        <v>0.98</v>
      </c>
      <c r="AW173" s="147">
        <v>0.98</v>
      </c>
      <c r="AX173" s="147">
        <v>0.94</v>
      </c>
      <c r="AY173" s="147">
        <v>0.94</v>
      </c>
      <c r="AZ173" s="147">
        <v>0.94</v>
      </c>
      <c r="BA173" s="147">
        <v>0.94</v>
      </c>
      <c r="BB173" s="147">
        <v>0.94</v>
      </c>
      <c r="BC173" s="147">
        <v>0.9</v>
      </c>
      <c r="BD173" s="147">
        <v>0.9</v>
      </c>
      <c r="BE173" s="147">
        <v>0.9</v>
      </c>
      <c r="BF173" s="147">
        <v>0.9</v>
      </c>
      <c r="BG173" s="147">
        <v>0.9</v>
      </c>
      <c r="BH173" s="147">
        <v>0.85</v>
      </c>
      <c r="BI173" s="147">
        <v>0.85</v>
      </c>
      <c r="BJ173" s="147">
        <v>0.85</v>
      </c>
      <c r="BK173" s="147">
        <v>0.85</v>
      </c>
      <c r="BL173" s="147">
        <v>0.85</v>
      </c>
      <c r="BM173" s="147">
        <v>0.8</v>
      </c>
      <c r="BN173" s="147">
        <v>0.8</v>
      </c>
      <c r="BO173" s="147">
        <v>0.8</v>
      </c>
      <c r="BP173" s="147">
        <v>0.8</v>
      </c>
      <c r="BQ173" s="147">
        <v>0.75</v>
      </c>
      <c r="BR173" s="147">
        <v>0.75</v>
      </c>
      <c r="BS173" s="147">
        <v>0.75</v>
      </c>
      <c r="BT173" s="147">
        <v>0.75</v>
      </c>
      <c r="BU173" s="147">
        <v>0.75</v>
      </c>
      <c r="BV173" s="147">
        <v>0.75</v>
      </c>
      <c r="BW173" s="147">
        <v>0.7</v>
      </c>
      <c r="BX173" s="147">
        <v>0.7</v>
      </c>
      <c r="BY173" s="147">
        <v>0.7</v>
      </c>
      <c r="BZ173" s="147">
        <v>0.7</v>
      </c>
      <c r="CA173" s="147">
        <v>0.64</v>
      </c>
    </row>
    <row r="174" spans="1:79">
      <c r="A174" s="144">
        <v>9</v>
      </c>
      <c r="B174" s="147">
        <v>1.1399999999999999</v>
      </c>
      <c r="C174" s="147">
        <v>1.1399999999999999</v>
      </c>
      <c r="D174" s="147">
        <v>1.1399999999999999</v>
      </c>
      <c r="E174" s="147">
        <v>1.1399999999999999</v>
      </c>
      <c r="F174" s="147">
        <v>1.1399999999999999</v>
      </c>
      <c r="G174" s="147">
        <v>1.1399999999999999</v>
      </c>
      <c r="H174" s="147">
        <v>1.1399999999999999</v>
      </c>
      <c r="I174" s="147">
        <v>1.1399999999999999</v>
      </c>
      <c r="J174" s="147">
        <v>1.1399999999999999</v>
      </c>
      <c r="K174" s="147">
        <v>1.1399999999999999</v>
      </c>
      <c r="L174" s="147">
        <v>1.1399999999999999</v>
      </c>
      <c r="M174" s="147">
        <v>1.1399999999999999</v>
      </c>
      <c r="N174" s="147">
        <v>1.1399999999999999</v>
      </c>
      <c r="O174" s="147">
        <v>1.1399999999999999</v>
      </c>
      <c r="P174" s="147">
        <v>1.1399999999999999</v>
      </c>
      <c r="Q174" s="147">
        <v>1.1399999999999999</v>
      </c>
      <c r="R174" s="147">
        <v>1.1399999999999999</v>
      </c>
      <c r="S174" s="147">
        <v>1.1399999999999999</v>
      </c>
      <c r="T174" s="147">
        <v>1.1399999999999999</v>
      </c>
      <c r="U174" s="147"/>
      <c r="V174" s="147">
        <v>1.1399999999999999</v>
      </c>
      <c r="W174" s="147">
        <v>1.1399999999999999</v>
      </c>
      <c r="X174" s="147">
        <v>1.1399999999999999</v>
      </c>
      <c r="Y174" s="147">
        <v>1.1100000000000001</v>
      </c>
      <c r="Z174" s="147">
        <v>1.1100000000000001</v>
      </c>
      <c r="AA174" s="147">
        <v>1.1100000000000001</v>
      </c>
      <c r="AB174" s="147">
        <v>1.1100000000000001</v>
      </c>
      <c r="AC174" s="147">
        <v>1.1100000000000001</v>
      </c>
      <c r="AD174" s="147">
        <v>1.08</v>
      </c>
      <c r="AE174" s="147">
        <v>1.08</v>
      </c>
      <c r="AF174" s="147">
        <v>1.08</v>
      </c>
      <c r="AG174" s="147">
        <v>1.08</v>
      </c>
      <c r="AH174" s="147">
        <v>1.08</v>
      </c>
      <c r="AI174" s="147">
        <v>1.05</v>
      </c>
      <c r="AJ174" s="147">
        <v>1.05</v>
      </c>
      <c r="AK174" s="147">
        <v>1.05</v>
      </c>
      <c r="AL174" s="147">
        <v>1.05</v>
      </c>
      <c r="AM174" s="147">
        <v>1.05</v>
      </c>
      <c r="AN174" s="147">
        <v>1.02</v>
      </c>
      <c r="AO174" s="147">
        <v>1.02</v>
      </c>
      <c r="AP174" s="147">
        <v>1.02</v>
      </c>
      <c r="AQ174" s="147">
        <v>1.02</v>
      </c>
      <c r="AR174" s="147">
        <v>1.02</v>
      </c>
      <c r="AS174" s="147">
        <v>0.98</v>
      </c>
      <c r="AT174" s="147">
        <v>0.98</v>
      </c>
      <c r="AU174" s="147">
        <v>0.98</v>
      </c>
      <c r="AV174" s="147">
        <v>0.98</v>
      </c>
      <c r="AW174" s="147">
        <v>0.98</v>
      </c>
      <c r="AX174" s="147">
        <v>0.94</v>
      </c>
      <c r="AY174" s="147">
        <v>0.94</v>
      </c>
      <c r="AZ174" s="147">
        <v>0.94</v>
      </c>
      <c r="BA174" s="147">
        <v>0.94</v>
      </c>
      <c r="BB174" s="147">
        <v>0.94</v>
      </c>
      <c r="BC174" s="147">
        <v>0.9</v>
      </c>
      <c r="BD174" s="147">
        <v>0.9</v>
      </c>
      <c r="BE174" s="147">
        <v>0.9</v>
      </c>
      <c r="BF174" s="147">
        <v>0.9</v>
      </c>
      <c r="BG174" s="147">
        <v>0.9</v>
      </c>
      <c r="BH174" s="147">
        <v>0.85</v>
      </c>
      <c r="BI174" s="147">
        <v>0.85</v>
      </c>
      <c r="BJ174" s="147">
        <v>0.85</v>
      </c>
      <c r="BK174" s="147">
        <v>0.85</v>
      </c>
      <c r="BL174" s="147">
        <v>0.85</v>
      </c>
      <c r="BM174" s="147">
        <v>0.8</v>
      </c>
      <c r="BN174" s="147">
        <v>0.8</v>
      </c>
      <c r="BO174" s="147">
        <v>0.8</v>
      </c>
      <c r="BP174" s="147">
        <v>0.8</v>
      </c>
      <c r="BQ174" s="147">
        <v>0.75</v>
      </c>
      <c r="BR174" s="147">
        <v>0.75</v>
      </c>
      <c r="BS174" s="147">
        <v>0.75</v>
      </c>
      <c r="BT174" s="147">
        <v>0.75</v>
      </c>
      <c r="BU174" s="147">
        <v>0.75</v>
      </c>
      <c r="BV174" s="147">
        <v>0.75</v>
      </c>
      <c r="BW174" s="147">
        <v>0.7</v>
      </c>
      <c r="BX174" s="147">
        <v>0.7</v>
      </c>
      <c r="BY174" s="147">
        <v>0.7</v>
      </c>
      <c r="BZ174" s="147">
        <v>0.7</v>
      </c>
      <c r="CA174" s="147">
        <v>0.64</v>
      </c>
    </row>
    <row r="175" spans="1:79">
      <c r="A175" s="144">
        <v>10</v>
      </c>
      <c r="B175" s="147">
        <v>1.1399999999999999</v>
      </c>
      <c r="C175" s="147">
        <v>1.1399999999999999</v>
      </c>
      <c r="D175" s="147">
        <v>1.1399999999999999</v>
      </c>
      <c r="E175" s="147">
        <v>1.1399999999999999</v>
      </c>
      <c r="F175" s="147">
        <v>1.1399999999999999</v>
      </c>
      <c r="G175" s="147">
        <v>1.1399999999999999</v>
      </c>
      <c r="H175" s="147">
        <v>1.1399999999999999</v>
      </c>
      <c r="I175" s="147">
        <v>1.1399999999999999</v>
      </c>
      <c r="J175" s="147">
        <v>1.1399999999999999</v>
      </c>
      <c r="K175" s="147">
        <v>1.1399999999999999</v>
      </c>
      <c r="L175" s="147">
        <v>1.1399999999999999</v>
      </c>
      <c r="M175" s="147">
        <v>1.1399999999999999</v>
      </c>
      <c r="N175" s="147">
        <v>1.1399999999999999</v>
      </c>
      <c r="O175" s="147">
        <v>1.1399999999999999</v>
      </c>
      <c r="P175" s="147">
        <v>1.1399999999999999</v>
      </c>
      <c r="Q175" s="147">
        <v>1.1399999999999999</v>
      </c>
      <c r="R175" s="147">
        <v>1.1399999999999999</v>
      </c>
      <c r="S175" s="147">
        <v>1.1399999999999999</v>
      </c>
      <c r="T175" s="147">
        <v>1.1399999999999999</v>
      </c>
      <c r="U175" s="147"/>
      <c r="V175" s="147">
        <v>1.1399999999999999</v>
      </c>
      <c r="W175" s="147">
        <v>1.1399999999999999</v>
      </c>
      <c r="X175" s="147">
        <v>1.1399999999999999</v>
      </c>
      <c r="Y175" s="147">
        <v>1.1100000000000001</v>
      </c>
      <c r="Z175" s="147">
        <v>1.1100000000000001</v>
      </c>
      <c r="AA175" s="147">
        <v>1.1100000000000001</v>
      </c>
      <c r="AB175" s="147">
        <v>1.1100000000000001</v>
      </c>
      <c r="AC175" s="147">
        <v>1.1100000000000001</v>
      </c>
      <c r="AD175" s="147">
        <v>1.08</v>
      </c>
      <c r="AE175" s="147">
        <v>1.08</v>
      </c>
      <c r="AF175" s="147">
        <v>1.08</v>
      </c>
      <c r="AG175" s="147">
        <v>1.08</v>
      </c>
      <c r="AH175" s="147">
        <v>1.08</v>
      </c>
      <c r="AI175" s="147">
        <v>1.05</v>
      </c>
      <c r="AJ175" s="147">
        <v>1.05</v>
      </c>
      <c r="AK175" s="147">
        <v>1.05</v>
      </c>
      <c r="AL175" s="147">
        <v>1.05</v>
      </c>
      <c r="AM175" s="147">
        <v>1.05</v>
      </c>
      <c r="AN175" s="147">
        <v>1.02</v>
      </c>
      <c r="AO175" s="147">
        <v>1.02</v>
      </c>
      <c r="AP175" s="147">
        <v>1.02</v>
      </c>
      <c r="AQ175" s="147">
        <v>1.02</v>
      </c>
      <c r="AR175" s="147">
        <v>1.02</v>
      </c>
      <c r="AS175" s="147">
        <v>0.98</v>
      </c>
      <c r="AT175" s="147">
        <v>0.98</v>
      </c>
      <c r="AU175" s="147">
        <v>0.98</v>
      </c>
      <c r="AV175" s="147">
        <v>0.98</v>
      </c>
      <c r="AW175" s="147">
        <v>0.98</v>
      </c>
      <c r="AX175" s="147">
        <v>0.94</v>
      </c>
      <c r="AY175" s="147">
        <v>0.94</v>
      </c>
      <c r="AZ175" s="147">
        <v>0.94</v>
      </c>
      <c r="BA175" s="147">
        <v>0.94</v>
      </c>
      <c r="BB175" s="147">
        <v>0.94</v>
      </c>
      <c r="BC175" s="147">
        <v>0.9</v>
      </c>
      <c r="BD175" s="147">
        <v>0.9</v>
      </c>
      <c r="BE175" s="147">
        <v>0.9</v>
      </c>
      <c r="BF175" s="147">
        <v>0.9</v>
      </c>
      <c r="BG175" s="147">
        <v>0.9</v>
      </c>
      <c r="BH175" s="147">
        <v>0.85</v>
      </c>
      <c r="BI175" s="147">
        <v>0.85</v>
      </c>
      <c r="BJ175" s="147">
        <v>0.85</v>
      </c>
      <c r="BK175" s="147">
        <v>0.85</v>
      </c>
      <c r="BL175" s="147">
        <v>0.85</v>
      </c>
      <c r="BM175" s="147">
        <v>0.8</v>
      </c>
      <c r="BN175" s="147">
        <v>0.8</v>
      </c>
      <c r="BO175" s="147">
        <v>0.8</v>
      </c>
      <c r="BP175" s="147">
        <v>0.8</v>
      </c>
      <c r="BQ175" s="147">
        <v>0.75</v>
      </c>
      <c r="BR175" s="147">
        <v>0.75</v>
      </c>
      <c r="BS175" s="147">
        <v>0.75</v>
      </c>
      <c r="BT175" s="147">
        <v>0.75</v>
      </c>
      <c r="BU175" s="147">
        <v>0.75</v>
      </c>
      <c r="BV175" s="147">
        <v>0.75</v>
      </c>
      <c r="BW175" s="147">
        <v>0.7</v>
      </c>
      <c r="BX175" s="147">
        <v>0.7</v>
      </c>
      <c r="BY175" s="147">
        <v>0.7</v>
      </c>
      <c r="BZ175" s="147">
        <v>0.7</v>
      </c>
      <c r="CA175" s="147">
        <v>0.64</v>
      </c>
    </row>
    <row r="176" spans="1:79">
      <c r="A176" s="144">
        <v>11</v>
      </c>
      <c r="B176" s="147">
        <v>1.1200000000000001</v>
      </c>
      <c r="C176" s="147">
        <v>1.1200000000000001</v>
      </c>
      <c r="D176" s="147">
        <v>1.1200000000000001</v>
      </c>
      <c r="E176" s="147">
        <v>1.1200000000000001</v>
      </c>
      <c r="F176" s="147">
        <v>1.1200000000000001</v>
      </c>
      <c r="G176" s="147">
        <v>1.1200000000000001</v>
      </c>
      <c r="H176" s="147">
        <v>1.1200000000000001</v>
      </c>
      <c r="I176" s="147">
        <v>1.1200000000000001</v>
      </c>
      <c r="J176" s="147">
        <v>1.1200000000000001</v>
      </c>
      <c r="K176" s="147">
        <v>1.1200000000000001</v>
      </c>
      <c r="L176" s="147">
        <v>1.1200000000000001</v>
      </c>
      <c r="M176" s="147">
        <v>1.1200000000000001</v>
      </c>
      <c r="N176" s="147">
        <v>1.1200000000000001</v>
      </c>
      <c r="O176" s="147">
        <v>1.1200000000000001</v>
      </c>
      <c r="P176" s="147">
        <v>1.1200000000000001</v>
      </c>
      <c r="Q176" s="147">
        <v>1.1200000000000001</v>
      </c>
      <c r="R176" s="147">
        <v>1.1200000000000001</v>
      </c>
      <c r="S176" s="147">
        <v>1.1200000000000001</v>
      </c>
      <c r="T176" s="147">
        <v>1.1200000000000001</v>
      </c>
      <c r="U176" s="147"/>
      <c r="V176" s="147">
        <v>1.1200000000000001</v>
      </c>
      <c r="W176" s="147">
        <v>1.1200000000000001</v>
      </c>
      <c r="X176" s="147">
        <v>1.1200000000000001</v>
      </c>
      <c r="Y176" s="147">
        <v>1.08</v>
      </c>
      <c r="Z176" s="147">
        <v>1.08</v>
      </c>
      <c r="AA176" s="147">
        <v>1.08</v>
      </c>
      <c r="AB176" s="147">
        <v>1.08</v>
      </c>
      <c r="AC176" s="147">
        <v>1.08</v>
      </c>
      <c r="AD176" s="147">
        <v>1.05</v>
      </c>
      <c r="AE176" s="147">
        <v>1.05</v>
      </c>
      <c r="AF176" s="147">
        <v>1.05</v>
      </c>
      <c r="AG176" s="147">
        <v>1.05</v>
      </c>
      <c r="AH176" s="147">
        <v>1.05</v>
      </c>
      <c r="AI176" s="147">
        <v>1.01</v>
      </c>
      <c r="AJ176" s="147">
        <v>1.01</v>
      </c>
      <c r="AK176" s="147">
        <v>1.01</v>
      </c>
      <c r="AL176" s="147">
        <v>1.01</v>
      </c>
      <c r="AM176" s="147">
        <v>1.01</v>
      </c>
      <c r="AN176" s="147">
        <v>0.97</v>
      </c>
      <c r="AO176" s="147">
        <v>0.97</v>
      </c>
      <c r="AP176" s="147">
        <v>0.97</v>
      </c>
      <c r="AQ176" s="147">
        <v>0.97</v>
      </c>
      <c r="AR176" s="147">
        <v>0.97</v>
      </c>
      <c r="AS176" s="147">
        <v>0.92</v>
      </c>
      <c r="AT176" s="147">
        <v>0.92</v>
      </c>
      <c r="AU176" s="147">
        <v>0.92</v>
      </c>
      <c r="AV176" s="147">
        <v>0.92</v>
      </c>
      <c r="AW176" s="147">
        <v>0.92</v>
      </c>
      <c r="AX176" s="147">
        <v>0.88</v>
      </c>
      <c r="AY176" s="147">
        <v>0.88</v>
      </c>
      <c r="AZ176" s="147">
        <v>0.88</v>
      </c>
      <c r="BA176" s="147">
        <v>0.88</v>
      </c>
      <c r="BB176" s="147">
        <v>0.88</v>
      </c>
      <c r="BC176" s="147">
        <v>0.83</v>
      </c>
      <c r="BD176" s="147">
        <v>0.83</v>
      </c>
      <c r="BE176" s="147">
        <v>0.83</v>
      </c>
      <c r="BF176" s="147">
        <v>0.83</v>
      </c>
      <c r="BG176" s="147">
        <v>0.83</v>
      </c>
      <c r="BH176" s="147">
        <v>0.78</v>
      </c>
      <c r="BI176" s="147">
        <v>0.78</v>
      </c>
      <c r="BJ176" s="147">
        <v>0.78</v>
      </c>
      <c r="BK176" s="147">
        <v>0.78</v>
      </c>
      <c r="BL176" s="147">
        <v>0.78</v>
      </c>
      <c r="BM176" s="147">
        <v>0.72</v>
      </c>
      <c r="BN176" s="147">
        <v>0.72</v>
      </c>
      <c r="BO176" s="147">
        <v>0.72</v>
      </c>
      <c r="BP176" s="147">
        <v>0.72</v>
      </c>
      <c r="BQ176" s="147">
        <v>0.67</v>
      </c>
      <c r="BR176" s="147">
        <v>0.67</v>
      </c>
      <c r="BS176" s="147">
        <v>0.67</v>
      </c>
      <c r="BT176" s="147">
        <v>0.67</v>
      </c>
      <c r="BU176" s="147">
        <v>0.67</v>
      </c>
      <c r="BV176" s="147">
        <v>0.67</v>
      </c>
      <c r="BW176" s="147">
        <v>0.61</v>
      </c>
      <c r="BX176" s="147">
        <v>0.61</v>
      </c>
      <c r="BY176" s="147">
        <v>0.61</v>
      </c>
      <c r="BZ176" s="147">
        <v>0.61</v>
      </c>
      <c r="CA176" s="147">
        <v>0.56000000000000005</v>
      </c>
    </row>
    <row r="177" spans="1:79">
      <c r="A177" s="144">
        <v>12</v>
      </c>
      <c r="B177" s="147">
        <v>1.1200000000000001</v>
      </c>
      <c r="C177" s="147">
        <v>1.1200000000000001</v>
      </c>
      <c r="D177" s="147">
        <v>1.1200000000000001</v>
      </c>
      <c r="E177" s="147">
        <v>1.1200000000000001</v>
      </c>
      <c r="F177" s="147">
        <v>1.1200000000000001</v>
      </c>
      <c r="G177" s="147">
        <v>1.1200000000000001</v>
      </c>
      <c r="H177" s="147">
        <v>1.1200000000000001</v>
      </c>
      <c r="I177" s="147">
        <v>1.1200000000000001</v>
      </c>
      <c r="J177" s="147">
        <v>1.1200000000000001</v>
      </c>
      <c r="K177" s="147">
        <v>1.1200000000000001</v>
      </c>
      <c r="L177" s="147">
        <v>1.1200000000000001</v>
      </c>
      <c r="M177" s="147">
        <v>1.1200000000000001</v>
      </c>
      <c r="N177" s="147">
        <v>1.1200000000000001</v>
      </c>
      <c r="O177" s="147">
        <v>1.1200000000000001</v>
      </c>
      <c r="P177" s="147">
        <v>1.1200000000000001</v>
      </c>
      <c r="Q177" s="147">
        <v>1.1200000000000001</v>
      </c>
      <c r="R177" s="147">
        <v>1.1200000000000001</v>
      </c>
      <c r="S177" s="147">
        <v>1.1200000000000001</v>
      </c>
      <c r="T177" s="147">
        <v>1.1200000000000001</v>
      </c>
      <c r="U177" s="147"/>
      <c r="V177" s="147">
        <v>1.1200000000000001</v>
      </c>
      <c r="W177" s="147">
        <v>1.1200000000000001</v>
      </c>
      <c r="X177" s="147">
        <v>1.1200000000000001</v>
      </c>
      <c r="Y177" s="147">
        <v>1.08</v>
      </c>
      <c r="Z177" s="147">
        <v>1.08</v>
      </c>
      <c r="AA177" s="147">
        <v>1.08</v>
      </c>
      <c r="AB177" s="147">
        <v>1.08</v>
      </c>
      <c r="AC177" s="147">
        <v>1.08</v>
      </c>
      <c r="AD177" s="147">
        <v>1.05</v>
      </c>
      <c r="AE177" s="147">
        <v>1.05</v>
      </c>
      <c r="AF177" s="147">
        <v>1.05</v>
      </c>
      <c r="AG177" s="147">
        <v>1.05</v>
      </c>
      <c r="AH177" s="147">
        <v>1.05</v>
      </c>
      <c r="AI177" s="147">
        <v>1.01</v>
      </c>
      <c r="AJ177" s="147">
        <v>1.01</v>
      </c>
      <c r="AK177" s="147">
        <v>1.01</v>
      </c>
      <c r="AL177" s="147">
        <v>1.01</v>
      </c>
      <c r="AM177" s="147">
        <v>1.01</v>
      </c>
      <c r="AN177" s="147">
        <v>0.97</v>
      </c>
      <c r="AO177" s="147">
        <v>0.97</v>
      </c>
      <c r="AP177" s="147">
        <v>0.97</v>
      </c>
      <c r="AQ177" s="147">
        <v>0.97</v>
      </c>
      <c r="AR177" s="147">
        <v>0.97</v>
      </c>
      <c r="AS177" s="147">
        <v>0.92</v>
      </c>
      <c r="AT177" s="147">
        <v>0.92</v>
      </c>
      <c r="AU177" s="147">
        <v>0.92</v>
      </c>
      <c r="AV177" s="147">
        <v>0.92</v>
      </c>
      <c r="AW177" s="147">
        <v>0.92</v>
      </c>
      <c r="AX177" s="147">
        <v>0.88</v>
      </c>
      <c r="AY177" s="147">
        <v>0.88</v>
      </c>
      <c r="AZ177" s="147">
        <v>0.88</v>
      </c>
      <c r="BA177" s="147">
        <v>0.88</v>
      </c>
      <c r="BB177" s="147">
        <v>0.88</v>
      </c>
      <c r="BC177" s="147">
        <v>0.83</v>
      </c>
      <c r="BD177" s="147">
        <v>0.83</v>
      </c>
      <c r="BE177" s="147">
        <v>0.83</v>
      </c>
      <c r="BF177" s="147">
        <v>0.83</v>
      </c>
      <c r="BG177" s="147">
        <v>0.83</v>
      </c>
      <c r="BH177" s="147">
        <v>0.78</v>
      </c>
      <c r="BI177" s="147">
        <v>0.78</v>
      </c>
      <c r="BJ177" s="147">
        <v>0.78</v>
      </c>
      <c r="BK177" s="147">
        <v>0.78</v>
      </c>
      <c r="BL177" s="147">
        <v>0.78</v>
      </c>
      <c r="BM177" s="147">
        <v>0.72</v>
      </c>
      <c r="BN177" s="147">
        <v>0.72</v>
      </c>
      <c r="BO177" s="147">
        <v>0.72</v>
      </c>
      <c r="BP177" s="147">
        <v>0.72</v>
      </c>
      <c r="BQ177" s="147">
        <v>0.67</v>
      </c>
      <c r="BR177" s="147">
        <v>0.67</v>
      </c>
      <c r="BS177" s="147">
        <v>0.67</v>
      </c>
      <c r="BT177" s="147">
        <v>0.67</v>
      </c>
      <c r="BU177" s="147">
        <v>0.67</v>
      </c>
      <c r="BV177" s="147">
        <v>0.67</v>
      </c>
      <c r="BW177" s="147">
        <v>0.61</v>
      </c>
      <c r="BX177" s="147">
        <v>0.61</v>
      </c>
      <c r="BY177" s="147">
        <v>0.61</v>
      </c>
      <c r="BZ177" s="147">
        <v>0.61</v>
      </c>
      <c r="CA177" s="147">
        <v>0.56000000000000005</v>
      </c>
    </row>
    <row r="178" spans="1:79">
      <c r="A178" s="144">
        <v>13</v>
      </c>
      <c r="B178" s="147">
        <v>1.1200000000000001</v>
      </c>
      <c r="C178" s="147">
        <v>1.1200000000000001</v>
      </c>
      <c r="D178" s="147">
        <v>1.1200000000000001</v>
      </c>
      <c r="E178" s="147">
        <v>1.1200000000000001</v>
      </c>
      <c r="F178" s="147">
        <v>1.1200000000000001</v>
      </c>
      <c r="G178" s="147">
        <v>1.1200000000000001</v>
      </c>
      <c r="H178" s="147">
        <v>1.1200000000000001</v>
      </c>
      <c r="I178" s="147">
        <v>1.1200000000000001</v>
      </c>
      <c r="J178" s="147">
        <v>1.1200000000000001</v>
      </c>
      <c r="K178" s="147">
        <v>1.1200000000000001</v>
      </c>
      <c r="L178" s="147">
        <v>1.1200000000000001</v>
      </c>
      <c r="M178" s="147">
        <v>1.1200000000000001</v>
      </c>
      <c r="N178" s="147">
        <v>1.1200000000000001</v>
      </c>
      <c r="O178" s="147">
        <v>1.1200000000000001</v>
      </c>
      <c r="P178" s="147">
        <v>1.1200000000000001</v>
      </c>
      <c r="Q178" s="147">
        <v>1.1200000000000001</v>
      </c>
      <c r="R178" s="147">
        <v>1.1200000000000001</v>
      </c>
      <c r="S178" s="147">
        <v>1.1200000000000001</v>
      </c>
      <c r="T178" s="147">
        <v>1.1200000000000001</v>
      </c>
      <c r="U178" s="147"/>
      <c r="V178" s="147">
        <v>1.1200000000000001</v>
      </c>
      <c r="W178" s="147">
        <v>1.1200000000000001</v>
      </c>
      <c r="X178" s="147">
        <v>1.1200000000000001</v>
      </c>
      <c r="Y178" s="147">
        <v>1.08</v>
      </c>
      <c r="Z178" s="147">
        <v>1.08</v>
      </c>
      <c r="AA178" s="147">
        <v>1.08</v>
      </c>
      <c r="AB178" s="147">
        <v>1.08</v>
      </c>
      <c r="AC178" s="147">
        <v>1.08</v>
      </c>
      <c r="AD178" s="147">
        <v>1.05</v>
      </c>
      <c r="AE178" s="147">
        <v>1.05</v>
      </c>
      <c r="AF178" s="147">
        <v>1.05</v>
      </c>
      <c r="AG178" s="147">
        <v>1.05</v>
      </c>
      <c r="AH178" s="147">
        <v>1.05</v>
      </c>
      <c r="AI178" s="147">
        <v>1.01</v>
      </c>
      <c r="AJ178" s="147">
        <v>1.01</v>
      </c>
      <c r="AK178" s="147">
        <v>1.01</v>
      </c>
      <c r="AL178" s="147">
        <v>1.01</v>
      </c>
      <c r="AM178" s="147">
        <v>1.01</v>
      </c>
      <c r="AN178" s="147">
        <v>0.97</v>
      </c>
      <c r="AO178" s="147">
        <v>0.97</v>
      </c>
      <c r="AP178" s="147">
        <v>0.97</v>
      </c>
      <c r="AQ178" s="147">
        <v>0.97</v>
      </c>
      <c r="AR178" s="147">
        <v>0.97</v>
      </c>
      <c r="AS178" s="147">
        <v>0.92</v>
      </c>
      <c r="AT178" s="147">
        <v>0.92</v>
      </c>
      <c r="AU178" s="147">
        <v>0.92</v>
      </c>
      <c r="AV178" s="147">
        <v>0.92</v>
      </c>
      <c r="AW178" s="147">
        <v>0.92</v>
      </c>
      <c r="AX178" s="147">
        <v>0.88</v>
      </c>
      <c r="AY178" s="147">
        <v>0.88</v>
      </c>
      <c r="AZ178" s="147">
        <v>0.88</v>
      </c>
      <c r="BA178" s="147">
        <v>0.88</v>
      </c>
      <c r="BB178" s="147">
        <v>0.88</v>
      </c>
      <c r="BC178" s="147">
        <v>0.83</v>
      </c>
      <c r="BD178" s="147">
        <v>0.83</v>
      </c>
      <c r="BE178" s="147">
        <v>0.83</v>
      </c>
      <c r="BF178" s="147">
        <v>0.83</v>
      </c>
      <c r="BG178" s="147">
        <v>0.83</v>
      </c>
      <c r="BH178" s="147">
        <v>0.78</v>
      </c>
      <c r="BI178" s="147">
        <v>0.78</v>
      </c>
      <c r="BJ178" s="147">
        <v>0.78</v>
      </c>
      <c r="BK178" s="147">
        <v>0.78</v>
      </c>
      <c r="BL178" s="147">
        <v>0.78</v>
      </c>
      <c r="BM178" s="147">
        <v>0.72</v>
      </c>
      <c r="BN178" s="147">
        <v>0.72</v>
      </c>
      <c r="BO178" s="147">
        <v>0.72</v>
      </c>
      <c r="BP178" s="147">
        <v>0.72</v>
      </c>
      <c r="BQ178" s="147">
        <v>0.67</v>
      </c>
      <c r="BR178" s="147">
        <v>0.67</v>
      </c>
      <c r="BS178" s="147">
        <v>0.67</v>
      </c>
      <c r="BT178" s="147">
        <v>0.67</v>
      </c>
      <c r="BU178" s="147">
        <v>0.67</v>
      </c>
      <c r="BV178" s="147">
        <v>0.67</v>
      </c>
      <c r="BW178" s="147">
        <v>0.61</v>
      </c>
      <c r="BX178" s="147">
        <v>0.61</v>
      </c>
      <c r="BY178" s="147">
        <v>0.61</v>
      </c>
      <c r="BZ178" s="147">
        <v>0.61</v>
      </c>
      <c r="CA178" s="147">
        <v>0.56000000000000005</v>
      </c>
    </row>
    <row r="179" spans="1:79">
      <c r="A179" s="144">
        <v>14</v>
      </c>
      <c r="B179" s="147">
        <v>1.1200000000000001</v>
      </c>
      <c r="C179" s="147">
        <v>1.1200000000000001</v>
      </c>
      <c r="D179" s="147">
        <v>1.1200000000000001</v>
      </c>
      <c r="E179" s="147">
        <v>1.1200000000000001</v>
      </c>
      <c r="F179" s="147">
        <v>1.1200000000000001</v>
      </c>
      <c r="G179" s="147">
        <v>1.1200000000000001</v>
      </c>
      <c r="H179" s="147">
        <v>1.1200000000000001</v>
      </c>
      <c r="I179" s="147">
        <v>1.1200000000000001</v>
      </c>
      <c r="J179" s="147">
        <v>1.1200000000000001</v>
      </c>
      <c r="K179" s="147">
        <v>1.1200000000000001</v>
      </c>
      <c r="L179" s="147">
        <v>1.1200000000000001</v>
      </c>
      <c r="M179" s="147">
        <v>1.1200000000000001</v>
      </c>
      <c r="N179" s="147">
        <v>1.1200000000000001</v>
      </c>
      <c r="O179" s="147">
        <v>1.1200000000000001</v>
      </c>
      <c r="P179" s="147">
        <v>1.1200000000000001</v>
      </c>
      <c r="Q179" s="147">
        <v>1.1200000000000001</v>
      </c>
      <c r="R179" s="147">
        <v>1.1200000000000001</v>
      </c>
      <c r="S179" s="147">
        <v>1.1200000000000001</v>
      </c>
      <c r="T179" s="147">
        <v>1.1200000000000001</v>
      </c>
      <c r="U179" s="147"/>
      <c r="V179" s="147">
        <v>1.1200000000000001</v>
      </c>
      <c r="W179" s="147">
        <v>1.1200000000000001</v>
      </c>
      <c r="X179" s="147">
        <v>1.1200000000000001</v>
      </c>
      <c r="Y179" s="147">
        <v>1.08</v>
      </c>
      <c r="Z179" s="147">
        <v>1.08</v>
      </c>
      <c r="AA179" s="147">
        <v>1.08</v>
      </c>
      <c r="AB179" s="147">
        <v>1.08</v>
      </c>
      <c r="AC179" s="147">
        <v>1.08</v>
      </c>
      <c r="AD179" s="147">
        <v>1.05</v>
      </c>
      <c r="AE179" s="147">
        <v>1.05</v>
      </c>
      <c r="AF179" s="147">
        <v>1.05</v>
      </c>
      <c r="AG179" s="147">
        <v>1.05</v>
      </c>
      <c r="AH179" s="147">
        <v>1.05</v>
      </c>
      <c r="AI179" s="147">
        <v>1.01</v>
      </c>
      <c r="AJ179" s="147">
        <v>1.01</v>
      </c>
      <c r="AK179" s="147">
        <v>1.01</v>
      </c>
      <c r="AL179" s="147">
        <v>1.01</v>
      </c>
      <c r="AM179" s="147">
        <v>1.01</v>
      </c>
      <c r="AN179" s="147">
        <v>0.97</v>
      </c>
      <c r="AO179" s="147">
        <v>0.97</v>
      </c>
      <c r="AP179" s="147">
        <v>0.97</v>
      </c>
      <c r="AQ179" s="147">
        <v>0.97</v>
      </c>
      <c r="AR179" s="147">
        <v>0.97</v>
      </c>
      <c r="AS179" s="147">
        <v>0.92</v>
      </c>
      <c r="AT179" s="147">
        <v>0.92</v>
      </c>
      <c r="AU179" s="147">
        <v>0.92</v>
      </c>
      <c r="AV179" s="147">
        <v>0.92</v>
      </c>
      <c r="AW179" s="147">
        <v>0.92</v>
      </c>
      <c r="AX179" s="147">
        <v>0.88</v>
      </c>
      <c r="AY179" s="147">
        <v>0.88</v>
      </c>
      <c r="AZ179" s="147">
        <v>0.88</v>
      </c>
      <c r="BA179" s="147">
        <v>0.88</v>
      </c>
      <c r="BB179" s="147">
        <v>0.88</v>
      </c>
      <c r="BC179" s="147">
        <v>0.83</v>
      </c>
      <c r="BD179" s="147">
        <v>0.83</v>
      </c>
      <c r="BE179" s="147">
        <v>0.83</v>
      </c>
      <c r="BF179" s="147">
        <v>0.83</v>
      </c>
      <c r="BG179" s="147">
        <v>0.83</v>
      </c>
      <c r="BH179" s="147">
        <v>0.78</v>
      </c>
      <c r="BI179" s="147">
        <v>0.78</v>
      </c>
      <c r="BJ179" s="147">
        <v>0.78</v>
      </c>
      <c r="BK179" s="147">
        <v>0.78</v>
      </c>
      <c r="BL179" s="147">
        <v>0.78</v>
      </c>
      <c r="BM179" s="147">
        <v>0.72</v>
      </c>
      <c r="BN179" s="147">
        <v>0.72</v>
      </c>
      <c r="BO179" s="147">
        <v>0.72</v>
      </c>
      <c r="BP179" s="147">
        <v>0.72</v>
      </c>
      <c r="BQ179" s="147">
        <v>0.67</v>
      </c>
      <c r="BR179" s="147">
        <v>0.67</v>
      </c>
      <c r="BS179" s="147">
        <v>0.67</v>
      </c>
      <c r="BT179" s="147">
        <v>0.67</v>
      </c>
      <c r="BU179" s="147">
        <v>0.67</v>
      </c>
      <c r="BV179" s="147">
        <v>0.67</v>
      </c>
      <c r="BW179" s="147">
        <v>0.61</v>
      </c>
      <c r="BX179" s="147">
        <v>0.61</v>
      </c>
      <c r="BY179" s="147">
        <v>0.61</v>
      </c>
      <c r="BZ179" s="147">
        <v>0.61</v>
      </c>
      <c r="CA179" s="147">
        <v>0.56000000000000005</v>
      </c>
    </row>
    <row r="180" spans="1:79">
      <c r="A180" s="144">
        <v>15</v>
      </c>
      <c r="B180" s="147">
        <v>1.1200000000000001</v>
      </c>
      <c r="C180" s="147">
        <v>1.1200000000000001</v>
      </c>
      <c r="D180" s="147">
        <v>1.1200000000000001</v>
      </c>
      <c r="E180" s="147">
        <v>1.1200000000000001</v>
      </c>
      <c r="F180" s="147">
        <v>1.1200000000000001</v>
      </c>
      <c r="G180" s="147">
        <v>1.1200000000000001</v>
      </c>
      <c r="H180" s="147">
        <v>1.1200000000000001</v>
      </c>
      <c r="I180" s="147">
        <v>1.1200000000000001</v>
      </c>
      <c r="J180" s="147">
        <v>1.1200000000000001</v>
      </c>
      <c r="K180" s="147">
        <v>1.1200000000000001</v>
      </c>
      <c r="L180" s="147">
        <v>1.1200000000000001</v>
      </c>
      <c r="M180" s="147">
        <v>1.1200000000000001</v>
      </c>
      <c r="N180" s="147">
        <v>1.1200000000000001</v>
      </c>
      <c r="O180" s="147">
        <v>1.1200000000000001</v>
      </c>
      <c r="P180" s="147">
        <v>1.1200000000000001</v>
      </c>
      <c r="Q180" s="147">
        <v>1.1200000000000001</v>
      </c>
      <c r="R180" s="147">
        <v>1.1200000000000001</v>
      </c>
      <c r="S180" s="147">
        <v>1.1200000000000001</v>
      </c>
      <c r="T180" s="147">
        <v>1.1200000000000001</v>
      </c>
      <c r="U180" s="147"/>
      <c r="V180" s="147">
        <v>1.1200000000000001</v>
      </c>
      <c r="W180" s="147">
        <v>1.1200000000000001</v>
      </c>
      <c r="X180" s="147">
        <v>1.1200000000000001</v>
      </c>
      <c r="Y180" s="147">
        <v>1.08</v>
      </c>
      <c r="Z180" s="147">
        <v>1.08</v>
      </c>
      <c r="AA180" s="147">
        <v>1.08</v>
      </c>
      <c r="AB180" s="147">
        <v>1.08</v>
      </c>
      <c r="AC180" s="147">
        <v>1.08</v>
      </c>
      <c r="AD180" s="147">
        <v>1.05</v>
      </c>
      <c r="AE180" s="147">
        <v>1.05</v>
      </c>
      <c r="AF180" s="147">
        <v>1.05</v>
      </c>
      <c r="AG180" s="147">
        <v>1.05</v>
      </c>
      <c r="AH180" s="147">
        <v>1.05</v>
      </c>
      <c r="AI180" s="147">
        <v>1.01</v>
      </c>
      <c r="AJ180" s="147">
        <v>1.01</v>
      </c>
      <c r="AK180" s="147">
        <v>1.01</v>
      </c>
      <c r="AL180" s="147">
        <v>1.01</v>
      </c>
      <c r="AM180" s="147">
        <v>1.01</v>
      </c>
      <c r="AN180" s="147">
        <v>0.97</v>
      </c>
      <c r="AO180" s="147">
        <v>0.97</v>
      </c>
      <c r="AP180" s="147">
        <v>0.97</v>
      </c>
      <c r="AQ180" s="147">
        <v>0.97</v>
      </c>
      <c r="AR180" s="147">
        <v>0.97</v>
      </c>
      <c r="AS180" s="147">
        <v>0.92</v>
      </c>
      <c r="AT180" s="147">
        <v>0.92</v>
      </c>
      <c r="AU180" s="147">
        <v>0.92</v>
      </c>
      <c r="AV180" s="147">
        <v>0.92</v>
      </c>
      <c r="AW180" s="147">
        <v>0.92</v>
      </c>
      <c r="AX180" s="147">
        <v>0.88</v>
      </c>
      <c r="AY180" s="147">
        <v>0.88</v>
      </c>
      <c r="AZ180" s="147">
        <v>0.88</v>
      </c>
      <c r="BA180" s="147">
        <v>0.88</v>
      </c>
      <c r="BB180" s="147">
        <v>0.88</v>
      </c>
      <c r="BC180" s="147">
        <v>0.83</v>
      </c>
      <c r="BD180" s="147">
        <v>0.83</v>
      </c>
      <c r="BE180" s="147">
        <v>0.83</v>
      </c>
      <c r="BF180" s="147">
        <v>0.83</v>
      </c>
      <c r="BG180" s="147">
        <v>0.83</v>
      </c>
      <c r="BH180" s="147">
        <v>0.78</v>
      </c>
      <c r="BI180" s="147">
        <v>0.78</v>
      </c>
      <c r="BJ180" s="147">
        <v>0.78</v>
      </c>
      <c r="BK180" s="147">
        <v>0.78</v>
      </c>
      <c r="BL180" s="147">
        <v>0.78</v>
      </c>
      <c r="BM180" s="147">
        <v>0.72</v>
      </c>
      <c r="BN180" s="147">
        <v>0.72</v>
      </c>
      <c r="BO180" s="147">
        <v>0.72</v>
      </c>
      <c r="BP180" s="147">
        <v>0.72</v>
      </c>
      <c r="BQ180" s="147">
        <v>0.67</v>
      </c>
      <c r="BR180" s="147">
        <v>0.67</v>
      </c>
      <c r="BS180" s="147">
        <v>0.67</v>
      </c>
      <c r="BT180" s="147">
        <v>0.67</v>
      </c>
      <c r="BU180" s="147">
        <v>0.67</v>
      </c>
      <c r="BV180" s="147">
        <v>0.67</v>
      </c>
      <c r="BW180" s="147">
        <v>0.61</v>
      </c>
      <c r="BX180" s="147">
        <v>0.61</v>
      </c>
      <c r="BY180" s="147">
        <v>0.61</v>
      </c>
      <c r="BZ180" s="147">
        <v>0.61</v>
      </c>
      <c r="CA180" s="147">
        <v>0.56000000000000005</v>
      </c>
    </row>
    <row r="181" spans="1:79">
      <c r="A181" s="144">
        <v>16</v>
      </c>
      <c r="B181" s="147">
        <v>1.1200000000000001</v>
      </c>
      <c r="C181" s="147">
        <v>1.1200000000000001</v>
      </c>
      <c r="D181" s="147">
        <v>1.1200000000000001</v>
      </c>
      <c r="E181" s="147">
        <v>1.1200000000000001</v>
      </c>
      <c r="F181" s="147">
        <v>1.1200000000000001</v>
      </c>
      <c r="G181" s="147">
        <v>1.1200000000000001</v>
      </c>
      <c r="H181" s="147">
        <v>1.1200000000000001</v>
      </c>
      <c r="I181" s="147">
        <v>1.1200000000000001</v>
      </c>
      <c r="J181" s="147">
        <v>1.1200000000000001</v>
      </c>
      <c r="K181" s="147">
        <v>1.1200000000000001</v>
      </c>
      <c r="L181" s="147">
        <v>1.1200000000000001</v>
      </c>
      <c r="M181" s="147">
        <v>1.1200000000000001</v>
      </c>
      <c r="N181" s="147">
        <v>1.1200000000000001</v>
      </c>
      <c r="O181" s="147">
        <v>1.1200000000000001</v>
      </c>
      <c r="P181" s="147">
        <v>1.1200000000000001</v>
      </c>
      <c r="Q181" s="147">
        <v>1.1200000000000001</v>
      </c>
      <c r="R181" s="147">
        <v>1.1200000000000001</v>
      </c>
      <c r="S181" s="147">
        <v>1.1200000000000001</v>
      </c>
      <c r="T181" s="147">
        <v>1.1200000000000001</v>
      </c>
      <c r="U181" s="147"/>
      <c r="V181" s="147">
        <v>1.1200000000000001</v>
      </c>
      <c r="W181" s="147">
        <v>1.1200000000000001</v>
      </c>
      <c r="X181" s="147">
        <v>1.1200000000000001</v>
      </c>
      <c r="Y181" s="147">
        <v>1.08</v>
      </c>
      <c r="Z181" s="147">
        <v>1.08</v>
      </c>
      <c r="AA181" s="147">
        <v>1.08</v>
      </c>
      <c r="AB181" s="147">
        <v>1.08</v>
      </c>
      <c r="AC181" s="147">
        <v>1.08</v>
      </c>
      <c r="AD181" s="147">
        <v>1.05</v>
      </c>
      <c r="AE181" s="147">
        <v>1.05</v>
      </c>
      <c r="AF181" s="147">
        <v>1.05</v>
      </c>
      <c r="AG181" s="147">
        <v>1.05</v>
      </c>
      <c r="AH181" s="147">
        <v>1.05</v>
      </c>
      <c r="AI181" s="147">
        <v>1.01</v>
      </c>
      <c r="AJ181" s="147">
        <v>1.01</v>
      </c>
      <c r="AK181" s="147">
        <v>1.01</v>
      </c>
      <c r="AL181" s="147">
        <v>1.01</v>
      </c>
      <c r="AM181" s="147">
        <v>1.01</v>
      </c>
      <c r="AN181" s="147">
        <v>0.97</v>
      </c>
      <c r="AO181" s="147">
        <v>0.97</v>
      </c>
      <c r="AP181" s="147">
        <v>0.97</v>
      </c>
      <c r="AQ181" s="147">
        <v>0.97</v>
      </c>
      <c r="AR181" s="147">
        <v>0.97</v>
      </c>
      <c r="AS181" s="147">
        <v>0.92</v>
      </c>
      <c r="AT181" s="147">
        <v>0.92</v>
      </c>
      <c r="AU181" s="147">
        <v>0.92</v>
      </c>
      <c r="AV181" s="147">
        <v>0.92</v>
      </c>
      <c r="AW181" s="147">
        <v>0.92</v>
      </c>
      <c r="AX181" s="147">
        <v>0.88</v>
      </c>
      <c r="AY181" s="147">
        <v>0.88</v>
      </c>
      <c r="AZ181" s="147">
        <v>0.88</v>
      </c>
      <c r="BA181" s="147">
        <v>0.88</v>
      </c>
      <c r="BB181" s="147">
        <v>0.88</v>
      </c>
      <c r="BC181" s="147">
        <v>0.83</v>
      </c>
      <c r="BD181" s="147">
        <v>0.83</v>
      </c>
      <c r="BE181" s="147">
        <v>0.83</v>
      </c>
      <c r="BF181" s="147">
        <v>0.83</v>
      </c>
      <c r="BG181" s="147">
        <v>0.83</v>
      </c>
      <c r="BH181" s="147">
        <v>0.78</v>
      </c>
      <c r="BI181" s="147">
        <v>0.78</v>
      </c>
      <c r="BJ181" s="147">
        <v>0.78</v>
      </c>
      <c r="BK181" s="147">
        <v>0.78</v>
      </c>
      <c r="BL181" s="147">
        <v>0.78</v>
      </c>
      <c r="BM181" s="147">
        <v>0.72</v>
      </c>
      <c r="BN181" s="147">
        <v>0.72</v>
      </c>
      <c r="BO181" s="147">
        <v>0.72</v>
      </c>
      <c r="BP181" s="147">
        <v>0.72</v>
      </c>
      <c r="BQ181" s="147">
        <v>0.67</v>
      </c>
      <c r="BR181" s="147">
        <v>0.67</v>
      </c>
      <c r="BS181" s="147">
        <v>0.67</v>
      </c>
      <c r="BT181" s="147">
        <v>0.67</v>
      </c>
      <c r="BU181" s="147">
        <v>0.67</v>
      </c>
      <c r="BV181" s="147">
        <v>0.67</v>
      </c>
      <c r="BW181" s="147">
        <v>0.61</v>
      </c>
      <c r="BX181" s="147">
        <v>0.61</v>
      </c>
      <c r="BY181" s="147">
        <v>0.61</v>
      </c>
      <c r="BZ181" s="147">
        <v>0.61</v>
      </c>
      <c r="CA181" s="147">
        <v>0.56000000000000005</v>
      </c>
    </row>
    <row r="182" spans="1:79">
      <c r="A182" s="144">
        <v>17</v>
      </c>
      <c r="B182" s="147">
        <v>1.1200000000000001</v>
      </c>
      <c r="C182" s="147">
        <v>1.1200000000000001</v>
      </c>
      <c r="D182" s="147">
        <v>1.1200000000000001</v>
      </c>
      <c r="E182" s="147">
        <v>1.1200000000000001</v>
      </c>
      <c r="F182" s="147">
        <v>1.1200000000000001</v>
      </c>
      <c r="G182" s="147">
        <v>1.1200000000000001</v>
      </c>
      <c r="H182" s="147">
        <v>1.1200000000000001</v>
      </c>
      <c r="I182" s="147">
        <v>1.1200000000000001</v>
      </c>
      <c r="J182" s="147">
        <v>1.1200000000000001</v>
      </c>
      <c r="K182" s="147">
        <v>1.1200000000000001</v>
      </c>
      <c r="L182" s="147">
        <v>1.1200000000000001</v>
      </c>
      <c r="M182" s="147">
        <v>1.1200000000000001</v>
      </c>
      <c r="N182" s="147">
        <v>1.1200000000000001</v>
      </c>
      <c r="O182" s="147">
        <v>1.1200000000000001</v>
      </c>
      <c r="P182" s="147">
        <v>1.1200000000000001</v>
      </c>
      <c r="Q182" s="147">
        <v>1.1200000000000001</v>
      </c>
      <c r="R182" s="147">
        <v>1.1200000000000001</v>
      </c>
      <c r="S182" s="147">
        <v>1.1200000000000001</v>
      </c>
      <c r="T182" s="147">
        <v>1.1200000000000001</v>
      </c>
      <c r="U182" s="147"/>
      <c r="V182" s="147">
        <v>1.1200000000000001</v>
      </c>
      <c r="W182" s="147">
        <v>1.1200000000000001</v>
      </c>
      <c r="X182" s="147">
        <v>1.1200000000000001</v>
      </c>
      <c r="Y182" s="147">
        <v>1.08</v>
      </c>
      <c r="Z182" s="147">
        <v>1.08</v>
      </c>
      <c r="AA182" s="147">
        <v>1.08</v>
      </c>
      <c r="AB182" s="147">
        <v>1.08</v>
      </c>
      <c r="AC182" s="147">
        <v>1.08</v>
      </c>
      <c r="AD182" s="147">
        <v>1.05</v>
      </c>
      <c r="AE182" s="147">
        <v>1.05</v>
      </c>
      <c r="AF182" s="147">
        <v>1.05</v>
      </c>
      <c r="AG182" s="147">
        <v>1.05</v>
      </c>
      <c r="AH182" s="147">
        <v>1.05</v>
      </c>
      <c r="AI182" s="147">
        <v>1.01</v>
      </c>
      <c r="AJ182" s="147">
        <v>1.01</v>
      </c>
      <c r="AK182" s="147">
        <v>1.01</v>
      </c>
      <c r="AL182" s="147">
        <v>1.01</v>
      </c>
      <c r="AM182" s="147">
        <v>1.01</v>
      </c>
      <c r="AN182" s="147">
        <v>0.97</v>
      </c>
      <c r="AO182" s="147">
        <v>0.97</v>
      </c>
      <c r="AP182" s="147">
        <v>0.97</v>
      </c>
      <c r="AQ182" s="147">
        <v>0.97</v>
      </c>
      <c r="AR182" s="147">
        <v>0.97</v>
      </c>
      <c r="AS182" s="147">
        <v>0.92</v>
      </c>
      <c r="AT182" s="147">
        <v>0.92</v>
      </c>
      <c r="AU182" s="147">
        <v>0.92</v>
      </c>
      <c r="AV182" s="147">
        <v>0.92</v>
      </c>
      <c r="AW182" s="147">
        <v>0.92</v>
      </c>
      <c r="AX182" s="147">
        <v>0.88</v>
      </c>
      <c r="AY182" s="147">
        <v>0.88</v>
      </c>
      <c r="AZ182" s="147">
        <v>0.88</v>
      </c>
      <c r="BA182" s="147">
        <v>0.88</v>
      </c>
      <c r="BB182" s="147">
        <v>0.88</v>
      </c>
      <c r="BC182" s="147">
        <v>0.83</v>
      </c>
      <c r="BD182" s="147">
        <v>0.83</v>
      </c>
      <c r="BE182" s="147">
        <v>0.83</v>
      </c>
      <c r="BF182" s="147">
        <v>0.83</v>
      </c>
      <c r="BG182" s="147">
        <v>0.83</v>
      </c>
      <c r="BH182" s="147">
        <v>0.78</v>
      </c>
      <c r="BI182" s="147">
        <v>0.78</v>
      </c>
      <c r="BJ182" s="147">
        <v>0.78</v>
      </c>
      <c r="BK182" s="147">
        <v>0.78</v>
      </c>
      <c r="BL182" s="147">
        <v>0.78</v>
      </c>
      <c r="BM182" s="147">
        <v>0.72</v>
      </c>
      <c r="BN182" s="147">
        <v>0.72</v>
      </c>
      <c r="BO182" s="147">
        <v>0.72</v>
      </c>
      <c r="BP182" s="147">
        <v>0.72</v>
      </c>
      <c r="BQ182" s="147">
        <v>0.67</v>
      </c>
      <c r="BR182" s="147">
        <v>0.67</v>
      </c>
      <c r="BS182" s="147">
        <v>0.67</v>
      </c>
      <c r="BT182" s="147">
        <v>0.67</v>
      </c>
      <c r="BU182" s="147">
        <v>0.67</v>
      </c>
      <c r="BV182" s="147">
        <v>0.67</v>
      </c>
      <c r="BW182" s="147">
        <v>0.61</v>
      </c>
      <c r="BX182" s="147">
        <v>0.61</v>
      </c>
      <c r="BY182" s="147">
        <v>0.61</v>
      </c>
      <c r="BZ182" s="147">
        <v>0.61</v>
      </c>
      <c r="CA182" s="147">
        <v>0.56000000000000005</v>
      </c>
    </row>
    <row r="183" spans="1:79">
      <c r="A183" s="144">
        <v>18</v>
      </c>
      <c r="B183" s="147">
        <v>1.1200000000000001</v>
      </c>
      <c r="C183" s="147">
        <v>1.1200000000000001</v>
      </c>
      <c r="D183" s="147">
        <v>1.1200000000000001</v>
      </c>
      <c r="E183" s="147">
        <v>1.1200000000000001</v>
      </c>
      <c r="F183" s="147">
        <v>1.1200000000000001</v>
      </c>
      <c r="G183" s="147">
        <v>1.1200000000000001</v>
      </c>
      <c r="H183" s="147">
        <v>1.1200000000000001</v>
      </c>
      <c r="I183" s="147">
        <v>1.1200000000000001</v>
      </c>
      <c r="J183" s="147">
        <v>1.1200000000000001</v>
      </c>
      <c r="K183" s="147">
        <v>1.1200000000000001</v>
      </c>
      <c r="L183" s="147">
        <v>1.1200000000000001</v>
      </c>
      <c r="M183" s="147">
        <v>1.1200000000000001</v>
      </c>
      <c r="N183" s="147">
        <v>1.1200000000000001</v>
      </c>
      <c r="O183" s="147">
        <v>1.1200000000000001</v>
      </c>
      <c r="P183" s="147">
        <v>1.1200000000000001</v>
      </c>
      <c r="Q183" s="147">
        <v>1.1200000000000001</v>
      </c>
      <c r="R183" s="147">
        <v>1.1200000000000001</v>
      </c>
      <c r="S183" s="147">
        <v>1.1200000000000001</v>
      </c>
      <c r="T183" s="147">
        <v>1.1200000000000001</v>
      </c>
      <c r="U183" s="147"/>
      <c r="V183" s="147">
        <v>1.1200000000000001</v>
      </c>
      <c r="W183" s="147">
        <v>1.1200000000000001</v>
      </c>
      <c r="X183" s="147">
        <v>1.1200000000000001</v>
      </c>
      <c r="Y183" s="147">
        <v>1.08</v>
      </c>
      <c r="Z183" s="147">
        <v>1.08</v>
      </c>
      <c r="AA183" s="147">
        <v>1.08</v>
      </c>
      <c r="AB183" s="147">
        <v>1.08</v>
      </c>
      <c r="AC183" s="147">
        <v>1.08</v>
      </c>
      <c r="AD183" s="147">
        <v>1.05</v>
      </c>
      <c r="AE183" s="147">
        <v>1.05</v>
      </c>
      <c r="AF183" s="147">
        <v>1.05</v>
      </c>
      <c r="AG183" s="147">
        <v>1.05</v>
      </c>
      <c r="AH183" s="147">
        <v>1.05</v>
      </c>
      <c r="AI183" s="147">
        <v>1.01</v>
      </c>
      <c r="AJ183" s="147">
        <v>1.01</v>
      </c>
      <c r="AK183" s="147">
        <v>1.01</v>
      </c>
      <c r="AL183" s="147">
        <v>1.01</v>
      </c>
      <c r="AM183" s="147">
        <v>1.01</v>
      </c>
      <c r="AN183" s="147">
        <v>0.97</v>
      </c>
      <c r="AO183" s="147">
        <v>0.97</v>
      </c>
      <c r="AP183" s="147">
        <v>0.97</v>
      </c>
      <c r="AQ183" s="147">
        <v>0.97</v>
      </c>
      <c r="AR183" s="147">
        <v>0.97</v>
      </c>
      <c r="AS183" s="147">
        <v>0.92</v>
      </c>
      <c r="AT183" s="147">
        <v>0.92</v>
      </c>
      <c r="AU183" s="147">
        <v>0.92</v>
      </c>
      <c r="AV183" s="147">
        <v>0.92</v>
      </c>
      <c r="AW183" s="147">
        <v>0.92</v>
      </c>
      <c r="AX183" s="147">
        <v>0.88</v>
      </c>
      <c r="AY183" s="147">
        <v>0.88</v>
      </c>
      <c r="AZ183" s="147">
        <v>0.88</v>
      </c>
      <c r="BA183" s="147">
        <v>0.88</v>
      </c>
      <c r="BB183" s="147">
        <v>0.88</v>
      </c>
      <c r="BC183" s="147">
        <v>0.83</v>
      </c>
      <c r="BD183" s="147">
        <v>0.83</v>
      </c>
      <c r="BE183" s="147">
        <v>0.83</v>
      </c>
      <c r="BF183" s="147">
        <v>0.83</v>
      </c>
      <c r="BG183" s="147">
        <v>0.83</v>
      </c>
      <c r="BH183" s="147">
        <v>0.78</v>
      </c>
      <c r="BI183" s="147">
        <v>0.78</v>
      </c>
      <c r="BJ183" s="147">
        <v>0.78</v>
      </c>
      <c r="BK183" s="147">
        <v>0.78</v>
      </c>
      <c r="BL183" s="147">
        <v>0.78</v>
      </c>
      <c r="BM183" s="147">
        <v>0.72</v>
      </c>
      <c r="BN183" s="147">
        <v>0.72</v>
      </c>
      <c r="BO183" s="147">
        <v>0.72</v>
      </c>
      <c r="BP183" s="147">
        <v>0.72</v>
      </c>
      <c r="BQ183" s="147">
        <v>0.67</v>
      </c>
      <c r="BR183" s="147">
        <v>0.67</v>
      </c>
      <c r="BS183" s="147">
        <v>0.67</v>
      </c>
      <c r="BT183" s="147">
        <v>0.67</v>
      </c>
      <c r="BU183" s="147">
        <v>0.67</v>
      </c>
      <c r="BV183" s="147">
        <v>0.67</v>
      </c>
      <c r="BW183" s="147">
        <v>0.61</v>
      </c>
      <c r="BX183" s="147">
        <v>0.61</v>
      </c>
      <c r="BY183" s="147">
        <v>0.61</v>
      </c>
      <c r="BZ183" s="147">
        <v>0.61</v>
      </c>
      <c r="CA183" s="147">
        <v>0.56000000000000005</v>
      </c>
    </row>
    <row r="184" spans="1:79">
      <c r="A184" s="144">
        <v>19</v>
      </c>
      <c r="B184" s="147">
        <v>1.1200000000000001</v>
      </c>
      <c r="C184" s="147">
        <v>1.1200000000000001</v>
      </c>
      <c r="D184" s="147">
        <v>1.1200000000000001</v>
      </c>
      <c r="E184" s="147">
        <v>1.1200000000000001</v>
      </c>
      <c r="F184" s="147">
        <v>1.1200000000000001</v>
      </c>
      <c r="G184" s="147">
        <v>1.1200000000000001</v>
      </c>
      <c r="H184" s="147">
        <v>1.1200000000000001</v>
      </c>
      <c r="I184" s="147">
        <v>1.1200000000000001</v>
      </c>
      <c r="J184" s="147">
        <v>1.1200000000000001</v>
      </c>
      <c r="K184" s="147">
        <v>1.1200000000000001</v>
      </c>
      <c r="L184" s="147">
        <v>1.1200000000000001</v>
      </c>
      <c r="M184" s="147">
        <v>1.1200000000000001</v>
      </c>
      <c r="N184" s="147">
        <v>1.1200000000000001</v>
      </c>
      <c r="O184" s="147">
        <v>1.1200000000000001</v>
      </c>
      <c r="P184" s="147">
        <v>1.1200000000000001</v>
      </c>
      <c r="Q184" s="147">
        <v>1.1200000000000001</v>
      </c>
      <c r="R184" s="147">
        <v>1.1200000000000001</v>
      </c>
      <c r="S184" s="147">
        <v>1.1200000000000001</v>
      </c>
      <c r="T184" s="147">
        <v>1.1200000000000001</v>
      </c>
      <c r="U184" s="147"/>
      <c r="V184" s="147">
        <v>1.1200000000000001</v>
      </c>
      <c r="W184" s="147">
        <v>1.1200000000000001</v>
      </c>
      <c r="X184" s="147">
        <v>1.1200000000000001</v>
      </c>
      <c r="Y184" s="147">
        <v>1.08</v>
      </c>
      <c r="Z184" s="147">
        <v>1.08</v>
      </c>
      <c r="AA184" s="147">
        <v>1.08</v>
      </c>
      <c r="AB184" s="147">
        <v>1.08</v>
      </c>
      <c r="AC184" s="147">
        <v>1.08</v>
      </c>
      <c r="AD184" s="147">
        <v>1.05</v>
      </c>
      <c r="AE184" s="147">
        <v>1.05</v>
      </c>
      <c r="AF184" s="147">
        <v>1.05</v>
      </c>
      <c r="AG184" s="147">
        <v>1.05</v>
      </c>
      <c r="AH184" s="147">
        <v>1.05</v>
      </c>
      <c r="AI184" s="147">
        <v>1.01</v>
      </c>
      <c r="AJ184" s="147">
        <v>1.01</v>
      </c>
      <c r="AK184" s="147">
        <v>1.01</v>
      </c>
      <c r="AL184" s="147">
        <v>1.01</v>
      </c>
      <c r="AM184" s="147">
        <v>1.01</v>
      </c>
      <c r="AN184" s="147">
        <v>0.97</v>
      </c>
      <c r="AO184" s="147">
        <v>0.97</v>
      </c>
      <c r="AP184" s="147">
        <v>0.97</v>
      </c>
      <c r="AQ184" s="147">
        <v>0.97</v>
      </c>
      <c r="AR184" s="147">
        <v>0.97</v>
      </c>
      <c r="AS184" s="147">
        <v>0.92</v>
      </c>
      <c r="AT184" s="147">
        <v>0.92</v>
      </c>
      <c r="AU184" s="147">
        <v>0.92</v>
      </c>
      <c r="AV184" s="147">
        <v>0.92</v>
      </c>
      <c r="AW184" s="147">
        <v>0.92</v>
      </c>
      <c r="AX184" s="147">
        <v>0.88</v>
      </c>
      <c r="AY184" s="147">
        <v>0.88</v>
      </c>
      <c r="AZ184" s="147">
        <v>0.88</v>
      </c>
      <c r="BA184" s="147">
        <v>0.88</v>
      </c>
      <c r="BB184" s="147">
        <v>0.88</v>
      </c>
      <c r="BC184" s="147">
        <v>0.83</v>
      </c>
      <c r="BD184" s="147">
        <v>0.83</v>
      </c>
      <c r="BE184" s="147">
        <v>0.83</v>
      </c>
      <c r="BF184" s="147">
        <v>0.83</v>
      </c>
      <c r="BG184" s="147">
        <v>0.83</v>
      </c>
      <c r="BH184" s="147">
        <v>0.78</v>
      </c>
      <c r="BI184" s="147">
        <v>0.78</v>
      </c>
      <c r="BJ184" s="147">
        <v>0.78</v>
      </c>
      <c r="BK184" s="147">
        <v>0.78</v>
      </c>
      <c r="BL184" s="147">
        <v>0.78</v>
      </c>
      <c r="BM184" s="147">
        <v>0.72</v>
      </c>
      <c r="BN184" s="147">
        <v>0.72</v>
      </c>
      <c r="BO184" s="147">
        <v>0.72</v>
      </c>
      <c r="BP184" s="147">
        <v>0.72</v>
      </c>
      <c r="BQ184" s="147">
        <v>0.67</v>
      </c>
      <c r="BR184" s="147">
        <v>0.67</v>
      </c>
      <c r="BS184" s="147">
        <v>0.67</v>
      </c>
      <c r="BT184" s="147">
        <v>0.67</v>
      </c>
      <c r="BU184" s="147">
        <v>0.67</v>
      </c>
      <c r="BV184" s="147">
        <v>0.67</v>
      </c>
      <c r="BW184" s="147">
        <v>0.61</v>
      </c>
      <c r="BX184" s="147">
        <v>0.61</v>
      </c>
      <c r="BY184" s="147">
        <v>0.61</v>
      </c>
      <c r="BZ184" s="147">
        <v>0.61</v>
      </c>
      <c r="CA184" s="147">
        <v>0.56000000000000005</v>
      </c>
    </row>
    <row r="185" spans="1:79">
      <c r="A185" s="144">
        <v>20</v>
      </c>
      <c r="B185" s="147">
        <v>1.1200000000000001</v>
      </c>
      <c r="C185" s="147">
        <v>1.1200000000000001</v>
      </c>
      <c r="D185" s="147">
        <v>1.1200000000000001</v>
      </c>
      <c r="E185" s="147">
        <v>1.1200000000000001</v>
      </c>
      <c r="F185" s="147">
        <v>1.1200000000000001</v>
      </c>
      <c r="G185" s="147">
        <v>1.1200000000000001</v>
      </c>
      <c r="H185" s="147">
        <v>1.1200000000000001</v>
      </c>
      <c r="I185" s="147">
        <v>1.1200000000000001</v>
      </c>
      <c r="J185" s="147">
        <v>1.1200000000000001</v>
      </c>
      <c r="K185" s="147">
        <v>1.1200000000000001</v>
      </c>
      <c r="L185" s="147">
        <v>1.1200000000000001</v>
      </c>
      <c r="M185" s="147">
        <v>1.1200000000000001</v>
      </c>
      <c r="N185" s="147">
        <v>1.1200000000000001</v>
      </c>
      <c r="O185" s="147">
        <v>1.1200000000000001</v>
      </c>
      <c r="P185" s="147">
        <v>1.1200000000000001</v>
      </c>
      <c r="Q185" s="147">
        <v>1.1200000000000001</v>
      </c>
      <c r="R185" s="147">
        <v>1.1200000000000001</v>
      </c>
      <c r="S185" s="147">
        <v>1.1200000000000001</v>
      </c>
      <c r="T185" s="147">
        <v>1.1200000000000001</v>
      </c>
      <c r="U185" s="147"/>
      <c r="V185" s="147">
        <v>1.1200000000000001</v>
      </c>
      <c r="W185" s="147">
        <v>1.1200000000000001</v>
      </c>
      <c r="X185" s="147">
        <v>1.1200000000000001</v>
      </c>
      <c r="Y185" s="147">
        <v>1.08</v>
      </c>
      <c r="Z185" s="147">
        <v>1.08</v>
      </c>
      <c r="AA185" s="147">
        <v>1.08</v>
      </c>
      <c r="AB185" s="147">
        <v>1.08</v>
      </c>
      <c r="AC185" s="147">
        <v>1.08</v>
      </c>
      <c r="AD185" s="147">
        <v>1.05</v>
      </c>
      <c r="AE185" s="147">
        <v>1.05</v>
      </c>
      <c r="AF185" s="147">
        <v>1.05</v>
      </c>
      <c r="AG185" s="147">
        <v>1.05</v>
      </c>
      <c r="AH185" s="147">
        <v>1.05</v>
      </c>
      <c r="AI185" s="147">
        <v>1.01</v>
      </c>
      <c r="AJ185" s="147">
        <v>1.01</v>
      </c>
      <c r="AK185" s="147">
        <v>1.01</v>
      </c>
      <c r="AL185" s="147">
        <v>1.01</v>
      </c>
      <c r="AM185" s="147">
        <v>1.01</v>
      </c>
      <c r="AN185" s="147">
        <v>0.97</v>
      </c>
      <c r="AO185" s="147">
        <v>0.97</v>
      </c>
      <c r="AP185" s="147">
        <v>0.97</v>
      </c>
      <c r="AQ185" s="147">
        <v>0.97</v>
      </c>
      <c r="AR185" s="147">
        <v>0.97</v>
      </c>
      <c r="AS185" s="147">
        <v>0.92</v>
      </c>
      <c r="AT185" s="147">
        <v>0.92</v>
      </c>
      <c r="AU185" s="147">
        <v>0.92</v>
      </c>
      <c r="AV185" s="147">
        <v>0.92</v>
      </c>
      <c r="AW185" s="147">
        <v>0.92</v>
      </c>
      <c r="AX185" s="147">
        <v>0.88</v>
      </c>
      <c r="AY185" s="147">
        <v>0.88</v>
      </c>
      <c r="AZ185" s="147">
        <v>0.88</v>
      </c>
      <c r="BA185" s="147">
        <v>0.88</v>
      </c>
      <c r="BB185" s="147">
        <v>0.88</v>
      </c>
      <c r="BC185" s="147">
        <v>0.83</v>
      </c>
      <c r="BD185" s="147">
        <v>0.83</v>
      </c>
      <c r="BE185" s="147">
        <v>0.83</v>
      </c>
      <c r="BF185" s="147">
        <v>0.83</v>
      </c>
      <c r="BG185" s="147">
        <v>0.83</v>
      </c>
      <c r="BH185" s="147">
        <v>0.78</v>
      </c>
      <c r="BI185" s="147">
        <v>0.78</v>
      </c>
      <c r="BJ185" s="147">
        <v>0.78</v>
      </c>
      <c r="BK185" s="147">
        <v>0.78</v>
      </c>
      <c r="BL185" s="147">
        <v>0.78</v>
      </c>
      <c r="BM185" s="147">
        <v>0.72</v>
      </c>
      <c r="BN185" s="147">
        <v>0.72</v>
      </c>
      <c r="BO185" s="147">
        <v>0.72</v>
      </c>
      <c r="BP185" s="147">
        <v>0.72</v>
      </c>
      <c r="BQ185" s="147">
        <v>0.67</v>
      </c>
      <c r="BR185" s="147">
        <v>0.67</v>
      </c>
      <c r="BS185" s="147">
        <v>0.67</v>
      </c>
      <c r="BT185" s="147">
        <v>0.67</v>
      </c>
      <c r="BU185" s="147">
        <v>0.67</v>
      </c>
      <c r="BV185" s="147">
        <v>0.67</v>
      </c>
      <c r="BW185" s="147">
        <v>0.61</v>
      </c>
      <c r="BX185" s="147">
        <v>0.61</v>
      </c>
      <c r="BY185" s="147">
        <v>0.61</v>
      </c>
      <c r="BZ185" s="147">
        <v>0.61</v>
      </c>
      <c r="CA185" s="147">
        <v>0.56000000000000005</v>
      </c>
    </row>
    <row r="186" spans="1:79">
      <c r="A186" s="144">
        <v>21</v>
      </c>
      <c r="B186" s="147">
        <v>1.08</v>
      </c>
      <c r="C186" s="147">
        <v>1.08</v>
      </c>
      <c r="D186" s="147">
        <v>1.08</v>
      </c>
      <c r="E186" s="147">
        <v>1.08</v>
      </c>
      <c r="F186" s="147">
        <v>1.08</v>
      </c>
      <c r="G186" s="147">
        <v>1.08</v>
      </c>
      <c r="H186" s="147">
        <v>1.08</v>
      </c>
      <c r="I186" s="147">
        <v>1.08</v>
      </c>
      <c r="J186" s="147">
        <v>1.08</v>
      </c>
      <c r="K186" s="147">
        <v>1.08</v>
      </c>
      <c r="L186" s="147">
        <v>1.08</v>
      </c>
      <c r="M186" s="147">
        <v>1.08</v>
      </c>
      <c r="N186" s="147">
        <v>1.08</v>
      </c>
      <c r="O186" s="147">
        <v>1.08</v>
      </c>
      <c r="P186" s="147">
        <v>1.08</v>
      </c>
      <c r="Q186" s="147">
        <v>1.08</v>
      </c>
      <c r="R186" s="147">
        <v>1.08</v>
      </c>
      <c r="S186" s="147">
        <v>1.08</v>
      </c>
      <c r="T186" s="147">
        <v>1.08</v>
      </c>
      <c r="U186" s="147"/>
      <c r="V186" s="147">
        <v>1.08</v>
      </c>
      <c r="W186" s="147">
        <v>1.08</v>
      </c>
      <c r="X186" s="147">
        <v>1.08</v>
      </c>
      <c r="Y186" s="147">
        <v>1.04</v>
      </c>
      <c r="Z186" s="147">
        <v>1.04</v>
      </c>
      <c r="AA186" s="147">
        <v>1.04</v>
      </c>
      <c r="AB186" s="147">
        <v>1.04</v>
      </c>
      <c r="AC186" s="147">
        <v>1.04</v>
      </c>
      <c r="AD186" s="147">
        <v>1</v>
      </c>
      <c r="AE186" s="147">
        <v>1</v>
      </c>
      <c r="AF186" s="147">
        <v>1</v>
      </c>
      <c r="AG186" s="147">
        <v>1</v>
      </c>
      <c r="AH186" s="147">
        <v>1</v>
      </c>
      <c r="AI186" s="147">
        <v>0.95</v>
      </c>
      <c r="AJ186" s="147">
        <v>0.95</v>
      </c>
      <c r="AK186" s="147">
        <v>0.95</v>
      </c>
      <c r="AL186" s="147">
        <v>0.95</v>
      </c>
      <c r="AM186" s="147">
        <v>0.95</v>
      </c>
      <c r="AN186" s="147">
        <v>0.91</v>
      </c>
      <c r="AO186" s="147">
        <v>0.91</v>
      </c>
      <c r="AP186" s="147">
        <v>0.91</v>
      </c>
      <c r="AQ186" s="147">
        <v>0.91</v>
      </c>
      <c r="AR186" s="147">
        <v>0.91</v>
      </c>
      <c r="AS186" s="147">
        <v>0.86</v>
      </c>
      <c r="AT186" s="147">
        <v>0.86</v>
      </c>
      <c r="AU186" s="147">
        <v>0.86</v>
      </c>
      <c r="AV186" s="147">
        <v>0.86</v>
      </c>
      <c r="AW186" s="147">
        <v>0.86</v>
      </c>
      <c r="AX186" s="147">
        <v>0.81</v>
      </c>
      <c r="AY186" s="147">
        <v>0.81</v>
      </c>
      <c r="AZ186" s="147">
        <v>0.81</v>
      </c>
      <c r="BA186" s="147">
        <v>0.81</v>
      </c>
      <c r="BB186" s="147">
        <v>0.81</v>
      </c>
      <c r="BC186" s="147">
        <v>0.76</v>
      </c>
      <c r="BD186" s="147">
        <v>0.76</v>
      </c>
      <c r="BE186" s="147">
        <v>0.76</v>
      </c>
      <c r="BF186" s="147">
        <v>0.76</v>
      </c>
      <c r="BG186" s="147">
        <v>0.76</v>
      </c>
      <c r="BH186" s="147">
        <v>0.7</v>
      </c>
      <c r="BI186" s="147">
        <v>0.7</v>
      </c>
      <c r="BJ186" s="147">
        <v>0.7</v>
      </c>
      <c r="BK186" s="147">
        <v>0.7</v>
      </c>
      <c r="BL186" s="147">
        <v>0.7</v>
      </c>
      <c r="BM186" s="147">
        <v>0.65</v>
      </c>
      <c r="BN186" s="147">
        <v>0.65</v>
      </c>
      <c r="BO186" s="147">
        <v>0.65</v>
      </c>
      <c r="BP186" s="147">
        <v>0.65</v>
      </c>
      <c r="BQ186" s="147">
        <v>0.6</v>
      </c>
      <c r="BR186" s="147">
        <v>0.6</v>
      </c>
      <c r="BS186" s="147">
        <v>0.6</v>
      </c>
      <c r="BT186" s="147">
        <v>0.6</v>
      </c>
      <c r="BU186" s="147">
        <v>0.6</v>
      </c>
      <c r="BV186" s="147">
        <v>0.6</v>
      </c>
      <c r="BW186" s="147">
        <v>0.54</v>
      </c>
      <c r="BX186" s="147">
        <v>0.54</v>
      </c>
      <c r="BY186" s="147">
        <v>0.54</v>
      </c>
      <c r="BZ186" s="147">
        <v>0.54</v>
      </c>
      <c r="CA186" s="147">
        <v>0.49</v>
      </c>
    </row>
    <row r="187" spans="1:79">
      <c r="A187" s="144">
        <v>22</v>
      </c>
      <c r="B187" s="147">
        <v>1.08</v>
      </c>
      <c r="C187" s="147">
        <v>1.08</v>
      </c>
      <c r="D187" s="147">
        <v>1.08</v>
      </c>
      <c r="E187" s="147">
        <v>1.08</v>
      </c>
      <c r="F187" s="147">
        <v>1.08</v>
      </c>
      <c r="G187" s="147">
        <v>1.08</v>
      </c>
      <c r="H187" s="147">
        <v>1.08</v>
      </c>
      <c r="I187" s="147">
        <v>1.08</v>
      </c>
      <c r="J187" s="147">
        <v>1.08</v>
      </c>
      <c r="K187" s="147">
        <v>1.08</v>
      </c>
      <c r="L187" s="147">
        <v>1.08</v>
      </c>
      <c r="M187" s="147">
        <v>1.08</v>
      </c>
      <c r="N187" s="147">
        <v>1.08</v>
      </c>
      <c r="O187" s="147">
        <v>1.08</v>
      </c>
      <c r="P187" s="147">
        <v>1.08</v>
      </c>
      <c r="Q187" s="147">
        <v>1.08</v>
      </c>
      <c r="R187" s="147">
        <v>1.08</v>
      </c>
      <c r="S187" s="147">
        <v>1.08</v>
      </c>
      <c r="T187" s="147">
        <v>1.08</v>
      </c>
      <c r="U187" s="147"/>
      <c r="V187" s="147">
        <v>1.08</v>
      </c>
      <c r="W187" s="147">
        <v>1.08</v>
      </c>
      <c r="X187" s="147">
        <v>1.08</v>
      </c>
      <c r="Y187" s="147">
        <v>1.04</v>
      </c>
      <c r="Z187" s="147">
        <v>1.04</v>
      </c>
      <c r="AA187" s="147">
        <v>1.04</v>
      </c>
      <c r="AB187" s="147">
        <v>1.04</v>
      </c>
      <c r="AC187" s="147">
        <v>1.04</v>
      </c>
      <c r="AD187" s="147">
        <v>1</v>
      </c>
      <c r="AE187" s="147">
        <v>1</v>
      </c>
      <c r="AF187" s="147">
        <v>1</v>
      </c>
      <c r="AG187" s="147">
        <v>1</v>
      </c>
      <c r="AH187" s="147">
        <v>1</v>
      </c>
      <c r="AI187" s="147">
        <v>0.95</v>
      </c>
      <c r="AJ187" s="147">
        <v>0.95</v>
      </c>
      <c r="AK187" s="147">
        <v>0.95</v>
      </c>
      <c r="AL187" s="147">
        <v>0.95</v>
      </c>
      <c r="AM187" s="147">
        <v>0.95</v>
      </c>
      <c r="AN187" s="147">
        <v>0.91</v>
      </c>
      <c r="AO187" s="147">
        <v>0.91</v>
      </c>
      <c r="AP187" s="147">
        <v>0.91</v>
      </c>
      <c r="AQ187" s="147">
        <v>0.91</v>
      </c>
      <c r="AR187" s="147">
        <v>0.91</v>
      </c>
      <c r="AS187" s="147">
        <v>0.86</v>
      </c>
      <c r="AT187" s="147">
        <v>0.86</v>
      </c>
      <c r="AU187" s="147">
        <v>0.86</v>
      </c>
      <c r="AV187" s="147">
        <v>0.86</v>
      </c>
      <c r="AW187" s="147">
        <v>0.86</v>
      </c>
      <c r="AX187" s="147">
        <v>0.81</v>
      </c>
      <c r="AY187" s="147">
        <v>0.81</v>
      </c>
      <c r="AZ187" s="147">
        <v>0.81</v>
      </c>
      <c r="BA187" s="147">
        <v>0.81</v>
      </c>
      <c r="BB187" s="147">
        <v>0.81</v>
      </c>
      <c r="BC187" s="147">
        <v>0.76</v>
      </c>
      <c r="BD187" s="147">
        <v>0.76</v>
      </c>
      <c r="BE187" s="147">
        <v>0.76</v>
      </c>
      <c r="BF187" s="147">
        <v>0.76</v>
      </c>
      <c r="BG187" s="147">
        <v>0.76</v>
      </c>
      <c r="BH187" s="147">
        <v>0.7</v>
      </c>
      <c r="BI187" s="147">
        <v>0.7</v>
      </c>
      <c r="BJ187" s="147">
        <v>0.7</v>
      </c>
      <c r="BK187" s="147">
        <v>0.7</v>
      </c>
      <c r="BL187" s="147">
        <v>0.7</v>
      </c>
      <c r="BM187" s="147">
        <v>0.65</v>
      </c>
      <c r="BN187" s="147">
        <v>0.65</v>
      </c>
      <c r="BO187" s="147">
        <v>0.65</v>
      </c>
      <c r="BP187" s="147">
        <v>0.65</v>
      </c>
      <c r="BQ187" s="147">
        <v>0.6</v>
      </c>
      <c r="BR187" s="147">
        <v>0.6</v>
      </c>
      <c r="BS187" s="147">
        <v>0.6</v>
      </c>
      <c r="BT187" s="147">
        <v>0.6</v>
      </c>
      <c r="BU187" s="147">
        <v>0.6</v>
      </c>
      <c r="BV187" s="147">
        <v>0.6</v>
      </c>
      <c r="BW187" s="147">
        <v>0.54</v>
      </c>
      <c r="BX187" s="147">
        <v>0.54</v>
      </c>
      <c r="BY187" s="147">
        <v>0.54</v>
      </c>
      <c r="BZ187" s="147">
        <v>0.54</v>
      </c>
      <c r="CA187" s="147">
        <v>0.49</v>
      </c>
    </row>
    <row r="188" spans="1:79">
      <c r="A188" s="144">
        <v>23</v>
      </c>
      <c r="B188" s="147">
        <v>1.08</v>
      </c>
      <c r="C188" s="147">
        <v>1.08</v>
      </c>
      <c r="D188" s="147">
        <v>1.08</v>
      </c>
      <c r="E188" s="147">
        <v>1.08</v>
      </c>
      <c r="F188" s="147">
        <v>1.08</v>
      </c>
      <c r="G188" s="147">
        <v>1.08</v>
      </c>
      <c r="H188" s="147">
        <v>1.08</v>
      </c>
      <c r="I188" s="147">
        <v>1.08</v>
      </c>
      <c r="J188" s="147">
        <v>1.08</v>
      </c>
      <c r="K188" s="147">
        <v>1.08</v>
      </c>
      <c r="L188" s="147">
        <v>1.08</v>
      </c>
      <c r="M188" s="147">
        <v>1.08</v>
      </c>
      <c r="N188" s="147">
        <v>1.08</v>
      </c>
      <c r="O188" s="147">
        <v>1.08</v>
      </c>
      <c r="P188" s="147">
        <v>1.08</v>
      </c>
      <c r="Q188" s="147">
        <v>1.08</v>
      </c>
      <c r="R188" s="147">
        <v>1.08</v>
      </c>
      <c r="S188" s="147">
        <v>1.08</v>
      </c>
      <c r="T188" s="147">
        <v>1.08</v>
      </c>
      <c r="U188" s="147"/>
      <c r="V188" s="147">
        <v>1.08</v>
      </c>
      <c r="W188" s="147">
        <v>1.08</v>
      </c>
      <c r="X188" s="147">
        <v>1.08</v>
      </c>
      <c r="Y188" s="147">
        <v>1.04</v>
      </c>
      <c r="Z188" s="147">
        <v>1.04</v>
      </c>
      <c r="AA188" s="147">
        <v>1.04</v>
      </c>
      <c r="AB188" s="147">
        <v>1.04</v>
      </c>
      <c r="AC188" s="147">
        <v>1.04</v>
      </c>
      <c r="AD188" s="147">
        <v>1</v>
      </c>
      <c r="AE188" s="147">
        <v>1</v>
      </c>
      <c r="AF188" s="147">
        <v>1</v>
      </c>
      <c r="AG188" s="147">
        <v>1</v>
      </c>
      <c r="AH188" s="147">
        <v>1</v>
      </c>
      <c r="AI188" s="147">
        <v>0.95</v>
      </c>
      <c r="AJ188" s="147">
        <v>0.95</v>
      </c>
      <c r="AK188" s="147">
        <v>0.95</v>
      </c>
      <c r="AL188" s="147">
        <v>0.95</v>
      </c>
      <c r="AM188" s="147">
        <v>0.95</v>
      </c>
      <c r="AN188" s="147">
        <v>0.91</v>
      </c>
      <c r="AO188" s="147">
        <v>0.91</v>
      </c>
      <c r="AP188" s="147">
        <v>0.91</v>
      </c>
      <c r="AQ188" s="147">
        <v>0.91</v>
      </c>
      <c r="AR188" s="147">
        <v>0.91</v>
      </c>
      <c r="AS188" s="147">
        <v>0.86</v>
      </c>
      <c r="AT188" s="147">
        <v>0.86</v>
      </c>
      <c r="AU188" s="147">
        <v>0.86</v>
      </c>
      <c r="AV188" s="147">
        <v>0.86</v>
      </c>
      <c r="AW188" s="147">
        <v>0.86</v>
      </c>
      <c r="AX188" s="147">
        <v>0.81</v>
      </c>
      <c r="AY188" s="147">
        <v>0.81</v>
      </c>
      <c r="AZ188" s="147">
        <v>0.81</v>
      </c>
      <c r="BA188" s="147">
        <v>0.81</v>
      </c>
      <c r="BB188" s="147">
        <v>0.81</v>
      </c>
      <c r="BC188" s="147">
        <v>0.76</v>
      </c>
      <c r="BD188" s="147">
        <v>0.76</v>
      </c>
      <c r="BE188" s="147">
        <v>0.76</v>
      </c>
      <c r="BF188" s="147">
        <v>0.76</v>
      </c>
      <c r="BG188" s="147">
        <v>0.76</v>
      </c>
      <c r="BH188" s="147">
        <v>0.7</v>
      </c>
      <c r="BI188" s="147">
        <v>0.7</v>
      </c>
      <c r="BJ188" s="147">
        <v>0.7</v>
      </c>
      <c r="BK188" s="147">
        <v>0.7</v>
      </c>
      <c r="BL188" s="147">
        <v>0.7</v>
      </c>
      <c r="BM188" s="147">
        <v>0.65</v>
      </c>
      <c r="BN188" s="147">
        <v>0.65</v>
      </c>
      <c r="BO188" s="147">
        <v>0.65</v>
      </c>
      <c r="BP188" s="147">
        <v>0.65</v>
      </c>
      <c r="BQ188" s="147">
        <v>0.6</v>
      </c>
      <c r="BR188" s="147">
        <v>0.6</v>
      </c>
      <c r="BS188" s="147">
        <v>0.6</v>
      </c>
      <c r="BT188" s="147">
        <v>0.6</v>
      </c>
      <c r="BU188" s="147">
        <v>0.6</v>
      </c>
      <c r="BV188" s="147">
        <v>0.6</v>
      </c>
      <c r="BW188" s="147">
        <v>0.54</v>
      </c>
      <c r="BX188" s="147">
        <v>0.54</v>
      </c>
      <c r="BY188" s="147">
        <v>0.54</v>
      </c>
      <c r="BZ188" s="147">
        <v>0.54</v>
      </c>
      <c r="CA188" s="147">
        <v>0.49</v>
      </c>
    </row>
    <row r="189" spans="1:79">
      <c r="A189" s="144">
        <v>24</v>
      </c>
      <c r="B189" s="147">
        <v>1.08</v>
      </c>
      <c r="C189" s="147">
        <v>1.08</v>
      </c>
      <c r="D189" s="147">
        <v>1.08</v>
      </c>
      <c r="E189" s="147">
        <v>1.08</v>
      </c>
      <c r="F189" s="147">
        <v>1.08</v>
      </c>
      <c r="G189" s="147">
        <v>1.08</v>
      </c>
      <c r="H189" s="147">
        <v>1.08</v>
      </c>
      <c r="I189" s="147">
        <v>1.08</v>
      </c>
      <c r="J189" s="147">
        <v>1.08</v>
      </c>
      <c r="K189" s="147">
        <v>1.08</v>
      </c>
      <c r="L189" s="147">
        <v>1.08</v>
      </c>
      <c r="M189" s="147">
        <v>1.08</v>
      </c>
      <c r="N189" s="147">
        <v>1.08</v>
      </c>
      <c r="O189" s="147">
        <v>1.08</v>
      </c>
      <c r="P189" s="147">
        <v>1.08</v>
      </c>
      <c r="Q189" s="147">
        <v>1.08</v>
      </c>
      <c r="R189" s="147">
        <v>1.08</v>
      </c>
      <c r="S189" s="147">
        <v>1.08</v>
      </c>
      <c r="T189" s="147">
        <v>1.08</v>
      </c>
      <c r="U189" s="147"/>
      <c r="V189" s="147">
        <v>1.08</v>
      </c>
      <c r="W189" s="147">
        <v>1.08</v>
      </c>
      <c r="X189" s="147">
        <v>1.08</v>
      </c>
      <c r="Y189" s="147">
        <v>1.04</v>
      </c>
      <c r="Z189" s="147">
        <v>1.04</v>
      </c>
      <c r="AA189" s="147">
        <v>1.04</v>
      </c>
      <c r="AB189" s="147">
        <v>1.04</v>
      </c>
      <c r="AC189" s="147">
        <v>1.04</v>
      </c>
      <c r="AD189" s="147">
        <v>1</v>
      </c>
      <c r="AE189" s="147">
        <v>1</v>
      </c>
      <c r="AF189" s="147">
        <v>1</v>
      </c>
      <c r="AG189" s="147">
        <v>1</v>
      </c>
      <c r="AH189" s="147">
        <v>1</v>
      </c>
      <c r="AI189" s="147">
        <v>0.95</v>
      </c>
      <c r="AJ189" s="147">
        <v>0.95</v>
      </c>
      <c r="AK189" s="147">
        <v>0.95</v>
      </c>
      <c r="AL189" s="147">
        <v>0.95</v>
      </c>
      <c r="AM189" s="147">
        <v>0.95</v>
      </c>
      <c r="AN189" s="147">
        <v>0.91</v>
      </c>
      <c r="AO189" s="147">
        <v>0.91</v>
      </c>
      <c r="AP189" s="147">
        <v>0.91</v>
      </c>
      <c r="AQ189" s="147">
        <v>0.91</v>
      </c>
      <c r="AR189" s="147">
        <v>0.91</v>
      </c>
      <c r="AS189" s="147">
        <v>0.86</v>
      </c>
      <c r="AT189" s="147">
        <v>0.86</v>
      </c>
      <c r="AU189" s="147">
        <v>0.86</v>
      </c>
      <c r="AV189" s="147">
        <v>0.86</v>
      </c>
      <c r="AW189" s="147">
        <v>0.86</v>
      </c>
      <c r="AX189" s="147">
        <v>0.81</v>
      </c>
      <c r="AY189" s="147">
        <v>0.81</v>
      </c>
      <c r="AZ189" s="147">
        <v>0.81</v>
      </c>
      <c r="BA189" s="147">
        <v>0.81</v>
      </c>
      <c r="BB189" s="147">
        <v>0.81</v>
      </c>
      <c r="BC189" s="147">
        <v>0.76</v>
      </c>
      <c r="BD189" s="147">
        <v>0.76</v>
      </c>
      <c r="BE189" s="147">
        <v>0.76</v>
      </c>
      <c r="BF189" s="147">
        <v>0.76</v>
      </c>
      <c r="BG189" s="147">
        <v>0.76</v>
      </c>
      <c r="BH189" s="147">
        <v>0.7</v>
      </c>
      <c r="BI189" s="147">
        <v>0.7</v>
      </c>
      <c r="BJ189" s="147">
        <v>0.7</v>
      </c>
      <c r="BK189" s="147">
        <v>0.7</v>
      </c>
      <c r="BL189" s="147">
        <v>0.7</v>
      </c>
      <c r="BM189" s="147">
        <v>0.65</v>
      </c>
      <c r="BN189" s="147">
        <v>0.65</v>
      </c>
      <c r="BO189" s="147">
        <v>0.65</v>
      </c>
      <c r="BP189" s="147">
        <v>0.65</v>
      </c>
      <c r="BQ189" s="147">
        <v>0.6</v>
      </c>
      <c r="BR189" s="147">
        <v>0.6</v>
      </c>
      <c r="BS189" s="147">
        <v>0.6</v>
      </c>
      <c r="BT189" s="147">
        <v>0.6</v>
      </c>
      <c r="BU189" s="147">
        <v>0.6</v>
      </c>
      <c r="BV189" s="147">
        <v>0.6</v>
      </c>
      <c r="BW189" s="147">
        <v>0.54</v>
      </c>
      <c r="BX189" s="147">
        <v>0.54</v>
      </c>
      <c r="BY189" s="147">
        <v>0.54</v>
      </c>
      <c r="BZ189" s="147">
        <v>0.54</v>
      </c>
      <c r="CA189" s="147">
        <v>0.49</v>
      </c>
    </row>
    <row r="190" spans="1:79">
      <c r="A190" s="144">
        <v>25</v>
      </c>
      <c r="B190" s="147">
        <v>1.08</v>
      </c>
      <c r="C190" s="147">
        <v>1.08</v>
      </c>
      <c r="D190" s="147">
        <v>1.08</v>
      </c>
      <c r="E190" s="147">
        <v>1.08</v>
      </c>
      <c r="F190" s="147">
        <v>1.08</v>
      </c>
      <c r="G190" s="147">
        <v>1.08</v>
      </c>
      <c r="H190" s="147">
        <v>1.08</v>
      </c>
      <c r="I190" s="147">
        <v>1.08</v>
      </c>
      <c r="J190" s="147">
        <v>1.08</v>
      </c>
      <c r="K190" s="147">
        <v>1.08</v>
      </c>
      <c r="L190" s="147">
        <v>1.08</v>
      </c>
      <c r="M190" s="147">
        <v>1.08</v>
      </c>
      <c r="N190" s="147">
        <v>1.08</v>
      </c>
      <c r="O190" s="147">
        <v>1.08</v>
      </c>
      <c r="P190" s="147">
        <v>1.08</v>
      </c>
      <c r="Q190" s="147">
        <v>1.08</v>
      </c>
      <c r="R190" s="147">
        <v>1.08</v>
      </c>
      <c r="S190" s="147">
        <v>1.08</v>
      </c>
      <c r="T190" s="147">
        <v>1.08</v>
      </c>
      <c r="U190" s="147"/>
      <c r="V190" s="147">
        <v>1.08</v>
      </c>
      <c r="W190" s="147">
        <v>1.08</v>
      </c>
      <c r="X190" s="147">
        <v>1.08</v>
      </c>
      <c r="Y190" s="147">
        <v>1.04</v>
      </c>
      <c r="Z190" s="147">
        <v>1.04</v>
      </c>
      <c r="AA190" s="147">
        <v>1.04</v>
      </c>
      <c r="AB190" s="147">
        <v>1.04</v>
      </c>
      <c r="AC190" s="147">
        <v>1.04</v>
      </c>
      <c r="AD190" s="147">
        <v>1</v>
      </c>
      <c r="AE190" s="147">
        <v>1</v>
      </c>
      <c r="AF190" s="147">
        <v>1</v>
      </c>
      <c r="AG190" s="147">
        <v>1</v>
      </c>
      <c r="AH190" s="147">
        <v>1</v>
      </c>
      <c r="AI190" s="147">
        <v>0.95</v>
      </c>
      <c r="AJ190" s="147">
        <v>0.95</v>
      </c>
      <c r="AK190" s="147">
        <v>0.95</v>
      </c>
      <c r="AL190" s="147">
        <v>0.95</v>
      </c>
      <c r="AM190" s="147">
        <v>0.95</v>
      </c>
      <c r="AN190" s="147">
        <v>0.91</v>
      </c>
      <c r="AO190" s="147">
        <v>0.91</v>
      </c>
      <c r="AP190" s="147">
        <v>0.91</v>
      </c>
      <c r="AQ190" s="147">
        <v>0.91</v>
      </c>
      <c r="AR190" s="147">
        <v>0.91</v>
      </c>
      <c r="AS190" s="147">
        <v>0.86</v>
      </c>
      <c r="AT190" s="147">
        <v>0.86</v>
      </c>
      <c r="AU190" s="147">
        <v>0.86</v>
      </c>
      <c r="AV190" s="147">
        <v>0.86</v>
      </c>
      <c r="AW190" s="147">
        <v>0.86</v>
      </c>
      <c r="AX190" s="147">
        <v>0.81</v>
      </c>
      <c r="AY190" s="147">
        <v>0.81</v>
      </c>
      <c r="AZ190" s="147">
        <v>0.81</v>
      </c>
      <c r="BA190" s="147">
        <v>0.81</v>
      </c>
      <c r="BB190" s="147">
        <v>0.81</v>
      </c>
      <c r="BC190" s="147">
        <v>0.76</v>
      </c>
      <c r="BD190" s="147">
        <v>0.76</v>
      </c>
      <c r="BE190" s="147">
        <v>0.76</v>
      </c>
      <c r="BF190" s="147">
        <v>0.76</v>
      </c>
      <c r="BG190" s="147">
        <v>0.76</v>
      </c>
      <c r="BH190" s="147">
        <v>0.7</v>
      </c>
      <c r="BI190" s="147">
        <v>0.7</v>
      </c>
      <c r="BJ190" s="147">
        <v>0.7</v>
      </c>
      <c r="BK190" s="147">
        <v>0.7</v>
      </c>
      <c r="BL190" s="147">
        <v>0.7</v>
      </c>
      <c r="BM190" s="147">
        <v>0.65</v>
      </c>
      <c r="BN190" s="147">
        <v>0.65</v>
      </c>
      <c r="BO190" s="147">
        <v>0.65</v>
      </c>
      <c r="BP190" s="147">
        <v>0.65</v>
      </c>
      <c r="BQ190" s="147">
        <v>0.6</v>
      </c>
      <c r="BR190" s="147">
        <v>0.6</v>
      </c>
      <c r="BS190" s="147">
        <v>0.6</v>
      </c>
      <c r="BT190" s="147">
        <v>0.6</v>
      </c>
      <c r="BU190" s="147">
        <v>0.6</v>
      </c>
      <c r="BV190" s="147">
        <v>0.6</v>
      </c>
      <c r="BW190" s="147">
        <v>0.54</v>
      </c>
      <c r="BX190" s="147">
        <v>0.54</v>
      </c>
      <c r="BY190" s="147">
        <v>0.54</v>
      </c>
      <c r="BZ190" s="147">
        <v>0.54</v>
      </c>
      <c r="CA190" s="147">
        <v>0.49</v>
      </c>
    </row>
    <row r="191" spans="1:79">
      <c r="A191" s="144">
        <v>26</v>
      </c>
      <c r="B191" s="147">
        <v>1.08</v>
      </c>
      <c r="C191" s="147">
        <v>1.08</v>
      </c>
      <c r="D191" s="147">
        <v>1.08</v>
      </c>
      <c r="E191" s="147">
        <v>1.08</v>
      </c>
      <c r="F191" s="147">
        <v>1.08</v>
      </c>
      <c r="G191" s="147">
        <v>1.08</v>
      </c>
      <c r="H191" s="147">
        <v>1.08</v>
      </c>
      <c r="I191" s="147">
        <v>1.08</v>
      </c>
      <c r="J191" s="147">
        <v>1.08</v>
      </c>
      <c r="K191" s="147">
        <v>1.08</v>
      </c>
      <c r="L191" s="147">
        <v>1.08</v>
      </c>
      <c r="M191" s="147">
        <v>1.08</v>
      </c>
      <c r="N191" s="147">
        <v>1.08</v>
      </c>
      <c r="O191" s="147">
        <v>1.08</v>
      </c>
      <c r="P191" s="147">
        <v>1.08</v>
      </c>
      <c r="Q191" s="147">
        <v>1.08</v>
      </c>
      <c r="R191" s="147">
        <v>1.08</v>
      </c>
      <c r="S191" s="147">
        <v>1.08</v>
      </c>
      <c r="T191" s="147">
        <v>1.08</v>
      </c>
      <c r="U191" s="147"/>
      <c r="V191" s="147">
        <v>1.08</v>
      </c>
      <c r="W191" s="147">
        <v>1.08</v>
      </c>
      <c r="X191" s="147">
        <v>1.08</v>
      </c>
      <c r="Y191" s="147">
        <v>1.04</v>
      </c>
      <c r="Z191" s="147">
        <v>1.04</v>
      </c>
      <c r="AA191" s="147">
        <v>1.04</v>
      </c>
      <c r="AB191" s="147">
        <v>1.04</v>
      </c>
      <c r="AC191" s="147">
        <v>1.04</v>
      </c>
      <c r="AD191" s="147">
        <v>1</v>
      </c>
      <c r="AE191" s="147">
        <v>1</v>
      </c>
      <c r="AF191" s="147">
        <v>1</v>
      </c>
      <c r="AG191" s="147">
        <v>1</v>
      </c>
      <c r="AH191" s="147">
        <v>1</v>
      </c>
      <c r="AI191" s="147">
        <v>0.95</v>
      </c>
      <c r="AJ191" s="147">
        <v>0.95</v>
      </c>
      <c r="AK191" s="147">
        <v>0.95</v>
      </c>
      <c r="AL191" s="147">
        <v>0.95</v>
      </c>
      <c r="AM191" s="147">
        <v>0.95</v>
      </c>
      <c r="AN191" s="147">
        <v>0.91</v>
      </c>
      <c r="AO191" s="147">
        <v>0.91</v>
      </c>
      <c r="AP191" s="147">
        <v>0.91</v>
      </c>
      <c r="AQ191" s="147">
        <v>0.91</v>
      </c>
      <c r="AR191" s="147">
        <v>0.91</v>
      </c>
      <c r="AS191" s="147">
        <v>0.86</v>
      </c>
      <c r="AT191" s="147">
        <v>0.86</v>
      </c>
      <c r="AU191" s="147">
        <v>0.86</v>
      </c>
      <c r="AV191" s="147">
        <v>0.86</v>
      </c>
      <c r="AW191" s="147">
        <v>0.86</v>
      </c>
      <c r="AX191" s="147">
        <v>0.81</v>
      </c>
      <c r="AY191" s="147">
        <v>0.81</v>
      </c>
      <c r="AZ191" s="147">
        <v>0.81</v>
      </c>
      <c r="BA191" s="147">
        <v>0.81</v>
      </c>
      <c r="BB191" s="147">
        <v>0.81</v>
      </c>
      <c r="BC191" s="147">
        <v>0.76</v>
      </c>
      <c r="BD191" s="147">
        <v>0.76</v>
      </c>
      <c r="BE191" s="147">
        <v>0.76</v>
      </c>
      <c r="BF191" s="147">
        <v>0.76</v>
      </c>
      <c r="BG191" s="147">
        <v>0.76</v>
      </c>
      <c r="BH191" s="147">
        <v>0.7</v>
      </c>
      <c r="BI191" s="147">
        <v>0.7</v>
      </c>
      <c r="BJ191" s="147">
        <v>0.7</v>
      </c>
      <c r="BK191" s="147">
        <v>0.7</v>
      </c>
      <c r="BL191" s="147">
        <v>0.7</v>
      </c>
      <c r="BM191" s="147">
        <v>0.65</v>
      </c>
      <c r="BN191" s="147">
        <v>0.65</v>
      </c>
      <c r="BO191" s="147">
        <v>0.65</v>
      </c>
      <c r="BP191" s="147">
        <v>0.65</v>
      </c>
      <c r="BQ191" s="147">
        <v>0.6</v>
      </c>
      <c r="BR191" s="147">
        <v>0.6</v>
      </c>
      <c r="BS191" s="147">
        <v>0.6</v>
      </c>
      <c r="BT191" s="147">
        <v>0.6</v>
      </c>
      <c r="BU191" s="147">
        <v>0.6</v>
      </c>
      <c r="BV191" s="147">
        <v>0.6</v>
      </c>
      <c r="BW191" s="147">
        <v>0.54</v>
      </c>
      <c r="BX191" s="147">
        <v>0.54</v>
      </c>
      <c r="BY191" s="147">
        <v>0.54</v>
      </c>
      <c r="BZ191" s="147">
        <v>0.54</v>
      </c>
      <c r="CA191" s="147">
        <v>0.49</v>
      </c>
    </row>
    <row r="192" spans="1:79">
      <c r="A192" s="144">
        <v>27</v>
      </c>
      <c r="B192" s="147">
        <v>1.08</v>
      </c>
      <c r="C192" s="147">
        <v>1.08</v>
      </c>
      <c r="D192" s="147">
        <v>1.08</v>
      </c>
      <c r="E192" s="147">
        <v>1.08</v>
      </c>
      <c r="F192" s="147">
        <v>1.08</v>
      </c>
      <c r="G192" s="147">
        <v>1.08</v>
      </c>
      <c r="H192" s="147">
        <v>1.08</v>
      </c>
      <c r="I192" s="147">
        <v>1.08</v>
      </c>
      <c r="J192" s="147">
        <v>1.08</v>
      </c>
      <c r="K192" s="147">
        <v>1.08</v>
      </c>
      <c r="L192" s="147">
        <v>1.08</v>
      </c>
      <c r="M192" s="147">
        <v>1.08</v>
      </c>
      <c r="N192" s="147">
        <v>1.08</v>
      </c>
      <c r="O192" s="147">
        <v>1.08</v>
      </c>
      <c r="P192" s="147">
        <v>1.08</v>
      </c>
      <c r="Q192" s="147">
        <v>1.08</v>
      </c>
      <c r="R192" s="147">
        <v>1.08</v>
      </c>
      <c r="S192" s="147">
        <v>1.08</v>
      </c>
      <c r="T192" s="147">
        <v>1.08</v>
      </c>
      <c r="U192" s="147"/>
      <c r="V192" s="147">
        <v>1.08</v>
      </c>
      <c r="W192" s="147">
        <v>1.08</v>
      </c>
      <c r="X192" s="147">
        <v>1.08</v>
      </c>
      <c r="Y192" s="147">
        <v>1.04</v>
      </c>
      <c r="Z192" s="147">
        <v>1.04</v>
      </c>
      <c r="AA192" s="147">
        <v>1.04</v>
      </c>
      <c r="AB192" s="147">
        <v>1.04</v>
      </c>
      <c r="AC192" s="147">
        <v>1.04</v>
      </c>
      <c r="AD192" s="147">
        <v>1</v>
      </c>
      <c r="AE192" s="147">
        <v>1</v>
      </c>
      <c r="AF192" s="147">
        <v>1</v>
      </c>
      <c r="AG192" s="147">
        <v>1</v>
      </c>
      <c r="AH192" s="147">
        <v>1</v>
      </c>
      <c r="AI192" s="147">
        <v>0.95</v>
      </c>
      <c r="AJ192" s="147">
        <v>0.95</v>
      </c>
      <c r="AK192" s="147">
        <v>0.95</v>
      </c>
      <c r="AL192" s="147">
        <v>0.95</v>
      </c>
      <c r="AM192" s="147">
        <v>0.95</v>
      </c>
      <c r="AN192" s="147">
        <v>0.91</v>
      </c>
      <c r="AO192" s="147">
        <v>0.91</v>
      </c>
      <c r="AP192" s="147">
        <v>0.91</v>
      </c>
      <c r="AQ192" s="147">
        <v>0.91</v>
      </c>
      <c r="AR192" s="147">
        <v>0.91</v>
      </c>
      <c r="AS192" s="147">
        <v>0.86</v>
      </c>
      <c r="AT192" s="147">
        <v>0.86</v>
      </c>
      <c r="AU192" s="147">
        <v>0.86</v>
      </c>
      <c r="AV192" s="147">
        <v>0.86</v>
      </c>
      <c r="AW192" s="147">
        <v>0.86</v>
      </c>
      <c r="AX192" s="147">
        <v>0.81</v>
      </c>
      <c r="AY192" s="147">
        <v>0.81</v>
      </c>
      <c r="AZ192" s="147">
        <v>0.81</v>
      </c>
      <c r="BA192" s="147">
        <v>0.81</v>
      </c>
      <c r="BB192" s="147">
        <v>0.81</v>
      </c>
      <c r="BC192" s="147">
        <v>0.76</v>
      </c>
      <c r="BD192" s="147">
        <v>0.76</v>
      </c>
      <c r="BE192" s="147">
        <v>0.76</v>
      </c>
      <c r="BF192" s="147">
        <v>0.76</v>
      </c>
      <c r="BG192" s="147">
        <v>0.76</v>
      </c>
      <c r="BH192" s="147">
        <v>0.7</v>
      </c>
      <c r="BI192" s="147">
        <v>0.7</v>
      </c>
      <c r="BJ192" s="147">
        <v>0.7</v>
      </c>
      <c r="BK192" s="147">
        <v>0.7</v>
      </c>
      <c r="BL192" s="147">
        <v>0.7</v>
      </c>
      <c r="BM192" s="147">
        <v>0.65</v>
      </c>
      <c r="BN192" s="147">
        <v>0.65</v>
      </c>
      <c r="BO192" s="147">
        <v>0.65</v>
      </c>
      <c r="BP192" s="147">
        <v>0.65</v>
      </c>
      <c r="BQ192" s="147">
        <v>0.6</v>
      </c>
      <c r="BR192" s="147">
        <v>0.6</v>
      </c>
      <c r="BS192" s="147">
        <v>0.6</v>
      </c>
      <c r="BT192" s="147">
        <v>0.6</v>
      </c>
      <c r="BU192" s="147">
        <v>0.6</v>
      </c>
      <c r="BV192" s="147">
        <v>0.6</v>
      </c>
      <c r="BW192" s="147">
        <v>0.54</v>
      </c>
      <c r="BX192" s="147">
        <v>0.54</v>
      </c>
      <c r="BY192" s="147">
        <v>0.54</v>
      </c>
      <c r="BZ192" s="147">
        <v>0.54</v>
      </c>
      <c r="CA192" s="147">
        <v>0.49</v>
      </c>
    </row>
    <row r="193" spans="1:79">
      <c r="A193" s="144">
        <v>28</v>
      </c>
      <c r="B193" s="147">
        <v>1.08</v>
      </c>
      <c r="C193" s="147">
        <v>1.08</v>
      </c>
      <c r="D193" s="147">
        <v>1.08</v>
      </c>
      <c r="E193" s="147">
        <v>1.08</v>
      </c>
      <c r="F193" s="147">
        <v>1.08</v>
      </c>
      <c r="G193" s="147">
        <v>1.08</v>
      </c>
      <c r="H193" s="147">
        <v>1.08</v>
      </c>
      <c r="I193" s="147">
        <v>1.08</v>
      </c>
      <c r="J193" s="147">
        <v>1.08</v>
      </c>
      <c r="K193" s="147">
        <v>1.08</v>
      </c>
      <c r="L193" s="147">
        <v>1.08</v>
      </c>
      <c r="M193" s="147">
        <v>1.08</v>
      </c>
      <c r="N193" s="147">
        <v>1.08</v>
      </c>
      <c r="O193" s="147">
        <v>1.08</v>
      </c>
      <c r="P193" s="147">
        <v>1.08</v>
      </c>
      <c r="Q193" s="147">
        <v>1.08</v>
      </c>
      <c r="R193" s="147">
        <v>1.08</v>
      </c>
      <c r="S193" s="147">
        <v>1.08</v>
      </c>
      <c r="T193" s="147">
        <v>1.08</v>
      </c>
      <c r="U193" s="147"/>
      <c r="V193" s="147">
        <v>1.08</v>
      </c>
      <c r="W193" s="147">
        <v>1.08</v>
      </c>
      <c r="X193" s="147">
        <v>1.08</v>
      </c>
      <c r="Y193" s="147">
        <v>1.04</v>
      </c>
      <c r="Z193" s="147">
        <v>1.04</v>
      </c>
      <c r="AA193" s="147">
        <v>1.04</v>
      </c>
      <c r="AB193" s="147">
        <v>1.04</v>
      </c>
      <c r="AC193" s="147">
        <v>1.04</v>
      </c>
      <c r="AD193" s="147">
        <v>1</v>
      </c>
      <c r="AE193" s="147">
        <v>1</v>
      </c>
      <c r="AF193" s="147">
        <v>1</v>
      </c>
      <c r="AG193" s="147">
        <v>1</v>
      </c>
      <c r="AH193" s="147">
        <v>1</v>
      </c>
      <c r="AI193" s="147">
        <v>0.95</v>
      </c>
      <c r="AJ193" s="147">
        <v>0.95</v>
      </c>
      <c r="AK193" s="147">
        <v>0.95</v>
      </c>
      <c r="AL193" s="147">
        <v>0.95</v>
      </c>
      <c r="AM193" s="147">
        <v>0.95</v>
      </c>
      <c r="AN193" s="147">
        <v>0.91</v>
      </c>
      <c r="AO193" s="147">
        <v>0.91</v>
      </c>
      <c r="AP193" s="147">
        <v>0.91</v>
      </c>
      <c r="AQ193" s="147">
        <v>0.91</v>
      </c>
      <c r="AR193" s="147">
        <v>0.91</v>
      </c>
      <c r="AS193" s="147">
        <v>0.86</v>
      </c>
      <c r="AT193" s="147">
        <v>0.86</v>
      </c>
      <c r="AU193" s="147">
        <v>0.86</v>
      </c>
      <c r="AV193" s="147">
        <v>0.86</v>
      </c>
      <c r="AW193" s="147">
        <v>0.86</v>
      </c>
      <c r="AX193" s="147">
        <v>0.81</v>
      </c>
      <c r="AY193" s="147">
        <v>0.81</v>
      </c>
      <c r="AZ193" s="147">
        <v>0.81</v>
      </c>
      <c r="BA193" s="147">
        <v>0.81</v>
      </c>
      <c r="BB193" s="147">
        <v>0.81</v>
      </c>
      <c r="BC193" s="147">
        <v>0.76</v>
      </c>
      <c r="BD193" s="147">
        <v>0.76</v>
      </c>
      <c r="BE193" s="147">
        <v>0.76</v>
      </c>
      <c r="BF193" s="147">
        <v>0.76</v>
      </c>
      <c r="BG193" s="147">
        <v>0.76</v>
      </c>
      <c r="BH193" s="147">
        <v>0.7</v>
      </c>
      <c r="BI193" s="147">
        <v>0.7</v>
      </c>
      <c r="BJ193" s="147">
        <v>0.7</v>
      </c>
      <c r="BK193" s="147">
        <v>0.7</v>
      </c>
      <c r="BL193" s="147">
        <v>0.7</v>
      </c>
      <c r="BM193" s="147">
        <v>0.65</v>
      </c>
      <c r="BN193" s="147">
        <v>0.65</v>
      </c>
      <c r="BO193" s="147">
        <v>0.65</v>
      </c>
      <c r="BP193" s="147">
        <v>0.65</v>
      </c>
      <c r="BQ193" s="147">
        <v>0.6</v>
      </c>
      <c r="BR193" s="147">
        <v>0.6</v>
      </c>
      <c r="BS193" s="147">
        <v>0.6</v>
      </c>
      <c r="BT193" s="147">
        <v>0.6</v>
      </c>
      <c r="BU193" s="147">
        <v>0.6</v>
      </c>
      <c r="BV193" s="147">
        <v>0.6</v>
      </c>
      <c r="BW193" s="147">
        <v>0.54</v>
      </c>
      <c r="BX193" s="147">
        <v>0.54</v>
      </c>
      <c r="BY193" s="147">
        <v>0.54</v>
      </c>
      <c r="BZ193" s="147">
        <v>0.54</v>
      </c>
      <c r="CA193" s="147">
        <v>0.49</v>
      </c>
    </row>
    <row r="194" spans="1:79">
      <c r="A194" s="144">
        <v>29</v>
      </c>
      <c r="B194" s="147">
        <v>1.08</v>
      </c>
      <c r="C194" s="147">
        <v>1.08</v>
      </c>
      <c r="D194" s="147">
        <v>1.08</v>
      </c>
      <c r="E194" s="147">
        <v>1.08</v>
      </c>
      <c r="F194" s="147">
        <v>1.08</v>
      </c>
      <c r="G194" s="147">
        <v>1.08</v>
      </c>
      <c r="H194" s="147">
        <v>1.08</v>
      </c>
      <c r="I194" s="147">
        <v>1.08</v>
      </c>
      <c r="J194" s="147">
        <v>1.08</v>
      </c>
      <c r="K194" s="147">
        <v>1.08</v>
      </c>
      <c r="L194" s="147">
        <v>1.08</v>
      </c>
      <c r="M194" s="147">
        <v>1.08</v>
      </c>
      <c r="N194" s="147">
        <v>1.08</v>
      </c>
      <c r="O194" s="147">
        <v>1.08</v>
      </c>
      <c r="P194" s="147">
        <v>1.08</v>
      </c>
      <c r="Q194" s="147">
        <v>1.08</v>
      </c>
      <c r="R194" s="147">
        <v>1.08</v>
      </c>
      <c r="S194" s="147">
        <v>1.08</v>
      </c>
      <c r="T194" s="147">
        <v>1.08</v>
      </c>
      <c r="U194" s="147"/>
      <c r="V194" s="147">
        <v>1.08</v>
      </c>
      <c r="W194" s="147">
        <v>1.08</v>
      </c>
      <c r="X194" s="147">
        <v>1.08</v>
      </c>
      <c r="Y194" s="147">
        <v>1.04</v>
      </c>
      <c r="Z194" s="147">
        <v>1.04</v>
      </c>
      <c r="AA194" s="147">
        <v>1.04</v>
      </c>
      <c r="AB194" s="147">
        <v>1.04</v>
      </c>
      <c r="AC194" s="147">
        <v>1.04</v>
      </c>
      <c r="AD194" s="147">
        <v>1</v>
      </c>
      <c r="AE194" s="147">
        <v>1</v>
      </c>
      <c r="AF194" s="147">
        <v>1</v>
      </c>
      <c r="AG194" s="147">
        <v>1</v>
      </c>
      <c r="AH194" s="147">
        <v>1</v>
      </c>
      <c r="AI194" s="147">
        <v>0.95</v>
      </c>
      <c r="AJ194" s="147">
        <v>0.95</v>
      </c>
      <c r="AK194" s="147">
        <v>0.95</v>
      </c>
      <c r="AL194" s="147">
        <v>0.95</v>
      </c>
      <c r="AM194" s="147">
        <v>0.95</v>
      </c>
      <c r="AN194" s="147">
        <v>0.91</v>
      </c>
      <c r="AO194" s="147">
        <v>0.91</v>
      </c>
      <c r="AP194" s="147">
        <v>0.91</v>
      </c>
      <c r="AQ194" s="147">
        <v>0.91</v>
      </c>
      <c r="AR194" s="147">
        <v>0.91</v>
      </c>
      <c r="AS194" s="147">
        <v>0.86</v>
      </c>
      <c r="AT194" s="147">
        <v>0.86</v>
      </c>
      <c r="AU194" s="147">
        <v>0.86</v>
      </c>
      <c r="AV194" s="147">
        <v>0.86</v>
      </c>
      <c r="AW194" s="147">
        <v>0.86</v>
      </c>
      <c r="AX194" s="147">
        <v>0.81</v>
      </c>
      <c r="AY194" s="147">
        <v>0.81</v>
      </c>
      <c r="AZ194" s="147">
        <v>0.81</v>
      </c>
      <c r="BA194" s="147">
        <v>0.81</v>
      </c>
      <c r="BB194" s="147">
        <v>0.81</v>
      </c>
      <c r="BC194" s="147">
        <v>0.76</v>
      </c>
      <c r="BD194" s="147">
        <v>0.76</v>
      </c>
      <c r="BE194" s="147">
        <v>0.76</v>
      </c>
      <c r="BF194" s="147">
        <v>0.76</v>
      </c>
      <c r="BG194" s="147">
        <v>0.76</v>
      </c>
      <c r="BH194" s="147">
        <v>0.7</v>
      </c>
      <c r="BI194" s="147">
        <v>0.7</v>
      </c>
      <c r="BJ194" s="147">
        <v>0.7</v>
      </c>
      <c r="BK194" s="147">
        <v>0.7</v>
      </c>
      <c r="BL194" s="147">
        <v>0.7</v>
      </c>
      <c r="BM194" s="147">
        <v>0.65</v>
      </c>
      <c r="BN194" s="147">
        <v>0.65</v>
      </c>
      <c r="BO194" s="147">
        <v>0.65</v>
      </c>
      <c r="BP194" s="147">
        <v>0.65</v>
      </c>
      <c r="BQ194" s="147">
        <v>0.6</v>
      </c>
      <c r="BR194" s="147">
        <v>0.6</v>
      </c>
      <c r="BS194" s="147">
        <v>0.6</v>
      </c>
      <c r="BT194" s="147">
        <v>0.6</v>
      </c>
      <c r="BU194" s="147">
        <v>0.6</v>
      </c>
      <c r="BV194" s="147">
        <v>0.6</v>
      </c>
      <c r="BW194" s="147">
        <v>0.54</v>
      </c>
      <c r="BX194" s="147">
        <v>0.54</v>
      </c>
      <c r="BY194" s="147">
        <v>0.54</v>
      </c>
      <c r="BZ194" s="147">
        <v>0.54</v>
      </c>
      <c r="CA194" s="147">
        <v>0.49</v>
      </c>
    </row>
    <row r="195" spans="1:79">
      <c r="A195" s="144">
        <v>30</v>
      </c>
      <c r="B195" s="147">
        <v>1.08</v>
      </c>
      <c r="C195" s="147">
        <v>1.08</v>
      </c>
      <c r="D195" s="147">
        <v>1.08</v>
      </c>
      <c r="E195" s="147">
        <v>1.08</v>
      </c>
      <c r="F195" s="147">
        <v>1.08</v>
      </c>
      <c r="G195" s="147">
        <v>1.08</v>
      </c>
      <c r="H195" s="147">
        <v>1.08</v>
      </c>
      <c r="I195" s="147">
        <v>1.08</v>
      </c>
      <c r="J195" s="147">
        <v>1.08</v>
      </c>
      <c r="K195" s="147">
        <v>1.08</v>
      </c>
      <c r="L195" s="147">
        <v>1.08</v>
      </c>
      <c r="M195" s="147">
        <v>1.08</v>
      </c>
      <c r="N195" s="147">
        <v>1.08</v>
      </c>
      <c r="O195" s="147">
        <v>1.08</v>
      </c>
      <c r="P195" s="147">
        <v>1.08</v>
      </c>
      <c r="Q195" s="147">
        <v>1.08</v>
      </c>
      <c r="R195" s="147">
        <v>1.08</v>
      </c>
      <c r="S195" s="147">
        <v>1.08</v>
      </c>
      <c r="T195" s="147">
        <v>1.08</v>
      </c>
      <c r="U195" s="147"/>
      <c r="V195" s="147">
        <v>1.08</v>
      </c>
      <c r="W195" s="147">
        <v>1.08</v>
      </c>
      <c r="X195" s="147">
        <v>1.08</v>
      </c>
      <c r="Y195" s="147">
        <v>1.04</v>
      </c>
      <c r="Z195" s="147">
        <v>1.04</v>
      </c>
      <c r="AA195" s="147">
        <v>1.04</v>
      </c>
      <c r="AB195" s="147">
        <v>1.04</v>
      </c>
      <c r="AC195" s="147">
        <v>1.04</v>
      </c>
      <c r="AD195" s="147">
        <v>1</v>
      </c>
      <c r="AE195" s="147">
        <v>1</v>
      </c>
      <c r="AF195" s="147">
        <v>1</v>
      </c>
      <c r="AG195" s="147">
        <v>1</v>
      </c>
      <c r="AH195" s="147">
        <v>1</v>
      </c>
      <c r="AI195" s="147">
        <v>0.95</v>
      </c>
      <c r="AJ195" s="147">
        <v>0.95</v>
      </c>
      <c r="AK195" s="147">
        <v>0.95</v>
      </c>
      <c r="AL195" s="147">
        <v>0.95</v>
      </c>
      <c r="AM195" s="147">
        <v>0.95</v>
      </c>
      <c r="AN195" s="147">
        <v>0.91</v>
      </c>
      <c r="AO195" s="147">
        <v>0.91</v>
      </c>
      <c r="AP195" s="147">
        <v>0.91</v>
      </c>
      <c r="AQ195" s="147">
        <v>0.91</v>
      </c>
      <c r="AR195" s="147">
        <v>0.91</v>
      </c>
      <c r="AS195" s="147">
        <v>0.86</v>
      </c>
      <c r="AT195" s="147">
        <v>0.86</v>
      </c>
      <c r="AU195" s="147">
        <v>0.86</v>
      </c>
      <c r="AV195" s="147">
        <v>0.86</v>
      </c>
      <c r="AW195" s="147">
        <v>0.86</v>
      </c>
      <c r="AX195" s="147">
        <v>0.81</v>
      </c>
      <c r="AY195" s="147">
        <v>0.81</v>
      </c>
      <c r="AZ195" s="147">
        <v>0.81</v>
      </c>
      <c r="BA195" s="147">
        <v>0.81</v>
      </c>
      <c r="BB195" s="147">
        <v>0.81</v>
      </c>
      <c r="BC195" s="147">
        <v>0.76</v>
      </c>
      <c r="BD195" s="147">
        <v>0.76</v>
      </c>
      <c r="BE195" s="147">
        <v>0.76</v>
      </c>
      <c r="BF195" s="147">
        <v>0.76</v>
      </c>
      <c r="BG195" s="147">
        <v>0.76</v>
      </c>
      <c r="BH195" s="147">
        <v>0.7</v>
      </c>
      <c r="BI195" s="147">
        <v>0.7</v>
      </c>
      <c r="BJ195" s="147">
        <v>0.7</v>
      </c>
      <c r="BK195" s="147">
        <v>0.7</v>
      </c>
      <c r="BL195" s="147">
        <v>0.7</v>
      </c>
      <c r="BM195" s="147">
        <v>0.65</v>
      </c>
      <c r="BN195" s="147">
        <v>0.65</v>
      </c>
      <c r="BO195" s="147">
        <v>0.65</v>
      </c>
      <c r="BP195" s="147">
        <v>0.65</v>
      </c>
      <c r="BQ195" s="147">
        <v>0.6</v>
      </c>
      <c r="BR195" s="147">
        <v>0.6</v>
      </c>
      <c r="BS195" s="147">
        <v>0.6</v>
      </c>
      <c r="BT195" s="147">
        <v>0.6</v>
      </c>
      <c r="BU195" s="147">
        <v>0.6</v>
      </c>
      <c r="BV195" s="147">
        <v>0.6</v>
      </c>
      <c r="BW195" s="147">
        <v>0.54</v>
      </c>
      <c r="BX195" s="147">
        <v>0.54</v>
      </c>
      <c r="BY195" s="147">
        <v>0.54</v>
      </c>
      <c r="BZ195" s="147">
        <v>0.54</v>
      </c>
      <c r="CA195" s="147">
        <v>0.49</v>
      </c>
    </row>
    <row r="196" spans="1:79">
      <c r="A196" s="144">
        <v>31</v>
      </c>
      <c r="B196" s="147">
        <v>1.03</v>
      </c>
      <c r="C196" s="147">
        <v>1.03</v>
      </c>
      <c r="D196" s="147">
        <v>1.03</v>
      </c>
      <c r="E196" s="147">
        <v>1.03</v>
      </c>
      <c r="F196" s="147">
        <v>1.03</v>
      </c>
      <c r="G196" s="147">
        <v>1.03</v>
      </c>
      <c r="H196" s="147">
        <v>1.03</v>
      </c>
      <c r="I196" s="147">
        <v>1.03</v>
      </c>
      <c r="J196" s="147">
        <v>1.03</v>
      </c>
      <c r="K196" s="147">
        <v>1.03</v>
      </c>
      <c r="L196" s="147">
        <v>1.03</v>
      </c>
      <c r="M196" s="147">
        <v>1.03</v>
      </c>
      <c r="N196" s="147">
        <v>1.03</v>
      </c>
      <c r="O196" s="147">
        <v>1.03</v>
      </c>
      <c r="P196" s="147">
        <v>1.03</v>
      </c>
      <c r="Q196" s="147">
        <v>1.03</v>
      </c>
      <c r="R196" s="147">
        <v>1.03</v>
      </c>
      <c r="S196" s="147">
        <v>1.03</v>
      </c>
      <c r="T196" s="147">
        <v>1.03</v>
      </c>
      <c r="U196" s="147"/>
      <c r="V196" s="147">
        <v>1.03</v>
      </c>
      <c r="W196" s="147">
        <v>1.03</v>
      </c>
      <c r="X196" s="147">
        <v>1.03</v>
      </c>
      <c r="Y196" s="147">
        <v>0.99</v>
      </c>
      <c r="Z196" s="147">
        <v>0.99</v>
      </c>
      <c r="AA196" s="147">
        <v>0.99</v>
      </c>
      <c r="AB196" s="147">
        <v>0.99</v>
      </c>
      <c r="AC196" s="147">
        <v>0.99</v>
      </c>
      <c r="AD196" s="147">
        <v>0.94</v>
      </c>
      <c r="AE196" s="147">
        <v>0.94</v>
      </c>
      <c r="AF196" s="147">
        <v>0.94</v>
      </c>
      <c r="AG196" s="147">
        <v>0.94</v>
      </c>
      <c r="AH196" s="147">
        <v>0.94</v>
      </c>
      <c r="AI196" s="147">
        <v>0.9</v>
      </c>
      <c r="AJ196" s="147">
        <v>0.9</v>
      </c>
      <c r="AK196" s="147">
        <v>0.9</v>
      </c>
      <c r="AL196" s="147">
        <v>0.9</v>
      </c>
      <c r="AM196" s="147">
        <v>0.9</v>
      </c>
      <c r="AN196" s="147">
        <v>0.85</v>
      </c>
      <c r="AO196" s="147">
        <v>0.85</v>
      </c>
      <c r="AP196" s="147">
        <v>0.85</v>
      </c>
      <c r="AQ196" s="147">
        <v>0.85</v>
      </c>
      <c r="AR196" s="147">
        <v>0.85</v>
      </c>
      <c r="AS196" s="147">
        <v>0.8</v>
      </c>
      <c r="AT196" s="147">
        <v>0.8</v>
      </c>
      <c r="AU196" s="147">
        <v>0.8</v>
      </c>
      <c r="AV196" s="147">
        <v>0.8</v>
      </c>
      <c r="AW196" s="147">
        <v>0.8</v>
      </c>
      <c r="AX196" s="147">
        <v>0.75</v>
      </c>
      <c r="AY196" s="147">
        <v>0.75</v>
      </c>
      <c r="AZ196" s="147">
        <v>0.75</v>
      </c>
      <c r="BA196" s="147">
        <v>0.75</v>
      </c>
      <c r="BB196" s="147">
        <v>0.75</v>
      </c>
      <c r="BC196" s="147">
        <v>0.69</v>
      </c>
      <c r="BD196" s="147">
        <v>0.69</v>
      </c>
      <c r="BE196" s="147">
        <v>0.69</v>
      </c>
      <c r="BF196" s="147">
        <v>0.69</v>
      </c>
      <c r="BG196" s="147">
        <v>0.69</v>
      </c>
      <c r="BH196" s="147">
        <v>0.64</v>
      </c>
      <c r="BI196" s="147">
        <v>0.64</v>
      </c>
      <c r="BJ196" s="147">
        <v>0.64</v>
      </c>
      <c r="BK196" s="147">
        <v>0.64</v>
      </c>
      <c r="BL196" s="147">
        <v>0.64</v>
      </c>
      <c r="BM196" s="147">
        <v>0.59</v>
      </c>
      <c r="BN196" s="147">
        <v>0.59</v>
      </c>
      <c r="BO196" s="147">
        <v>0.59</v>
      </c>
      <c r="BP196" s="147">
        <v>0.59</v>
      </c>
      <c r="BQ196" s="147">
        <v>0.54</v>
      </c>
      <c r="BR196" s="147">
        <v>0.54</v>
      </c>
      <c r="BS196" s="147">
        <v>0.54</v>
      </c>
      <c r="BT196" s="147">
        <v>0.54</v>
      </c>
      <c r="BU196" s="147">
        <v>0.54</v>
      </c>
      <c r="BV196" s="147">
        <v>0.54</v>
      </c>
      <c r="BW196" s="147">
        <v>0.49</v>
      </c>
      <c r="BX196" s="147">
        <v>0.49</v>
      </c>
      <c r="BY196" s="147">
        <v>0.49</v>
      </c>
      <c r="BZ196" s="147">
        <v>0.49</v>
      </c>
      <c r="CA196" s="147">
        <v>0.44</v>
      </c>
    </row>
    <row r="197" spans="1:79">
      <c r="A197" s="144">
        <v>32</v>
      </c>
      <c r="B197" s="147">
        <v>1.03</v>
      </c>
      <c r="C197" s="147">
        <v>1.03</v>
      </c>
      <c r="D197" s="147">
        <v>1.03</v>
      </c>
      <c r="E197" s="147">
        <v>1.03</v>
      </c>
      <c r="F197" s="147">
        <v>1.03</v>
      </c>
      <c r="G197" s="147">
        <v>1.03</v>
      </c>
      <c r="H197" s="147">
        <v>1.03</v>
      </c>
      <c r="I197" s="147">
        <v>1.03</v>
      </c>
      <c r="J197" s="147">
        <v>1.03</v>
      </c>
      <c r="K197" s="147">
        <v>1.03</v>
      </c>
      <c r="L197" s="147">
        <v>1.03</v>
      </c>
      <c r="M197" s="147">
        <v>1.03</v>
      </c>
      <c r="N197" s="147">
        <v>1.03</v>
      </c>
      <c r="O197" s="147">
        <v>1.03</v>
      </c>
      <c r="P197" s="147">
        <v>1.03</v>
      </c>
      <c r="Q197" s="147">
        <v>1.03</v>
      </c>
      <c r="R197" s="147">
        <v>1.03</v>
      </c>
      <c r="S197" s="147">
        <v>1.03</v>
      </c>
      <c r="T197" s="147">
        <v>1.03</v>
      </c>
      <c r="U197" s="147"/>
      <c r="V197" s="147">
        <v>1.03</v>
      </c>
      <c r="W197" s="147">
        <v>1.03</v>
      </c>
      <c r="X197" s="147">
        <v>1.03</v>
      </c>
      <c r="Y197" s="147">
        <v>0.99</v>
      </c>
      <c r="Z197" s="147">
        <v>0.99</v>
      </c>
      <c r="AA197" s="147">
        <v>0.99</v>
      </c>
      <c r="AB197" s="147">
        <v>0.99</v>
      </c>
      <c r="AC197" s="147">
        <v>0.99</v>
      </c>
      <c r="AD197" s="147">
        <v>0.94</v>
      </c>
      <c r="AE197" s="147">
        <v>0.94</v>
      </c>
      <c r="AF197" s="147">
        <v>0.94</v>
      </c>
      <c r="AG197" s="147">
        <v>0.94</v>
      </c>
      <c r="AH197" s="147">
        <v>0.94</v>
      </c>
      <c r="AI197" s="147">
        <v>0.9</v>
      </c>
      <c r="AJ197" s="147">
        <v>0.9</v>
      </c>
      <c r="AK197" s="147">
        <v>0.9</v>
      </c>
      <c r="AL197" s="147">
        <v>0.9</v>
      </c>
      <c r="AM197" s="147">
        <v>0.9</v>
      </c>
      <c r="AN197" s="147">
        <v>0.85</v>
      </c>
      <c r="AO197" s="147">
        <v>0.85</v>
      </c>
      <c r="AP197" s="147">
        <v>0.85</v>
      </c>
      <c r="AQ197" s="147">
        <v>0.85</v>
      </c>
      <c r="AR197" s="147">
        <v>0.85</v>
      </c>
      <c r="AS197" s="147">
        <v>0.8</v>
      </c>
      <c r="AT197" s="147">
        <v>0.8</v>
      </c>
      <c r="AU197" s="147">
        <v>0.8</v>
      </c>
      <c r="AV197" s="147">
        <v>0.8</v>
      </c>
      <c r="AW197" s="147">
        <v>0.8</v>
      </c>
      <c r="AX197" s="147">
        <v>0.75</v>
      </c>
      <c r="AY197" s="147">
        <v>0.75</v>
      </c>
      <c r="AZ197" s="147">
        <v>0.75</v>
      </c>
      <c r="BA197" s="147">
        <v>0.75</v>
      </c>
      <c r="BB197" s="147">
        <v>0.75</v>
      </c>
      <c r="BC197" s="147">
        <v>0.69</v>
      </c>
      <c r="BD197" s="147">
        <v>0.69</v>
      </c>
      <c r="BE197" s="147">
        <v>0.69</v>
      </c>
      <c r="BF197" s="147">
        <v>0.69</v>
      </c>
      <c r="BG197" s="147">
        <v>0.69</v>
      </c>
      <c r="BH197" s="147">
        <v>0.64</v>
      </c>
      <c r="BI197" s="147">
        <v>0.64</v>
      </c>
      <c r="BJ197" s="147">
        <v>0.64</v>
      </c>
      <c r="BK197" s="147">
        <v>0.64</v>
      </c>
      <c r="BL197" s="147">
        <v>0.64</v>
      </c>
      <c r="BM197" s="147">
        <v>0.59</v>
      </c>
      <c r="BN197" s="147">
        <v>0.59</v>
      </c>
      <c r="BO197" s="147">
        <v>0.59</v>
      </c>
      <c r="BP197" s="147">
        <v>0.59</v>
      </c>
      <c r="BQ197" s="147">
        <v>0.54</v>
      </c>
      <c r="BR197" s="147">
        <v>0.54</v>
      </c>
      <c r="BS197" s="147">
        <v>0.54</v>
      </c>
      <c r="BT197" s="147">
        <v>0.54</v>
      </c>
      <c r="BU197" s="147">
        <v>0.54</v>
      </c>
      <c r="BV197" s="147">
        <v>0.54</v>
      </c>
      <c r="BW197" s="147">
        <v>0.49</v>
      </c>
      <c r="BX197" s="147">
        <v>0.49</v>
      </c>
      <c r="BY197" s="147">
        <v>0.49</v>
      </c>
      <c r="BZ197" s="147">
        <v>0.49</v>
      </c>
      <c r="CA197" s="147">
        <v>0.44</v>
      </c>
    </row>
    <row r="198" spans="1:79">
      <c r="A198" s="144">
        <v>33</v>
      </c>
      <c r="B198" s="147">
        <v>1.03</v>
      </c>
      <c r="C198" s="147">
        <v>1.03</v>
      </c>
      <c r="D198" s="147">
        <v>1.03</v>
      </c>
      <c r="E198" s="147">
        <v>1.03</v>
      </c>
      <c r="F198" s="147">
        <v>1.03</v>
      </c>
      <c r="G198" s="147">
        <v>1.03</v>
      </c>
      <c r="H198" s="147">
        <v>1.03</v>
      </c>
      <c r="I198" s="147">
        <v>1.03</v>
      </c>
      <c r="J198" s="147">
        <v>1.03</v>
      </c>
      <c r="K198" s="147">
        <v>1.03</v>
      </c>
      <c r="L198" s="147">
        <v>1.03</v>
      </c>
      <c r="M198" s="147">
        <v>1.03</v>
      </c>
      <c r="N198" s="147">
        <v>1.03</v>
      </c>
      <c r="O198" s="147">
        <v>1.03</v>
      </c>
      <c r="P198" s="147">
        <v>1.03</v>
      </c>
      <c r="Q198" s="147">
        <v>1.03</v>
      </c>
      <c r="R198" s="147">
        <v>1.03</v>
      </c>
      <c r="S198" s="147">
        <v>1.03</v>
      </c>
      <c r="T198" s="147">
        <v>1.03</v>
      </c>
      <c r="U198" s="147"/>
      <c r="V198" s="147">
        <v>1.03</v>
      </c>
      <c r="W198" s="147">
        <v>1.03</v>
      </c>
      <c r="X198" s="147">
        <v>1.03</v>
      </c>
      <c r="Y198" s="147">
        <v>0.99</v>
      </c>
      <c r="Z198" s="147">
        <v>0.99</v>
      </c>
      <c r="AA198" s="147">
        <v>0.99</v>
      </c>
      <c r="AB198" s="147">
        <v>0.99</v>
      </c>
      <c r="AC198" s="147">
        <v>0.99</v>
      </c>
      <c r="AD198" s="147">
        <v>0.94</v>
      </c>
      <c r="AE198" s="147">
        <v>0.94</v>
      </c>
      <c r="AF198" s="147">
        <v>0.94</v>
      </c>
      <c r="AG198" s="147">
        <v>0.94</v>
      </c>
      <c r="AH198" s="147">
        <v>0.94</v>
      </c>
      <c r="AI198" s="147">
        <v>0.9</v>
      </c>
      <c r="AJ198" s="147">
        <v>0.9</v>
      </c>
      <c r="AK198" s="147">
        <v>0.9</v>
      </c>
      <c r="AL198" s="147">
        <v>0.9</v>
      </c>
      <c r="AM198" s="147">
        <v>0.9</v>
      </c>
      <c r="AN198" s="147">
        <v>0.85</v>
      </c>
      <c r="AO198" s="147">
        <v>0.85</v>
      </c>
      <c r="AP198" s="147">
        <v>0.85</v>
      </c>
      <c r="AQ198" s="147">
        <v>0.85</v>
      </c>
      <c r="AR198" s="147">
        <v>0.85</v>
      </c>
      <c r="AS198" s="147">
        <v>0.8</v>
      </c>
      <c r="AT198" s="147">
        <v>0.8</v>
      </c>
      <c r="AU198" s="147">
        <v>0.8</v>
      </c>
      <c r="AV198" s="147">
        <v>0.8</v>
      </c>
      <c r="AW198" s="147">
        <v>0.8</v>
      </c>
      <c r="AX198" s="147">
        <v>0.75</v>
      </c>
      <c r="AY198" s="147">
        <v>0.75</v>
      </c>
      <c r="AZ198" s="147">
        <v>0.75</v>
      </c>
      <c r="BA198" s="147">
        <v>0.75</v>
      </c>
      <c r="BB198" s="147">
        <v>0.75</v>
      </c>
      <c r="BC198" s="147">
        <v>0.69</v>
      </c>
      <c r="BD198" s="147">
        <v>0.69</v>
      </c>
      <c r="BE198" s="147">
        <v>0.69</v>
      </c>
      <c r="BF198" s="147">
        <v>0.69</v>
      </c>
      <c r="BG198" s="147">
        <v>0.69</v>
      </c>
      <c r="BH198" s="147">
        <v>0.64</v>
      </c>
      <c r="BI198" s="147">
        <v>0.64</v>
      </c>
      <c r="BJ198" s="147">
        <v>0.64</v>
      </c>
      <c r="BK198" s="147">
        <v>0.64</v>
      </c>
      <c r="BL198" s="147">
        <v>0.64</v>
      </c>
      <c r="BM198" s="147">
        <v>0.59</v>
      </c>
      <c r="BN198" s="147">
        <v>0.59</v>
      </c>
      <c r="BO198" s="147">
        <v>0.59</v>
      </c>
      <c r="BP198" s="147">
        <v>0.59</v>
      </c>
      <c r="BQ198" s="147">
        <v>0.54</v>
      </c>
      <c r="BR198" s="147">
        <v>0.54</v>
      </c>
      <c r="BS198" s="147">
        <v>0.54</v>
      </c>
      <c r="BT198" s="147">
        <v>0.54</v>
      </c>
      <c r="BU198" s="147">
        <v>0.54</v>
      </c>
      <c r="BV198" s="147">
        <v>0.54</v>
      </c>
      <c r="BW198" s="147">
        <v>0.49</v>
      </c>
      <c r="BX198" s="147">
        <v>0.49</v>
      </c>
      <c r="BY198" s="147">
        <v>0.49</v>
      </c>
      <c r="BZ198" s="147">
        <v>0.49</v>
      </c>
      <c r="CA198" s="147">
        <v>0.44</v>
      </c>
    </row>
    <row r="199" spans="1:79">
      <c r="A199" s="144">
        <v>34</v>
      </c>
      <c r="B199" s="147">
        <v>1.03</v>
      </c>
      <c r="C199" s="147">
        <v>1.03</v>
      </c>
      <c r="D199" s="147">
        <v>1.03</v>
      </c>
      <c r="E199" s="147">
        <v>1.03</v>
      </c>
      <c r="F199" s="147">
        <v>1.03</v>
      </c>
      <c r="G199" s="147">
        <v>1.03</v>
      </c>
      <c r="H199" s="147">
        <v>1.03</v>
      </c>
      <c r="I199" s="147">
        <v>1.03</v>
      </c>
      <c r="J199" s="147">
        <v>1.03</v>
      </c>
      <c r="K199" s="147">
        <v>1.03</v>
      </c>
      <c r="L199" s="147">
        <v>1.03</v>
      </c>
      <c r="M199" s="147">
        <v>1.03</v>
      </c>
      <c r="N199" s="147">
        <v>1.03</v>
      </c>
      <c r="O199" s="147">
        <v>1.03</v>
      </c>
      <c r="P199" s="147">
        <v>1.03</v>
      </c>
      <c r="Q199" s="147">
        <v>1.03</v>
      </c>
      <c r="R199" s="147">
        <v>1.03</v>
      </c>
      <c r="S199" s="147">
        <v>1.03</v>
      </c>
      <c r="T199" s="147">
        <v>1.03</v>
      </c>
      <c r="U199" s="147"/>
      <c r="V199" s="147">
        <v>1.03</v>
      </c>
      <c r="W199" s="147">
        <v>1.03</v>
      </c>
      <c r="X199" s="147">
        <v>1.03</v>
      </c>
      <c r="Y199" s="147">
        <v>0.99</v>
      </c>
      <c r="Z199" s="147">
        <v>0.99</v>
      </c>
      <c r="AA199" s="147">
        <v>0.99</v>
      </c>
      <c r="AB199" s="147">
        <v>0.99</v>
      </c>
      <c r="AC199" s="147">
        <v>0.99</v>
      </c>
      <c r="AD199" s="147">
        <v>0.94</v>
      </c>
      <c r="AE199" s="147">
        <v>0.94</v>
      </c>
      <c r="AF199" s="147">
        <v>0.94</v>
      </c>
      <c r="AG199" s="147">
        <v>0.94</v>
      </c>
      <c r="AH199" s="147">
        <v>0.94</v>
      </c>
      <c r="AI199" s="147">
        <v>0.9</v>
      </c>
      <c r="AJ199" s="147">
        <v>0.9</v>
      </c>
      <c r="AK199" s="147">
        <v>0.9</v>
      </c>
      <c r="AL199" s="147">
        <v>0.9</v>
      </c>
      <c r="AM199" s="147">
        <v>0.9</v>
      </c>
      <c r="AN199" s="147">
        <v>0.85</v>
      </c>
      <c r="AO199" s="147">
        <v>0.85</v>
      </c>
      <c r="AP199" s="147">
        <v>0.85</v>
      </c>
      <c r="AQ199" s="147">
        <v>0.85</v>
      </c>
      <c r="AR199" s="147">
        <v>0.85</v>
      </c>
      <c r="AS199" s="147">
        <v>0.8</v>
      </c>
      <c r="AT199" s="147">
        <v>0.8</v>
      </c>
      <c r="AU199" s="147">
        <v>0.8</v>
      </c>
      <c r="AV199" s="147">
        <v>0.8</v>
      </c>
      <c r="AW199" s="147">
        <v>0.8</v>
      </c>
      <c r="AX199" s="147">
        <v>0.75</v>
      </c>
      <c r="AY199" s="147">
        <v>0.75</v>
      </c>
      <c r="AZ199" s="147">
        <v>0.75</v>
      </c>
      <c r="BA199" s="147">
        <v>0.75</v>
      </c>
      <c r="BB199" s="147">
        <v>0.75</v>
      </c>
      <c r="BC199" s="147">
        <v>0.69</v>
      </c>
      <c r="BD199" s="147">
        <v>0.69</v>
      </c>
      <c r="BE199" s="147">
        <v>0.69</v>
      </c>
      <c r="BF199" s="147">
        <v>0.69</v>
      </c>
      <c r="BG199" s="147">
        <v>0.69</v>
      </c>
      <c r="BH199" s="147">
        <v>0.64</v>
      </c>
      <c r="BI199" s="147">
        <v>0.64</v>
      </c>
      <c r="BJ199" s="147">
        <v>0.64</v>
      </c>
      <c r="BK199" s="147">
        <v>0.64</v>
      </c>
      <c r="BL199" s="147">
        <v>0.64</v>
      </c>
      <c r="BM199" s="147">
        <v>0.59</v>
      </c>
      <c r="BN199" s="147">
        <v>0.59</v>
      </c>
      <c r="BO199" s="147">
        <v>0.59</v>
      </c>
      <c r="BP199" s="147">
        <v>0.59</v>
      </c>
      <c r="BQ199" s="147">
        <v>0.54</v>
      </c>
      <c r="BR199" s="147">
        <v>0.54</v>
      </c>
      <c r="BS199" s="147">
        <v>0.54</v>
      </c>
      <c r="BT199" s="147">
        <v>0.54</v>
      </c>
      <c r="BU199" s="147">
        <v>0.54</v>
      </c>
      <c r="BV199" s="147">
        <v>0.54</v>
      </c>
      <c r="BW199" s="147">
        <v>0.49</v>
      </c>
      <c r="BX199" s="147">
        <v>0.49</v>
      </c>
      <c r="BY199" s="147">
        <v>0.49</v>
      </c>
      <c r="BZ199" s="147">
        <v>0.49</v>
      </c>
      <c r="CA199" s="147">
        <v>0.44</v>
      </c>
    </row>
    <row r="200" spans="1:79">
      <c r="A200" s="144">
        <v>35</v>
      </c>
      <c r="B200" s="147">
        <v>1.03</v>
      </c>
      <c r="C200" s="147">
        <v>1.03</v>
      </c>
      <c r="D200" s="147">
        <v>1.03</v>
      </c>
      <c r="E200" s="147">
        <v>1.03</v>
      </c>
      <c r="F200" s="147">
        <v>1.03</v>
      </c>
      <c r="G200" s="147">
        <v>1.03</v>
      </c>
      <c r="H200" s="147">
        <v>1.03</v>
      </c>
      <c r="I200" s="147">
        <v>1.03</v>
      </c>
      <c r="J200" s="147">
        <v>1.03</v>
      </c>
      <c r="K200" s="147">
        <v>1.03</v>
      </c>
      <c r="L200" s="147">
        <v>1.03</v>
      </c>
      <c r="M200" s="147">
        <v>1.03</v>
      </c>
      <c r="N200" s="147">
        <v>1.03</v>
      </c>
      <c r="O200" s="147">
        <v>1.03</v>
      </c>
      <c r="P200" s="147">
        <v>1.03</v>
      </c>
      <c r="Q200" s="147">
        <v>1.03</v>
      </c>
      <c r="R200" s="147">
        <v>1.03</v>
      </c>
      <c r="S200" s="147">
        <v>1.03</v>
      </c>
      <c r="T200" s="147">
        <v>1.03</v>
      </c>
      <c r="U200" s="147"/>
      <c r="V200" s="147">
        <v>1.03</v>
      </c>
      <c r="W200" s="147">
        <v>1.03</v>
      </c>
      <c r="X200" s="147">
        <v>1.03</v>
      </c>
      <c r="Y200" s="147">
        <v>0.99</v>
      </c>
      <c r="Z200" s="147">
        <v>0.99</v>
      </c>
      <c r="AA200" s="147">
        <v>0.99</v>
      </c>
      <c r="AB200" s="147">
        <v>0.99</v>
      </c>
      <c r="AC200" s="147">
        <v>0.99</v>
      </c>
      <c r="AD200" s="147">
        <v>0.94</v>
      </c>
      <c r="AE200" s="147">
        <v>0.94</v>
      </c>
      <c r="AF200" s="147">
        <v>0.94</v>
      </c>
      <c r="AG200" s="147">
        <v>0.94</v>
      </c>
      <c r="AH200" s="147">
        <v>0.94</v>
      </c>
      <c r="AI200" s="147">
        <v>0.9</v>
      </c>
      <c r="AJ200" s="147">
        <v>0.9</v>
      </c>
      <c r="AK200" s="147">
        <v>0.9</v>
      </c>
      <c r="AL200" s="147">
        <v>0.9</v>
      </c>
      <c r="AM200" s="147">
        <v>0.9</v>
      </c>
      <c r="AN200" s="147">
        <v>0.85</v>
      </c>
      <c r="AO200" s="147">
        <v>0.85</v>
      </c>
      <c r="AP200" s="147">
        <v>0.85</v>
      </c>
      <c r="AQ200" s="147">
        <v>0.85</v>
      </c>
      <c r="AR200" s="147">
        <v>0.85</v>
      </c>
      <c r="AS200" s="147">
        <v>0.8</v>
      </c>
      <c r="AT200" s="147">
        <v>0.8</v>
      </c>
      <c r="AU200" s="147">
        <v>0.8</v>
      </c>
      <c r="AV200" s="147">
        <v>0.8</v>
      </c>
      <c r="AW200" s="147">
        <v>0.8</v>
      </c>
      <c r="AX200" s="147">
        <v>0.75</v>
      </c>
      <c r="AY200" s="147">
        <v>0.75</v>
      </c>
      <c r="AZ200" s="147">
        <v>0.75</v>
      </c>
      <c r="BA200" s="147">
        <v>0.75</v>
      </c>
      <c r="BB200" s="147">
        <v>0.75</v>
      </c>
      <c r="BC200" s="147">
        <v>0.69</v>
      </c>
      <c r="BD200" s="147">
        <v>0.69</v>
      </c>
      <c r="BE200" s="147">
        <v>0.69</v>
      </c>
      <c r="BF200" s="147">
        <v>0.69</v>
      </c>
      <c r="BG200" s="147">
        <v>0.69</v>
      </c>
      <c r="BH200" s="147">
        <v>0.64</v>
      </c>
      <c r="BI200" s="147">
        <v>0.64</v>
      </c>
      <c r="BJ200" s="147">
        <v>0.64</v>
      </c>
      <c r="BK200" s="147">
        <v>0.64</v>
      </c>
      <c r="BL200" s="147">
        <v>0.64</v>
      </c>
      <c r="BM200" s="147">
        <v>0.59</v>
      </c>
      <c r="BN200" s="147">
        <v>0.59</v>
      </c>
      <c r="BO200" s="147">
        <v>0.59</v>
      </c>
      <c r="BP200" s="147">
        <v>0.59</v>
      </c>
      <c r="BQ200" s="147">
        <v>0.54</v>
      </c>
      <c r="BR200" s="147">
        <v>0.54</v>
      </c>
      <c r="BS200" s="147">
        <v>0.54</v>
      </c>
      <c r="BT200" s="147">
        <v>0.54</v>
      </c>
      <c r="BU200" s="147">
        <v>0.54</v>
      </c>
      <c r="BV200" s="147">
        <v>0.54</v>
      </c>
      <c r="BW200" s="147">
        <v>0.49</v>
      </c>
      <c r="BX200" s="147">
        <v>0.49</v>
      </c>
      <c r="BY200" s="147">
        <v>0.49</v>
      </c>
      <c r="BZ200" s="147">
        <v>0.49</v>
      </c>
      <c r="CA200" s="147">
        <v>0.44</v>
      </c>
    </row>
    <row r="201" spans="1:79">
      <c r="A201" s="144">
        <v>36</v>
      </c>
      <c r="B201" s="147">
        <v>1.03</v>
      </c>
      <c r="C201" s="147">
        <v>1.03</v>
      </c>
      <c r="D201" s="147">
        <v>1.03</v>
      </c>
      <c r="E201" s="147">
        <v>1.03</v>
      </c>
      <c r="F201" s="147">
        <v>1.03</v>
      </c>
      <c r="G201" s="147">
        <v>1.03</v>
      </c>
      <c r="H201" s="147">
        <v>1.03</v>
      </c>
      <c r="I201" s="147">
        <v>1.03</v>
      </c>
      <c r="J201" s="147">
        <v>1.03</v>
      </c>
      <c r="K201" s="147">
        <v>1.03</v>
      </c>
      <c r="L201" s="147">
        <v>1.03</v>
      </c>
      <c r="M201" s="147">
        <v>1.03</v>
      </c>
      <c r="N201" s="147">
        <v>1.03</v>
      </c>
      <c r="O201" s="147">
        <v>1.03</v>
      </c>
      <c r="P201" s="147">
        <v>1.03</v>
      </c>
      <c r="Q201" s="147">
        <v>1.03</v>
      </c>
      <c r="R201" s="147">
        <v>1.03</v>
      </c>
      <c r="S201" s="147">
        <v>1.03</v>
      </c>
      <c r="T201" s="147">
        <v>1.03</v>
      </c>
      <c r="U201" s="147"/>
      <c r="V201" s="147">
        <v>1.03</v>
      </c>
      <c r="W201" s="147">
        <v>1.03</v>
      </c>
      <c r="X201" s="147">
        <v>1.03</v>
      </c>
      <c r="Y201" s="147">
        <v>0.99</v>
      </c>
      <c r="Z201" s="147">
        <v>0.99</v>
      </c>
      <c r="AA201" s="147">
        <v>0.99</v>
      </c>
      <c r="AB201" s="147">
        <v>0.99</v>
      </c>
      <c r="AC201" s="147">
        <v>0.99</v>
      </c>
      <c r="AD201" s="147">
        <v>0.94</v>
      </c>
      <c r="AE201" s="147">
        <v>0.94</v>
      </c>
      <c r="AF201" s="147">
        <v>0.94</v>
      </c>
      <c r="AG201" s="147">
        <v>0.94</v>
      </c>
      <c r="AH201" s="147">
        <v>0.94</v>
      </c>
      <c r="AI201" s="147">
        <v>0.9</v>
      </c>
      <c r="AJ201" s="147">
        <v>0.9</v>
      </c>
      <c r="AK201" s="147">
        <v>0.9</v>
      </c>
      <c r="AL201" s="147">
        <v>0.9</v>
      </c>
      <c r="AM201" s="147">
        <v>0.9</v>
      </c>
      <c r="AN201" s="147">
        <v>0.85</v>
      </c>
      <c r="AO201" s="147">
        <v>0.85</v>
      </c>
      <c r="AP201" s="147">
        <v>0.85</v>
      </c>
      <c r="AQ201" s="147">
        <v>0.85</v>
      </c>
      <c r="AR201" s="147">
        <v>0.85</v>
      </c>
      <c r="AS201" s="147">
        <v>0.8</v>
      </c>
      <c r="AT201" s="147">
        <v>0.8</v>
      </c>
      <c r="AU201" s="147">
        <v>0.8</v>
      </c>
      <c r="AV201" s="147">
        <v>0.8</v>
      </c>
      <c r="AW201" s="147">
        <v>0.8</v>
      </c>
      <c r="AX201" s="147">
        <v>0.75</v>
      </c>
      <c r="AY201" s="147">
        <v>0.75</v>
      </c>
      <c r="AZ201" s="147">
        <v>0.75</v>
      </c>
      <c r="BA201" s="147">
        <v>0.75</v>
      </c>
      <c r="BB201" s="147">
        <v>0.75</v>
      </c>
      <c r="BC201" s="147">
        <v>0.69</v>
      </c>
      <c r="BD201" s="147">
        <v>0.69</v>
      </c>
      <c r="BE201" s="147">
        <v>0.69</v>
      </c>
      <c r="BF201" s="147">
        <v>0.69</v>
      </c>
      <c r="BG201" s="147">
        <v>0.69</v>
      </c>
      <c r="BH201" s="147">
        <v>0.64</v>
      </c>
      <c r="BI201" s="147">
        <v>0.64</v>
      </c>
      <c r="BJ201" s="147">
        <v>0.64</v>
      </c>
      <c r="BK201" s="147">
        <v>0.64</v>
      </c>
      <c r="BL201" s="147">
        <v>0.64</v>
      </c>
      <c r="BM201" s="147">
        <v>0.59</v>
      </c>
      <c r="BN201" s="147">
        <v>0.59</v>
      </c>
      <c r="BO201" s="147">
        <v>0.59</v>
      </c>
      <c r="BP201" s="147">
        <v>0.59</v>
      </c>
      <c r="BQ201" s="147">
        <v>0.54</v>
      </c>
      <c r="BR201" s="147">
        <v>0.54</v>
      </c>
      <c r="BS201" s="147">
        <v>0.54</v>
      </c>
      <c r="BT201" s="147">
        <v>0.54</v>
      </c>
      <c r="BU201" s="147">
        <v>0.54</v>
      </c>
      <c r="BV201" s="147">
        <v>0.54</v>
      </c>
      <c r="BW201" s="147">
        <v>0.49</v>
      </c>
      <c r="BX201" s="147">
        <v>0.49</v>
      </c>
      <c r="BY201" s="147">
        <v>0.49</v>
      </c>
      <c r="BZ201" s="147">
        <v>0.49</v>
      </c>
      <c r="CA201" s="147">
        <v>0.44</v>
      </c>
    </row>
    <row r="202" spans="1:79">
      <c r="A202" s="144">
        <v>37</v>
      </c>
      <c r="B202" s="147">
        <v>1.03</v>
      </c>
      <c r="C202" s="147">
        <v>1.03</v>
      </c>
      <c r="D202" s="147">
        <v>1.03</v>
      </c>
      <c r="E202" s="147">
        <v>1.03</v>
      </c>
      <c r="F202" s="147">
        <v>1.03</v>
      </c>
      <c r="G202" s="147">
        <v>1.03</v>
      </c>
      <c r="H202" s="147">
        <v>1.03</v>
      </c>
      <c r="I202" s="147">
        <v>1.03</v>
      </c>
      <c r="J202" s="147">
        <v>1.03</v>
      </c>
      <c r="K202" s="147">
        <v>1.03</v>
      </c>
      <c r="L202" s="147">
        <v>1.03</v>
      </c>
      <c r="M202" s="147">
        <v>1.03</v>
      </c>
      <c r="N202" s="147">
        <v>1.03</v>
      </c>
      <c r="O202" s="147">
        <v>1.03</v>
      </c>
      <c r="P202" s="147">
        <v>1.03</v>
      </c>
      <c r="Q202" s="147">
        <v>1.03</v>
      </c>
      <c r="R202" s="147">
        <v>1.03</v>
      </c>
      <c r="S202" s="147">
        <v>1.03</v>
      </c>
      <c r="T202" s="147">
        <v>1.03</v>
      </c>
      <c r="U202" s="147"/>
      <c r="V202" s="147">
        <v>1.03</v>
      </c>
      <c r="W202" s="147">
        <v>1.03</v>
      </c>
      <c r="X202" s="147">
        <v>1.03</v>
      </c>
      <c r="Y202" s="147">
        <v>0.99</v>
      </c>
      <c r="Z202" s="147">
        <v>0.99</v>
      </c>
      <c r="AA202" s="147">
        <v>0.99</v>
      </c>
      <c r="AB202" s="147">
        <v>0.99</v>
      </c>
      <c r="AC202" s="147">
        <v>0.99</v>
      </c>
      <c r="AD202" s="147">
        <v>0.94</v>
      </c>
      <c r="AE202" s="147">
        <v>0.94</v>
      </c>
      <c r="AF202" s="147">
        <v>0.94</v>
      </c>
      <c r="AG202" s="147">
        <v>0.94</v>
      </c>
      <c r="AH202" s="147">
        <v>0.94</v>
      </c>
      <c r="AI202" s="147">
        <v>0.9</v>
      </c>
      <c r="AJ202" s="147">
        <v>0.9</v>
      </c>
      <c r="AK202" s="147">
        <v>0.9</v>
      </c>
      <c r="AL202" s="147">
        <v>0.9</v>
      </c>
      <c r="AM202" s="147">
        <v>0.9</v>
      </c>
      <c r="AN202" s="147">
        <v>0.85</v>
      </c>
      <c r="AO202" s="147">
        <v>0.85</v>
      </c>
      <c r="AP202" s="147">
        <v>0.85</v>
      </c>
      <c r="AQ202" s="147">
        <v>0.85</v>
      </c>
      <c r="AR202" s="147">
        <v>0.85</v>
      </c>
      <c r="AS202" s="147">
        <v>0.8</v>
      </c>
      <c r="AT202" s="147">
        <v>0.8</v>
      </c>
      <c r="AU202" s="147">
        <v>0.8</v>
      </c>
      <c r="AV202" s="147">
        <v>0.8</v>
      </c>
      <c r="AW202" s="147">
        <v>0.8</v>
      </c>
      <c r="AX202" s="147">
        <v>0.75</v>
      </c>
      <c r="AY202" s="147">
        <v>0.75</v>
      </c>
      <c r="AZ202" s="147">
        <v>0.75</v>
      </c>
      <c r="BA202" s="147">
        <v>0.75</v>
      </c>
      <c r="BB202" s="147">
        <v>0.75</v>
      </c>
      <c r="BC202" s="147">
        <v>0.69</v>
      </c>
      <c r="BD202" s="147">
        <v>0.69</v>
      </c>
      <c r="BE202" s="147">
        <v>0.69</v>
      </c>
      <c r="BF202" s="147">
        <v>0.69</v>
      </c>
      <c r="BG202" s="147">
        <v>0.69</v>
      </c>
      <c r="BH202" s="147">
        <v>0.64</v>
      </c>
      <c r="BI202" s="147">
        <v>0.64</v>
      </c>
      <c r="BJ202" s="147">
        <v>0.64</v>
      </c>
      <c r="BK202" s="147">
        <v>0.64</v>
      </c>
      <c r="BL202" s="147">
        <v>0.64</v>
      </c>
      <c r="BM202" s="147">
        <v>0.59</v>
      </c>
      <c r="BN202" s="147">
        <v>0.59</v>
      </c>
      <c r="BO202" s="147">
        <v>0.59</v>
      </c>
      <c r="BP202" s="147">
        <v>0.59</v>
      </c>
      <c r="BQ202" s="147">
        <v>0.54</v>
      </c>
      <c r="BR202" s="147">
        <v>0.54</v>
      </c>
      <c r="BS202" s="147">
        <v>0.54</v>
      </c>
      <c r="BT202" s="147">
        <v>0.54</v>
      </c>
      <c r="BU202" s="147">
        <v>0.54</v>
      </c>
      <c r="BV202" s="147">
        <v>0.54</v>
      </c>
      <c r="BW202" s="147">
        <v>0.49</v>
      </c>
      <c r="BX202" s="147">
        <v>0.49</v>
      </c>
      <c r="BY202" s="147">
        <v>0.49</v>
      </c>
      <c r="BZ202" s="147">
        <v>0.49</v>
      </c>
      <c r="CA202" s="147">
        <v>0.44</v>
      </c>
    </row>
    <row r="203" spans="1:79">
      <c r="A203" s="144">
        <v>38</v>
      </c>
      <c r="B203" s="147">
        <v>1.03</v>
      </c>
      <c r="C203" s="147">
        <v>1.03</v>
      </c>
      <c r="D203" s="147">
        <v>1.03</v>
      </c>
      <c r="E203" s="147">
        <v>1.03</v>
      </c>
      <c r="F203" s="147">
        <v>1.03</v>
      </c>
      <c r="G203" s="147">
        <v>1.03</v>
      </c>
      <c r="H203" s="147">
        <v>1.03</v>
      </c>
      <c r="I203" s="147">
        <v>1.03</v>
      </c>
      <c r="J203" s="147">
        <v>1.03</v>
      </c>
      <c r="K203" s="147">
        <v>1.03</v>
      </c>
      <c r="L203" s="147">
        <v>1.03</v>
      </c>
      <c r="M203" s="147">
        <v>1.03</v>
      </c>
      <c r="N203" s="147">
        <v>1.03</v>
      </c>
      <c r="O203" s="147">
        <v>1.03</v>
      </c>
      <c r="P203" s="147">
        <v>1.03</v>
      </c>
      <c r="Q203" s="147">
        <v>1.03</v>
      </c>
      <c r="R203" s="147">
        <v>1.03</v>
      </c>
      <c r="S203" s="147">
        <v>1.03</v>
      </c>
      <c r="T203" s="147">
        <v>1.03</v>
      </c>
      <c r="U203" s="147"/>
      <c r="V203" s="147">
        <v>1.03</v>
      </c>
      <c r="W203" s="147">
        <v>1.03</v>
      </c>
      <c r="X203" s="147">
        <v>1.03</v>
      </c>
      <c r="Y203" s="147">
        <v>0.99</v>
      </c>
      <c r="Z203" s="147">
        <v>0.99</v>
      </c>
      <c r="AA203" s="147">
        <v>0.99</v>
      </c>
      <c r="AB203" s="147">
        <v>0.99</v>
      </c>
      <c r="AC203" s="147">
        <v>0.99</v>
      </c>
      <c r="AD203" s="147">
        <v>0.94</v>
      </c>
      <c r="AE203" s="147">
        <v>0.94</v>
      </c>
      <c r="AF203" s="147">
        <v>0.94</v>
      </c>
      <c r="AG203" s="147">
        <v>0.94</v>
      </c>
      <c r="AH203" s="147">
        <v>0.94</v>
      </c>
      <c r="AI203" s="147">
        <v>0.9</v>
      </c>
      <c r="AJ203" s="147">
        <v>0.9</v>
      </c>
      <c r="AK203" s="147">
        <v>0.9</v>
      </c>
      <c r="AL203" s="147">
        <v>0.9</v>
      </c>
      <c r="AM203" s="147">
        <v>0.9</v>
      </c>
      <c r="AN203" s="147">
        <v>0.85</v>
      </c>
      <c r="AO203" s="147">
        <v>0.85</v>
      </c>
      <c r="AP203" s="147">
        <v>0.85</v>
      </c>
      <c r="AQ203" s="147">
        <v>0.85</v>
      </c>
      <c r="AR203" s="147">
        <v>0.85</v>
      </c>
      <c r="AS203" s="147">
        <v>0.8</v>
      </c>
      <c r="AT203" s="147">
        <v>0.8</v>
      </c>
      <c r="AU203" s="147">
        <v>0.8</v>
      </c>
      <c r="AV203" s="147">
        <v>0.8</v>
      </c>
      <c r="AW203" s="147">
        <v>0.8</v>
      </c>
      <c r="AX203" s="147">
        <v>0.75</v>
      </c>
      <c r="AY203" s="147">
        <v>0.75</v>
      </c>
      <c r="AZ203" s="147">
        <v>0.75</v>
      </c>
      <c r="BA203" s="147">
        <v>0.75</v>
      </c>
      <c r="BB203" s="147">
        <v>0.75</v>
      </c>
      <c r="BC203" s="147">
        <v>0.69</v>
      </c>
      <c r="BD203" s="147">
        <v>0.69</v>
      </c>
      <c r="BE203" s="147">
        <v>0.69</v>
      </c>
      <c r="BF203" s="147">
        <v>0.69</v>
      </c>
      <c r="BG203" s="147">
        <v>0.69</v>
      </c>
      <c r="BH203" s="147">
        <v>0.64</v>
      </c>
      <c r="BI203" s="147">
        <v>0.64</v>
      </c>
      <c r="BJ203" s="147">
        <v>0.64</v>
      </c>
      <c r="BK203" s="147">
        <v>0.64</v>
      </c>
      <c r="BL203" s="147">
        <v>0.64</v>
      </c>
      <c r="BM203" s="147">
        <v>0.59</v>
      </c>
      <c r="BN203" s="147">
        <v>0.59</v>
      </c>
      <c r="BO203" s="147">
        <v>0.59</v>
      </c>
      <c r="BP203" s="147">
        <v>0.59</v>
      </c>
      <c r="BQ203" s="147">
        <v>0.54</v>
      </c>
      <c r="BR203" s="147">
        <v>0.54</v>
      </c>
      <c r="BS203" s="147">
        <v>0.54</v>
      </c>
      <c r="BT203" s="147">
        <v>0.54</v>
      </c>
      <c r="BU203" s="147">
        <v>0.54</v>
      </c>
      <c r="BV203" s="147">
        <v>0.54</v>
      </c>
      <c r="BW203" s="147">
        <v>0.49</v>
      </c>
      <c r="BX203" s="147">
        <v>0.49</v>
      </c>
      <c r="BY203" s="147">
        <v>0.49</v>
      </c>
      <c r="BZ203" s="147">
        <v>0.49</v>
      </c>
      <c r="CA203" s="147">
        <v>0.44</v>
      </c>
    </row>
    <row r="204" spans="1:79">
      <c r="A204" s="144">
        <v>39</v>
      </c>
      <c r="B204" s="147">
        <v>1.03</v>
      </c>
      <c r="C204" s="147">
        <v>1.03</v>
      </c>
      <c r="D204" s="147">
        <v>1.03</v>
      </c>
      <c r="E204" s="147">
        <v>1.03</v>
      </c>
      <c r="F204" s="147">
        <v>1.03</v>
      </c>
      <c r="G204" s="147">
        <v>1.03</v>
      </c>
      <c r="H204" s="147">
        <v>1.03</v>
      </c>
      <c r="I204" s="147">
        <v>1.03</v>
      </c>
      <c r="J204" s="147">
        <v>1.03</v>
      </c>
      <c r="K204" s="147">
        <v>1.03</v>
      </c>
      <c r="L204" s="147">
        <v>1.03</v>
      </c>
      <c r="M204" s="147">
        <v>1.03</v>
      </c>
      <c r="N204" s="147">
        <v>1.03</v>
      </c>
      <c r="O204" s="147">
        <v>1.03</v>
      </c>
      <c r="P204" s="147">
        <v>1.03</v>
      </c>
      <c r="Q204" s="147">
        <v>1.03</v>
      </c>
      <c r="R204" s="147">
        <v>1.03</v>
      </c>
      <c r="S204" s="147">
        <v>1.03</v>
      </c>
      <c r="T204" s="147">
        <v>1.03</v>
      </c>
      <c r="U204" s="147"/>
      <c r="V204" s="147">
        <v>1.03</v>
      </c>
      <c r="W204" s="147">
        <v>1.03</v>
      </c>
      <c r="X204" s="147">
        <v>1.03</v>
      </c>
      <c r="Y204" s="147">
        <v>0.99</v>
      </c>
      <c r="Z204" s="147">
        <v>0.99</v>
      </c>
      <c r="AA204" s="147">
        <v>0.99</v>
      </c>
      <c r="AB204" s="147">
        <v>0.99</v>
      </c>
      <c r="AC204" s="147">
        <v>0.99</v>
      </c>
      <c r="AD204" s="147">
        <v>0.94</v>
      </c>
      <c r="AE204" s="147">
        <v>0.94</v>
      </c>
      <c r="AF204" s="147">
        <v>0.94</v>
      </c>
      <c r="AG204" s="147">
        <v>0.94</v>
      </c>
      <c r="AH204" s="147">
        <v>0.94</v>
      </c>
      <c r="AI204" s="147">
        <v>0.9</v>
      </c>
      <c r="AJ204" s="147">
        <v>0.9</v>
      </c>
      <c r="AK204" s="147">
        <v>0.9</v>
      </c>
      <c r="AL204" s="147">
        <v>0.9</v>
      </c>
      <c r="AM204" s="147">
        <v>0.9</v>
      </c>
      <c r="AN204" s="147">
        <v>0.85</v>
      </c>
      <c r="AO204" s="147">
        <v>0.85</v>
      </c>
      <c r="AP204" s="147">
        <v>0.85</v>
      </c>
      <c r="AQ204" s="147">
        <v>0.85</v>
      </c>
      <c r="AR204" s="147">
        <v>0.85</v>
      </c>
      <c r="AS204" s="147">
        <v>0.8</v>
      </c>
      <c r="AT204" s="147">
        <v>0.8</v>
      </c>
      <c r="AU204" s="147">
        <v>0.8</v>
      </c>
      <c r="AV204" s="147">
        <v>0.8</v>
      </c>
      <c r="AW204" s="147">
        <v>0.8</v>
      </c>
      <c r="AX204" s="147">
        <v>0.75</v>
      </c>
      <c r="AY204" s="147">
        <v>0.75</v>
      </c>
      <c r="AZ204" s="147">
        <v>0.75</v>
      </c>
      <c r="BA204" s="147">
        <v>0.75</v>
      </c>
      <c r="BB204" s="147">
        <v>0.75</v>
      </c>
      <c r="BC204" s="147">
        <v>0.69</v>
      </c>
      <c r="BD204" s="147">
        <v>0.69</v>
      </c>
      <c r="BE204" s="147">
        <v>0.69</v>
      </c>
      <c r="BF204" s="147">
        <v>0.69</v>
      </c>
      <c r="BG204" s="147">
        <v>0.69</v>
      </c>
      <c r="BH204" s="147">
        <v>0.64</v>
      </c>
      <c r="BI204" s="147">
        <v>0.64</v>
      </c>
      <c r="BJ204" s="147">
        <v>0.64</v>
      </c>
      <c r="BK204" s="147">
        <v>0.64</v>
      </c>
      <c r="BL204" s="147">
        <v>0.64</v>
      </c>
      <c r="BM204" s="147">
        <v>0.59</v>
      </c>
      <c r="BN204" s="147">
        <v>0.59</v>
      </c>
      <c r="BO204" s="147">
        <v>0.59</v>
      </c>
      <c r="BP204" s="147">
        <v>0.59</v>
      </c>
      <c r="BQ204" s="147">
        <v>0.54</v>
      </c>
      <c r="BR204" s="147">
        <v>0.54</v>
      </c>
      <c r="BS204" s="147">
        <v>0.54</v>
      </c>
      <c r="BT204" s="147">
        <v>0.54</v>
      </c>
      <c r="BU204" s="147">
        <v>0.54</v>
      </c>
      <c r="BV204" s="147">
        <v>0.54</v>
      </c>
      <c r="BW204" s="147">
        <v>0.49</v>
      </c>
      <c r="BX204" s="147">
        <v>0.49</v>
      </c>
      <c r="BY204" s="147">
        <v>0.49</v>
      </c>
      <c r="BZ204" s="147">
        <v>0.49</v>
      </c>
      <c r="CA204" s="147">
        <v>0.44</v>
      </c>
    </row>
    <row r="205" spans="1:79">
      <c r="A205" s="144">
        <v>40</v>
      </c>
      <c r="B205" s="147">
        <v>1.03</v>
      </c>
      <c r="C205" s="147">
        <v>1.03</v>
      </c>
      <c r="D205" s="147">
        <v>1.03</v>
      </c>
      <c r="E205" s="147">
        <v>1.03</v>
      </c>
      <c r="F205" s="147">
        <v>1.03</v>
      </c>
      <c r="G205" s="147">
        <v>1.03</v>
      </c>
      <c r="H205" s="147">
        <v>1.03</v>
      </c>
      <c r="I205" s="147">
        <v>1.03</v>
      </c>
      <c r="J205" s="147">
        <v>1.03</v>
      </c>
      <c r="K205" s="147">
        <v>1.03</v>
      </c>
      <c r="L205" s="147">
        <v>1.03</v>
      </c>
      <c r="M205" s="147">
        <v>1.03</v>
      </c>
      <c r="N205" s="147">
        <v>1.03</v>
      </c>
      <c r="O205" s="147">
        <v>1.03</v>
      </c>
      <c r="P205" s="147">
        <v>1.03</v>
      </c>
      <c r="Q205" s="147">
        <v>1.03</v>
      </c>
      <c r="R205" s="147">
        <v>1.03</v>
      </c>
      <c r="S205" s="147">
        <v>1.03</v>
      </c>
      <c r="T205" s="147">
        <v>1.03</v>
      </c>
      <c r="U205" s="147"/>
      <c r="V205" s="147">
        <v>1.03</v>
      </c>
      <c r="W205" s="147">
        <v>1.03</v>
      </c>
      <c r="X205" s="147">
        <v>1.03</v>
      </c>
      <c r="Y205" s="147">
        <v>0.99</v>
      </c>
      <c r="Z205" s="147">
        <v>0.99</v>
      </c>
      <c r="AA205" s="147">
        <v>0.99</v>
      </c>
      <c r="AB205" s="147">
        <v>0.99</v>
      </c>
      <c r="AC205" s="147">
        <v>0.99</v>
      </c>
      <c r="AD205" s="147">
        <v>0.94</v>
      </c>
      <c r="AE205" s="147">
        <v>0.94</v>
      </c>
      <c r="AF205" s="147">
        <v>0.94</v>
      </c>
      <c r="AG205" s="147">
        <v>0.94</v>
      </c>
      <c r="AH205" s="147">
        <v>0.94</v>
      </c>
      <c r="AI205" s="147">
        <v>0.9</v>
      </c>
      <c r="AJ205" s="147">
        <v>0.9</v>
      </c>
      <c r="AK205" s="147">
        <v>0.9</v>
      </c>
      <c r="AL205" s="147">
        <v>0.9</v>
      </c>
      <c r="AM205" s="147">
        <v>0.9</v>
      </c>
      <c r="AN205" s="147">
        <v>0.85</v>
      </c>
      <c r="AO205" s="147">
        <v>0.85</v>
      </c>
      <c r="AP205" s="147">
        <v>0.85</v>
      </c>
      <c r="AQ205" s="147">
        <v>0.85</v>
      </c>
      <c r="AR205" s="147">
        <v>0.85</v>
      </c>
      <c r="AS205" s="147">
        <v>0.8</v>
      </c>
      <c r="AT205" s="147">
        <v>0.8</v>
      </c>
      <c r="AU205" s="147">
        <v>0.8</v>
      </c>
      <c r="AV205" s="147">
        <v>0.8</v>
      </c>
      <c r="AW205" s="147">
        <v>0.8</v>
      </c>
      <c r="AX205" s="147">
        <v>0.75</v>
      </c>
      <c r="AY205" s="147">
        <v>0.75</v>
      </c>
      <c r="AZ205" s="147">
        <v>0.75</v>
      </c>
      <c r="BA205" s="147">
        <v>0.75</v>
      </c>
      <c r="BB205" s="147">
        <v>0.75</v>
      </c>
      <c r="BC205" s="147">
        <v>0.69</v>
      </c>
      <c r="BD205" s="147">
        <v>0.69</v>
      </c>
      <c r="BE205" s="147">
        <v>0.69</v>
      </c>
      <c r="BF205" s="147">
        <v>0.69</v>
      </c>
      <c r="BG205" s="147">
        <v>0.69</v>
      </c>
      <c r="BH205" s="147">
        <v>0.64</v>
      </c>
      <c r="BI205" s="147">
        <v>0.64</v>
      </c>
      <c r="BJ205" s="147">
        <v>0.64</v>
      </c>
      <c r="BK205" s="147">
        <v>0.64</v>
      </c>
      <c r="BL205" s="147">
        <v>0.64</v>
      </c>
      <c r="BM205" s="147">
        <v>0.59</v>
      </c>
      <c r="BN205" s="147">
        <v>0.59</v>
      </c>
      <c r="BO205" s="147">
        <v>0.59</v>
      </c>
      <c r="BP205" s="147">
        <v>0.59</v>
      </c>
      <c r="BQ205" s="147">
        <v>0.54</v>
      </c>
      <c r="BR205" s="147">
        <v>0.54</v>
      </c>
      <c r="BS205" s="147">
        <v>0.54</v>
      </c>
      <c r="BT205" s="147">
        <v>0.54</v>
      </c>
      <c r="BU205" s="147">
        <v>0.54</v>
      </c>
      <c r="BV205" s="147">
        <v>0.54</v>
      </c>
      <c r="BW205" s="147">
        <v>0.49</v>
      </c>
      <c r="BX205" s="147">
        <v>0.49</v>
      </c>
      <c r="BY205" s="147">
        <v>0.49</v>
      </c>
      <c r="BZ205" s="147">
        <v>0.49</v>
      </c>
      <c r="CA205" s="147">
        <v>0.44</v>
      </c>
    </row>
    <row r="206" spans="1:79">
      <c r="A206" s="144">
        <v>41</v>
      </c>
      <c r="B206" s="148">
        <v>0.98</v>
      </c>
      <c r="C206" s="148">
        <v>0.98</v>
      </c>
      <c r="D206" s="148">
        <v>0.98</v>
      </c>
      <c r="E206" s="148">
        <v>0.98</v>
      </c>
      <c r="F206" s="148">
        <v>0.98</v>
      </c>
      <c r="G206" s="148">
        <v>0.98</v>
      </c>
      <c r="H206" s="148">
        <v>0.98</v>
      </c>
      <c r="I206" s="148">
        <v>0.98</v>
      </c>
      <c r="J206" s="148">
        <v>0.98</v>
      </c>
      <c r="K206" s="148">
        <v>0.98</v>
      </c>
      <c r="L206" s="148">
        <v>0.98</v>
      </c>
      <c r="M206" s="148">
        <v>0.98</v>
      </c>
      <c r="N206" s="148">
        <v>0.98</v>
      </c>
      <c r="O206" s="148">
        <v>0.98</v>
      </c>
      <c r="P206" s="148">
        <v>0.98</v>
      </c>
      <c r="Q206" s="148">
        <v>0.98</v>
      </c>
      <c r="R206" s="148">
        <v>0.98</v>
      </c>
      <c r="S206" s="148">
        <v>0.98</v>
      </c>
      <c r="T206" s="148">
        <v>0.98</v>
      </c>
      <c r="U206" s="148"/>
      <c r="V206" s="148">
        <v>0.98</v>
      </c>
      <c r="W206" s="148">
        <v>0.98</v>
      </c>
      <c r="X206" s="148">
        <v>0.98</v>
      </c>
      <c r="Y206" s="147">
        <v>0.93</v>
      </c>
      <c r="Z206" s="147">
        <v>0.93</v>
      </c>
      <c r="AA206" s="147">
        <v>0.93</v>
      </c>
      <c r="AB206" s="147">
        <v>0.93</v>
      </c>
      <c r="AC206" s="147">
        <v>0.93</v>
      </c>
      <c r="AD206" s="147">
        <v>0.89</v>
      </c>
      <c r="AE206" s="147">
        <v>0.89</v>
      </c>
      <c r="AF206" s="147">
        <v>0.89</v>
      </c>
      <c r="AG206" s="147">
        <v>0.89</v>
      </c>
      <c r="AH206" s="147">
        <v>0.89</v>
      </c>
      <c r="AI206" s="147">
        <v>0.84</v>
      </c>
      <c r="AJ206" s="147">
        <v>0.84</v>
      </c>
      <c r="AK206" s="147">
        <v>0.84</v>
      </c>
      <c r="AL206" s="147">
        <v>0.84</v>
      </c>
      <c r="AM206" s="147">
        <v>0.84</v>
      </c>
      <c r="AN206" s="147">
        <v>0.79</v>
      </c>
      <c r="AO206" s="147">
        <v>0.79</v>
      </c>
      <c r="AP206" s="147">
        <v>0.79</v>
      </c>
      <c r="AQ206" s="147">
        <v>0.79</v>
      </c>
      <c r="AR206" s="147">
        <v>0.79</v>
      </c>
      <c r="AS206" s="147">
        <v>0.74</v>
      </c>
      <c r="AT206" s="147">
        <v>0.74</v>
      </c>
      <c r="AU206" s="147">
        <v>0.74</v>
      </c>
      <c r="AV206" s="147">
        <v>0.74</v>
      </c>
      <c r="AW206" s="147">
        <v>0.74</v>
      </c>
      <c r="AX206" s="147">
        <v>0.69</v>
      </c>
      <c r="AY206" s="147">
        <v>0.69</v>
      </c>
      <c r="AZ206" s="147">
        <v>0.69</v>
      </c>
      <c r="BA206" s="147">
        <v>0.69</v>
      </c>
      <c r="BB206" s="147">
        <v>0.69</v>
      </c>
      <c r="BC206" s="147">
        <v>0.64</v>
      </c>
      <c r="BD206" s="147">
        <v>0.64</v>
      </c>
      <c r="BE206" s="147">
        <v>0.64</v>
      </c>
      <c r="BF206" s="147">
        <v>0.64</v>
      </c>
      <c r="BG206" s="147">
        <v>0.64</v>
      </c>
      <c r="BH206" s="147">
        <v>0.59</v>
      </c>
      <c r="BI206" s="147">
        <v>0.59</v>
      </c>
      <c r="BJ206" s="147">
        <v>0.59</v>
      </c>
      <c r="BK206" s="147">
        <v>0.59</v>
      </c>
      <c r="BL206" s="147">
        <v>0.59</v>
      </c>
      <c r="BM206" s="147">
        <v>0.55000000000000004</v>
      </c>
      <c r="BN206" s="147">
        <v>0.55000000000000004</v>
      </c>
      <c r="BO206" s="147">
        <v>0.55000000000000004</v>
      </c>
      <c r="BP206" s="147">
        <v>0.55000000000000004</v>
      </c>
      <c r="BQ206" s="147">
        <v>0.5</v>
      </c>
      <c r="BR206" s="147">
        <v>0.5</v>
      </c>
      <c r="BS206" s="147">
        <v>0.5</v>
      </c>
      <c r="BT206" s="147">
        <v>0.5</v>
      </c>
      <c r="BU206" s="147">
        <v>0.5</v>
      </c>
      <c r="BV206" s="147">
        <v>0.5</v>
      </c>
      <c r="BW206" s="147">
        <v>0.45</v>
      </c>
      <c r="BX206" s="147">
        <v>0.45</v>
      </c>
      <c r="BY206" s="147">
        <v>0.45</v>
      </c>
      <c r="BZ206" s="147">
        <v>0.45</v>
      </c>
      <c r="CA206" s="147">
        <v>0.41</v>
      </c>
    </row>
    <row r="207" spans="1:79">
      <c r="A207" s="144">
        <v>42</v>
      </c>
      <c r="B207" s="148">
        <v>0.98</v>
      </c>
      <c r="C207" s="148">
        <v>0.98</v>
      </c>
      <c r="D207" s="148">
        <v>0.98</v>
      </c>
      <c r="E207" s="148">
        <v>0.98</v>
      </c>
      <c r="F207" s="148">
        <v>0.98</v>
      </c>
      <c r="G207" s="148">
        <v>0.98</v>
      </c>
      <c r="H207" s="148">
        <v>0.98</v>
      </c>
      <c r="I207" s="148">
        <v>0.98</v>
      </c>
      <c r="J207" s="148">
        <v>0.98</v>
      </c>
      <c r="K207" s="148">
        <v>0.98</v>
      </c>
      <c r="L207" s="148">
        <v>0.98</v>
      </c>
      <c r="M207" s="148">
        <v>0.98</v>
      </c>
      <c r="N207" s="148">
        <v>0.98</v>
      </c>
      <c r="O207" s="148">
        <v>0.98</v>
      </c>
      <c r="P207" s="148">
        <v>0.98</v>
      </c>
      <c r="Q207" s="148">
        <v>0.98</v>
      </c>
      <c r="R207" s="148">
        <v>0.98</v>
      </c>
      <c r="S207" s="148">
        <v>0.98</v>
      </c>
      <c r="T207" s="148">
        <v>0.98</v>
      </c>
      <c r="U207" s="148"/>
      <c r="V207" s="148">
        <v>0.98</v>
      </c>
      <c r="W207" s="148">
        <v>0.98</v>
      </c>
      <c r="X207" s="148">
        <v>0.98</v>
      </c>
      <c r="Y207" s="147">
        <v>0.93</v>
      </c>
      <c r="Z207" s="147">
        <v>0.93</v>
      </c>
      <c r="AA207" s="147">
        <v>0.93</v>
      </c>
      <c r="AB207" s="147">
        <v>0.93</v>
      </c>
      <c r="AC207" s="147">
        <v>0.93</v>
      </c>
      <c r="AD207" s="147">
        <v>0.89</v>
      </c>
      <c r="AE207" s="147">
        <v>0.89</v>
      </c>
      <c r="AF207" s="147">
        <v>0.89</v>
      </c>
      <c r="AG207" s="147">
        <v>0.89</v>
      </c>
      <c r="AH207" s="147">
        <v>0.89</v>
      </c>
      <c r="AI207" s="147">
        <v>0.84</v>
      </c>
      <c r="AJ207" s="147">
        <v>0.84</v>
      </c>
      <c r="AK207" s="147">
        <v>0.84</v>
      </c>
      <c r="AL207" s="147">
        <v>0.84</v>
      </c>
      <c r="AM207" s="147">
        <v>0.84</v>
      </c>
      <c r="AN207" s="147">
        <v>0.79</v>
      </c>
      <c r="AO207" s="147">
        <v>0.79</v>
      </c>
      <c r="AP207" s="147">
        <v>0.79</v>
      </c>
      <c r="AQ207" s="147">
        <v>0.79</v>
      </c>
      <c r="AR207" s="147">
        <v>0.79</v>
      </c>
      <c r="AS207" s="147">
        <v>0.74</v>
      </c>
      <c r="AT207" s="147">
        <v>0.74</v>
      </c>
      <c r="AU207" s="147">
        <v>0.74</v>
      </c>
      <c r="AV207" s="147">
        <v>0.74</v>
      </c>
      <c r="AW207" s="147">
        <v>0.74</v>
      </c>
      <c r="AX207" s="147">
        <v>0.69</v>
      </c>
      <c r="AY207" s="147">
        <v>0.69</v>
      </c>
      <c r="AZ207" s="147">
        <v>0.69</v>
      </c>
      <c r="BA207" s="147">
        <v>0.69</v>
      </c>
      <c r="BB207" s="147">
        <v>0.69</v>
      </c>
      <c r="BC207" s="147">
        <v>0.64</v>
      </c>
      <c r="BD207" s="147">
        <v>0.64</v>
      </c>
      <c r="BE207" s="147">
        <v>0.64</v>
      </c>
      <c r="BF207" s="147">
        <v>0.64</v>
      </c>
      <c r="BG207" s="147">
        <v>0.64</v>
      </c>
      <c r="BH207" s="147">
        <v>0.59</v>
      </c>
      <c r="BI207" s="147">
        <v>0.59</v>
      </c>
      <c r="BJ207" s="147">
        <v>0.59</v>
      </c>
      <c r="BK207" s="147">
        <v>0.59</v>
      </c>
      <c r="BL207" s="147">
        <v>0.59</v>
      </c>
      <c r="BM207" s="147">
        <v>0.55000000000000004</v>
      </c>
      <c r="BN207" s="147">
        <v>0.55000000000000004</v>
      </c>
      <c r="BO207" s="147">
        <v>0.55000000000000004</v>
      </c>
      <c r="BP207" s="147">
        <v>0.55000000000000004</v>
      </c>
      <c r="BQ207" s="147">
        <v>0.5</v>
      </c>
      <c r="BR207" s="147">
        <v>0.5</v>
      </c>
      <c r="BS207" s="147">
        <v>0.5</v>
      </c>
      <c r="BT207" s="147">
        <v>0.5</v>
      </c>
      <c r="BU207" s="147">
        <v>0.5</v>
      </c>
      <c r="BV207" s="147">
        <v>0.5</v>
      </c>
      <c r="BW207" s="147">
        <v>0.45</v>
      </c>
      <c r="BX207" s="147">
        <v>0.45</v>
      </c>
      <c r="BY207" s="147">
        <v>0.45</v>
      </c>
      <c r="BZ207" s="147">
        <v>0.45</v>
      </c>
      <c r="CA207" s="147">
        <v>0.41</v>
      </c>
    </row>
    <row r="208" spans="1:79">
      <c r="A208" s="144">
        <v>43</v>
      </c>
      <c r="B208" s="148">
        <v>0.98</v>
      </c>
      <c r="C208" s="148">
        <v>0.98</v>
      </c>
      <c r="D208" s="148">
        <v>0.98</v>
      </c>
      <c r="E208" s="148">
        <v>0.98</v>
      </c>
      <c r="F208" s="148">
        <v>0.98</v>
      </c>
      <c r="G208" s="148">
        <v>0.98</v>
      </c>
      <c r="H208" s="148">
        <v>0.98</v>
      </c>
      <c r="I208" s="148">
        <v>0.98</v>
      </c>
      <c r="J208" s="148">
        <v>0.98</v>
      </c>
      <c r="K208" s="148">
        <v>0.98</v>
      </c>
      <c r="L208" s="148">
        <v>0.98</v>
      </c>
      <c r="M208" s="148">
        <v>0.98</v>
      </c>
      <c r="N208" s="148">
        <v>0.98</v>
      </c>
      <c r="O208" s="148">
        <v>0.98</v>
      </c>
      <c r="P208" s="148">
        <v>0.98</v>
      </c>
      <c r="Q208" s="148">
        <v>0.98</v>
      </c>
      <c r="R208" s="148">
        <v>0.98</v>
      </c>
      <c r="S208" s="148">
        <v>0.98</v>
      </c>
      <c r="T208" s="148">
        <v>0.98</v>
      </c>
      <c r="U208" s="148"/>
      <c r="V208" s="148">
        <v>0.98</v>
      </c>
      <c r="W208" s="148">
        <v>0.98</v>
      </c>
      <c r="X208" s="148">
        <v>0.98</v>
      </c>
      <c r="Y208" s="147">
        <v>0.93</v>
      </c>
      <c r="Z208" s="147">
        <v>0.93</v>
      </c>
      <c r="AA208" s="147">
        <v>0.93</v>
      </c>
      <c r="AB208" s="147">
        <v>0.93</v>
      </c>
      <c r="AC208" s="147">
        <v>0.93</v>
      </c>
      <c r="AD208" s="147">
        <v>0.89</v>
      </c>
      <c r="AE208" s="147">
        <v>0.89</v>
      </c>
      <c r="AF208" s="147">
        <v>0.89</v>
      </c>
      <c r="AG208" s="147">
        <v>0.89</v>
      </c>
      <c r="AH208" s="147">
        <v>0.89</v>
      </c>
      <c r="AI208" s="147">
        <v>0.84</v>
      </c>
      <c r="AJ208" s="147">
        <v>0.84</v>
      </c>
      <c r="AK208" s="147">
        <v>0.84</v>
      </c>
      <c r="AL208" s="147">
        <v>0.84</v>
      </c>
      <c r="AM208" s="147">
        <v>0.84</v>
      </c>
      <c r="AN208" s="147">
        <v>0.79</v>
      </c>
      <c r="AO208" s="147">
        <v>0.79</v>
      </c>
      <c r="AP208" s="147">
        <v>0.79</v>
      </c>
      <c r="AQ208" s="147">
        <v>0.79</v>
      </c>
      <c r="AR208" s="147">
        <v>0.79</v>
      </c>
      <c r="AS208" s="147">
        <v>0.74</v>
      </c>
      <c r="AT208" s="147">
        <v>0.74</v>
      </c>
      <c r="AU208" s="147">
        <v>0.74</v>
      </c>
      <c r="AV208" s="147">
        <v>0.74</v>
      </c>
      <c r="AW208" s="147">
        <v>0.74</v>
      </c>
      <c r="AX208" s="147">
        <v>0.69</v>
      </c>
      <c r="AY208" s="147">
        <v>0.69</v>
      </c>
      <c r="AZ208" s="147">
        <v>0.69</v>
      </c>
      <c r="BA208" s="147">
        <v>0.69</v>
      </c>
      <c r="BB208" s="147">
        <v>0.69</v>
      </c>
      <c r="BC208" s="147">
        <v>0.64</v>
      </c>
      <c r="BD208" s="147">
        <v>0.64</v>
      </c>
      <c r="BE208" s="147">
        <v>0.64</v>
      </c>
      <c r="BF208" s="147">
        <v>0.64</v>
      </c>
      <c r="BG208" s="147">
        <v>0.64</v>
      </c>
      <c r="BH208" s="147">
        <v>0.59</v>
      </c>
      <c r="BI208" s="147">
        <v>0.59</v>
      </c>
      <c r="BJ208" s="147">
        <v>0.59</v>
      </c>
      <c r="BK208" s="147">
        <v>0.59</v>
      </c>
      <c r="BL208" s="147">
        <v>0.59</v>
      </c>
      <c r="BM208" s="147">
        <v>0.55000000000000004</v>
      </c>
      <c r="BN208" s="147">
        <v>0.55000000000000004</v>
      </c>
      <c r="BO208" s="147">
        <v>0.55000000000000004</v>
      </c>
      <c r="BP208" s="147">
        <v>0.55000000000000004</v>
      </c>
      <c r="BQ208" s="147">
        <v>0.5</v>
      </c>
      <c r="BR208" s="147">
        <v>0.5</v>
      </c>
      <c r="BS208" s="147">
        <v>0.5</v>
      </c>
      <c r="BT208" s="147">
        <v>0.5</v>
      </c>
      <c r="BU208" s="147">
        <v>0.5</v>
      </c>
      <c r="BV208" s="147">
        <v>0.5</v>
      </c>
      <c r="BW208" s="147">
        <v>0.45</v>
      </c>
      <c r="BX208" s="147">
        <v>0.45</v>
      </c>
      <c r="BY208" s="147">
        <v>0.45</v>
      </c>
      <c r="BZ208" s="147">
        <v>0.45</v>
      </c>
      <c r="CA208" s="147">
        <v>0.41</v>
      </c>
    </row>
    <row r="209" spans="1:79">
      <c r="A209" s="144">
        <v>44</v>
      </c>
      <c r="B209" s="148">
        <v>0.98</v>
      </c>
      <c r="C209" s="148">
        <v>0.98</v>
      </c>
      <c r="D209" s="148">
        <v>0.98</v>
      </c>
      <c r="E209" s="148">
        <v>0.98</v>
      </c>
      <c r="F209" s="148">
        <v>0.98</v>
      </c>
      <c r="G209" s="148">
        <v>0.98</v>
      </c>
      <c r="H209" s="148">
        <v>0.98</v>
      </c>
      <c r="I209" s="148">
        <v>0.98</v>
      </c>
      <c r="J209" s="148">
        <v>0.98</v>
      </c>
      <c r="K209" s="148">
        <v>0.98</v>
      </c>
      <c r="L209" s="148">
        <v>0.98</v>
      </c>
      <c r="M209" s="148">
        <v>0.98</v>
      </c>
      <c r="N209" s="148">
        <v>0.98</v>
      </c>
      <c r="O209" s="148">
        <v>0.98</v>
      </c>
      <c r="P209" s="148">
        <v>0.98</v>
      </c>
      <c r="Q209" s="148">
        <v>0.98</v>
      </c>
      <c r="R209" s="148">
        <v>0.98</v>
      </c>
      <c r="S209" s="148">
        <v>0.98</v>
      </c>
      <c r="T209" s="148">
        <v>0.98</v>
      </c>
      <c r="U209" s="148"/>
      <c r="V209" s="148">
        <v>0.98</v>
      </c>
      <c r="W209" s="148">
        <v>0.98</v>
      </c>
      <c r="X209" s="148">
        <v>0.98</v>
      </c>
      <c r="Y209" s="147">
        <v>0.93</v>
      </c>
      <c r="Z209" s="147">
        <v>0.93</v>
      </c>
      <c r="AA209" s="147">
        <v>0.93</v>
      </c>
      <c r="AB209" s="147">
        <v>0.93</v>
      </c>
      <c r="AC209" s="147">
        <v>0.93</v>
      </c>
      <c r="AD209" s="147">
        <v>0.89</v>
      </c>
      <c r="AE209" s="147">
        <v>0.89</v>
      </c>
      <c r="AF209" s="147">
        <v>0.89</v>
      </c>
      <c r="AG209" s="147">
        <v>0.89</v>
      </c>
      <c r="AH209" s="147">
        <v>0.89</v>
      </c>
      <c r="AI209" s="147">
        <v>0.84</v>
      </c>
      <c r="AJ209" s="147">
        <v>0.84</v>
      </c>
      <c r="AK209" s="147">
        <v>0.84</v>
      </c>
      <c r="AL209" s="147">
        <v>0.84</v>
      </c>
      <c r="AM209" s="147">
        <v>0.84</v>
      </c>
      <c r="AN209" s="147">
        <v>0.79</v>
      </c>
      <c r="AO209" s="147">
        <v>0.79</v>
      </c>
      <c r="AP209" s="147">
        <v>0.79</v>
      </c>
      <c r="AQ209" s="147">
        <v>0.79</v>
      </c>
      <c r="AR209" s="147">
        <v>0.79</v>
      </c>
      <c r="AS209" s="147">
        <v>0.74</v>
      </c>
      <c r="AT209" s="147">
        <v>0.74</v>
      </c>
      <c r="AU209" s="147">
        <v>0.74</v>
      </c>
      <c r="AV209" s="147">
        <v>0.74</v>
      </c>
      <c r="AW209" s="147">
        <v>0.74</v>
      </c>
      <c r="AX209" s="147">
        <v>0.69</v>
      </c>
      <c r="AY209" s="147">
        <v>0.69</v>
      </c>
      <c r="AZ209" s="147">
        <v>0.69</v>
      </c>
      <c r="BA209" s="147">
        <v>0.69</v>
      </c>
      <c r="BB209" s="147">
        <v>0.69</v>
      </c>
      <c r="BC209" s="147">
        <v>0.64</v>
      </c>
      <c r="BD209" s="147">
        <v>0.64</v>
      </c>
      <c r="BE209" s="147">
        <v>0.64</v>
      </c>
      <c r="BF209" s="147">
        <v>0.64</v>
      </c>
      <c r="BG209" s="147">
        <v>0.64</v>
      </c>
      <c r="BH209" s="147">
        <v>0.59</v>
      </c>
      <c r="BI209" s="147">
        <v>0.59</v>
      </c>
      <c r="BJ209" s="147">
        <v>0.59</v>
      </c>
      <c r="BK209" s="147">
        <v>0.59</v>
      </c>
      <c r="BL209" s="147">
        <v>0.59</v>
      </c>
      <c r="BM209" s="147">
        <v>0.55000000000000004</v>
      </c>
      <c r="BN209" s="147">
        <v>0.55000000000000004</v>
      </c>
      <c r="BO209" s="147">
        <v>0.55000000000000004</v>
      </c>
      <c r="BP209" s="147">
        <v>0.55000000000000004</v>
      </c>
      <c r="BQ209" s="147">
        <v>0.5</v>
      </c>
      <c r="BR209" s="147">
        <v>0.5</v>
      </c>
      <c r="BS209" s="147">
        <v>0.5</v>
      </c>
      <c r="BT209" s="147">
        <v>0.5</v>
      </c>
      <c r="BU209" s="147">
        <v>0.5</v>
      </c>
      <c r="BV209" s="147">
        <v>0.5</v>
      </c>
      <c r="BW209" s="147">
        <v>0.45</v>
      </c>
      <c r="BX209" s="147">
        <v>0.45</v>
      </c>
      <c r="BY209" s="147">
        <v>0.45</v>
      </c>
      <c r="BZ209" s="147">
        <v>0.45</v>
      </c>
      <c r="CA209" s="147">
        <v>0.41</v>
      </c>
    </row>
    <row r="210" spans="1:79">
      <c r="A210" s="144">
        <v>45</v>
      </c>
      <c r="B210" s="148">
        <v>0.98</v>
      </c>
      <c r="C210" s="148">
        <v>0.98</v>
      </c>
      <c r="D210" s="148">
        <v>0.98</v>
      </c>
      <c r="E210" s="148">
        <v>0.98</v>
      </c>
      <c r="F210" s="148">
        <v>0.98</v>
      </c>
      <c r="G210" s="148">
        <v>0.98</v>
      </c>
      <c r="H210" s="148">
        <v>0.98</v>
      </c>
      <c r="I210" s="148">
        <v>0.98</v>
      </c>
      <c r="J210" s="148">
        <v>0.98</v>
      </c>
      <c r="K210" s="148">
        <v>0.98</v>
      </c>
      <c r="L210" s="148">
        <v>0.98</v>
      </c>
      <c r="M210" s="148">
        <v>0.98</v>
      </c>
      <c r="N210" s="148">
        <v>0.98</v>
      </c>
      <c r="O210" s="148">
        <v>0.98</v>
      </c>
      <c r="P210" s="148">
        <v>0.98</v>
      </c>
      <c r="Q210" s="148">
        <v>0.98</v>
      </c>
      <c r="R210" s="148">
        <v>0.98</v>
      </c>
      <c r="S210" s="148">
        <v>0.98</v>
      </c>
      <c r="T210" s="148">
        <v>0.98</v>
      </c>
      <c r="U210" s="148"/>
      <c r="V210" s="148">
        <v>0.98</v>
      </c>
      <c r="W210" s="148">
        <v>0.98</v>
      </c>
      <c r="X210" s="148">
        <v>0.98</v>
      </c>
      <c r="Y210" s="147">
        <v>0.93</v>
      </c>
      <c r="Z210" s="147">
        <v>0.93</v>
      </c>
      <c r="AA210" s="147">
        <v>0.93</v>
      </c>
      <c r="AB210" s="147">
        <v>0.93</v>
      </c>
      <c r="AC210" s="147">
        <v>0.93</v>
      </c>
      <c r="AD210" s="147">
        <v>0.89</v>
      </c>
      <c r="AE210" s="147">
        <v>0.89</v>
      </c>
      <c r="AF210" s="147">
        <v>0.89</v>
      </c>
      <c r="AG210" s="147">
        <v>0.89</v>
      </c>
      <c r="AH210" s="147">
        <v>0.89</v>
      </c>
      <c r="AI210" s="147">
        <v>0.84</v>
      </c>
      <c r="AJ210" s="147">
        <v>0.84</v>
      </c>
      <c r="AK210" s="147">
        <v>0.84</v>
      </c>
      <c r="AL210" s="147">
        <v>0.84</v>
      </c>
      <c r="AM210" s="147">
        <v>0.84</v>
      </c>
      <c r="AN210" s="147">
        <v>0.79</v>
      </c>
      <c r="AO210" s="147">
        <v>0.79</v>
      </c>
      <c r="AP210" s="147">
        <v>0.79</v>
      </c>
      <c r="AQ210" s="147">
        <v>0.79</v>
      </c>
      <c r="AR210" s="147">
        <v>0.79</v>
      </c>
      <c r="AS210" s="147">
        <v>0.74</v>
      </c>
      <c r="AT210" s="147">
        <v>0.74</v>
      </c>
      <c r="AU210" s="147">
        <v>0.74</v>
      </c>
      <c r="AV210" s="147">
        <v>0.74</v>
      </c>
      <c r="AW210" s="147">
        <v>0.74</v>
      </c>
      <c r="AX210" s="147">
        <v>0.69</v>
      </c>
      <c r="AY210" s="147">
        <v>0.69</v>
      </c>
      <c r="AZ210" s="147">
        <v>0.69</v>
      </c>
      <c r="BA210" s="147">
        <v>0.69</v>
      </c>
      <c r="BB210" s="147">
        <v>0.69</v>
      </c>
      <c r="BC210" s="147">
        <v>0.64</v>
      </c>
      <c r="BD210" s="147">
        <v>0.64</v>
      </c>
      <c r="BE210" s="147">
        <v>0.64</v>
      </c>
      <c r="BF210" s="147">
        <v>0.64</v>
      </c>
      <c r="BG210" s="147">
        <v>0.64</v>
      </c>
      <c r="BH210" s="147">
        <v>0.59</v>
      </c>
      <c r="BI210" s="147">
        <v>0.59</v>
      </c>
      <c r="BJ210" s="147">
        <v>0.59</v>
      </c>
      <c r="BK210" s="147">
        <v>0.59</v>
      </c>
      <c r="BL210" s="147">
        <v>0.59</v>
      </c>
      <c r="BM210" s="147">
        <v>0.55000000000000004</v>
      </c>
      <c r="BN210" s="147">
        <v>0.55000000000000004</v>
      </c>
      <c r="BO210" s="147">
        <v>0.55000000000000004</v>
      </c>
      <c r="BP210" s="147">
        <v>0.55000000000000004</v>
      </c>
      <c r="BQ210" s="147">
        <v>0.5</v>
      </c>
      <c r="BR210" s="147">
        <v>0.5</v>
      </c>
      <c r="BS210" s="147">
        <v>0.5</v>
      </c>
      <c r="BT210" s="147">
        <v>0.5</v>
      </c>
      <c r="BU210" s="147">
        <v>0.5</v>
      </c>
      <c r="BV210" s="147">
        <v>0.5</v>
      </c>
      <c r="BW210" s="147">
        <v>0.45</v>
      </c>
      <c r="BX210" s="147">
        <v>0.45</v>
      </c>
      <c r="BY210" s="147">
        <v>0.45</v>
      </c>
      <c r="BZ210" s="147">
        <v>0.45</v>
      </c>
      <c r="CA210" s="147">
        <v>0.41</v>
      </c>
    </row>
    <row r="211" spans="1:79">
      <c r="A211" s="144">
        <v>46</v>
      </c>
      <c r="B211" s="148">
        <v>0.98</v>
      </c>
      <c r="C211" s="148">
        <v>0.98</v>
      </c>
      <c r="D211" s="148">
        <v>0.98</v>
      </c>
      <c r="E211" s="148">
        <v>0.98</v>
      </c>
      <c r="F211" s="148">
        <v>0.98</v>
      </c>
      <c r="G211" s="148">
        <v>0.98</v>
      </c>
      <c r="H211" s="148">
        <v>0.98</v>
      </c>
      <c r="I211" s="148">
        <v>0.98</v>
      </c>
      <c r="J211" s="148">
        <v>0.98</v>
      </c>
      <c r="K211" s="148">
        <v>0.98</v>
      </c>
      <c r="L211" s="148">
        <v>0.98</v>
      </c>
      <c r="M211" s="148">
        <v>0.98</v>
      </c>
      <c r="N211" s="148">
        <v>0.98</v>
      </c>
      <c r="O211" s="148">
        <v>0.98</v>
      </c>
      <c r="P211" s="148">
        <v>0.98</v>
      </c>
      <c r="Q211" s="148">
        <v>0.98</v>
      </c>
      <c r="R211" s="148">
        <v>0.98</v>
      </c>
      <c r="S211" s="148">
        <v>0.98</v>
      </c>
      <c r="T211" s="148">
        <v>0.98</v>
      </c>
      <c r="U211" s="148"/>
      <c r="V211" s="148">
        <v>0.98</v>
      </c>
      <c r="W211" s="148">
        <v>0.98</v>
      </c>
      <c r="X211" s="148">
        <v>0.98</v>
      </c>
      <c r="Y211" s="147">
        <v>0.93</v>
      </c>
      <c r="Z211" s="147">
        <v>0.93</v>
      </c>
      <c r="AA211" s="147">
        <v>0.93</v>
      </c>
      <c r="AB211" s="147">
        <v>0.93</v>
      </c>
      <c r="AC211" s="147">
        <v>0.93</v>
      </c>
      <c r="AD211" s="147">
        <v>0.89</v>
      </c>
      <c r="AE211" s="147">
        <v>0.89</v>
      </c>
      <c r="AF211" s="147">
        <v>0.89</v>
      </c>
      <c r="AG211" s="147">
        <v>0.89</v>
      </c>
      <c r="AH211" s="147">
        <v>0.89</v>
      </c>
      <c r="AI211" s="147">
        <v>0.84</v>
      </c>
      <c r="AJ211" s="147">
        <v>0.84</v>
      </c>
      <c r="AK211" s="147">
        <v>0.84</v>
      </c>
      <c r="AL211" s="147">
        <v>0.84</v>
      </c>
      <c r="AM211" s="147">
        <v>0.84</v>
      </c>
      <c r="AN211" s="147">
        <v>0.79</v>
      </c>
      <c r="AO211" s="147">
        <v>0.79</v>
      </c>
      <c r="AP211" s="147">
        <v>0.79</v>
      </c>
      <c r="AQ211" s="147">
        <v>0.79</v>
      </c>
      <c r="AR211" s="147">
        <v>0.79</v>
      </c>
      <c r="AS211" s="147">
        <v>0.74</v>
      </c>
      <c r="AT211" s="147">
        <v>0.74</v>
      </c>
      <c r="AU211" s="147">
        <v>0.74</v>
      </c>
      <c r="AV211" s="147">
        <v>0.74</v>
      </c>
      <c r="AW211" s="147">
        <v>0.74</v>
      </c>
      <c r="AX211" s="147">
        <v>0.69</v>
      </c>
      <c r="AY211" s="147">
        <v>0.69</v>
      </c>
      <c r="AZ211" s="147">
        <v>0.69</v>
      </c>
      <c r="BA211" s="147">
        <v>0.69</v>
      </c>
      <c r="BB211" s="147">
        <v>0.69</v>
      </c>
      <c r="BC211" s="147">
        <v>0.64</v>
      </c>
      <c r="BD211" s="147">
        <v>0.64</v>
      </c>
      <c r="BE211" s="147">
        <v>0.64</v>
      </c>
      <c r="BF211" s="147">
        <v>0.64</v>
      </c>
      <c r="BG211" s="147">
        <v>0.64</v>
      </c>
      <c r="BH211" s="147">
        <v>0.59</v>
      </c>
      <c r="BI211" s="147">
        <v>0.59</v>
      </c>
      <c r="BJ211" s="147">
        <v>0.59</v>
      </c>
      <c r="BK211" s="147">
        <v>0.59</v>
      </c>
      <c r="BL211" s="147">
        <v>0.59</v>
      </c>
      <c r="BM211" s="147">
        <v>0.55000000000000004</v>
      </c>
      <c r="BN211" s="147">
        <v>0.55000000000000004</v>
      </c>
      <c r="BO211" s="147">
        <v>0.55000000000000004</v>
      </c>
      <c r="BP211" s="147">
        <v>0.55000000000000004</v>
      </c>
      <c r="BQ211" s="147">
        <v>0.5</v>
      </c>
      <c r="BR211" s="147">
        <v>0.5</v>
      </c>
      <c r="BS211" s="147">
        <v>0.5</v>
      </c>
      <c r="BT211" s="147">
        <v>0.5</v>
      </c>
      <c r="BU211" s="147">
        <v>0.5</v>
      </c>
      <c r="BV211" s="147">
        <v>0.5</v>
      </c>
      <c r="BW211" s="147">
        <v>0.45</v>
      </c>
      <c r="BX211" s="147">
        <v>0.45</v>
      </c>
      <c r="BY211" s="147">
        <v>0.45</v>
      </c>
      <c r="BZ211" s="147">
        <v>0.45</v>
      </c>
      <c r="CA211" s="147">
        <v>0.41</v>
      </c>
    </row>
    <row r="212" spans="1:79">
      <c r="A212" s="144">
        <v>47</v>
      </c>
      <c r="B212" s="148">
        <v>0.98</v>
      </c>
      <c r="C212" s="148">
        <v>0.98</v>
      </c>
      <c r="D212" s="148">
        <v>0.98</v>
      </c>
      <c r="E212" s="148">
        <v>0.98</v>
      </c>
      <c r="F212" s="148">
        <v>0.98</v>
      </c>
      <c r="G212" s="148">
        <v>0.98</v>
      </c>
      <c r="H212" s="148">
        <v>0.98</v>
      </c>
      <c r="I212" s="148">
        <v>0.98</v>
      </c>
      <c r="J212" s="148">
        <v>0.98</v>
      </c>
      <c r="K212" s="148">
        <v>0.98</v>
      </c>
      <c r="L212" s="148">
        <v>0.98</v>
      </c>
      <c r="M212" s="148">
        <v>0.98</v>
      </c>
      <c r="N212" s="148">
        <v>0.98</v>
      </c>
      <c r="O212" s="148">
        <v>0.98</v>
      </c>
      <c r="P212" s="148">
        <v>0.98</v>
      </c>
      <c r="Q212" s="148">
        <v>0.98</v>
      </c>
      <c r="R212" s="148">
        <v>0.98</v>
      </c>
      <c r="S212" s="148">
        <v>0.98</v>
      </c>
      <c r="T212" s="148">
        <v>0.98</v>
      </c>
      <c r="U212" s="148"/>
      <c r="V212" s="148">
        <v>0.98</v>
      </c>
      <c r="W212" s="148">
        <v>0.98</v>
      </c>
      <c r="X212" s="148">
        <v>0.98</v>
      </c>
      <c r="Y212" s="147">
        <v>0.93</v>
      </c>
      <c r="Z212" s="147">
        <v>0.93</v>
      </c>
      <c r="AA212" s="147">
        <v>0.93</v>
      </c>
      <c r="AB212" s="147">
        <v>0.93</v>
      </c>
      <c r="AC212" s="147">
        <v>0.93</v>
      </c>
      <c r="AD212" s="147">
        <v>0.89</v>
      </c>
      <c r="AE212" s="147">
        <v>0.89</v>
      </c>
      <c r="AF212" s="147">
        <v>0.89</v>
      </c>
      <c r="AG212" s="147">
        <v>0.89</v>
      </c>
      <c r="AH212" s="147">
        <v>0.89</v>
      </c>
      <c r="AI212" s="147">
        <v>0.84</v>
      </c>
      <c r="AJ212" s="147">
        <v>0.84</v>
      </c>
      <c r="AK212" s="147">
        <v>0.84</v>
      </c>
      <c r="AL212" s="147">
        <v>0.84</v>
      </c>
      <c r="AM212" s="147">
        <v>0.84</v>
      </c>
      <c r="AN212" s="147">
        <v>0.79</v>
      </c>
      <c r="AO212" s="147">
        <v>0.79</v>
      </c>
      <c r="AP212" s="147">
        <v>0.79</v>
      </c>
      <c r="AQ212" s="147">
        <v>0.79</v>
      </c>
      <c r="AR212" s="147">
        <v>0.79</v>
      </c>
      <c r="AS212" s="147">
        <v>0.74</v>
      </c>
      <c r="AT212" s="147">
        <v>0.74</v>
      </c>
      <c r="AU212" s="147">
        <v>0.74</v>
      </c>
      <c r="AV212" s="147">
        <v>0.74</v>
      </c>
      <c r="AW212" s="147">
        <v>0.74</v>
      </c>
      <c r="AX212" s="147">
        <v>0.69</v>
      </c>
      <c r="AY212" s="147">
        <v>0.69</v>
      </c>
      <c r="AZ212" s="147">
        <v>0.69</v>
      </c>
      <c r="BA212" s="147">
        <v>0.69</v>
      </c>
      <c r="BB212" s="147">
        <v>0.69</v>
      </c>
      <c r="BC212" s="147">
        <v>0.64</v>
      </c>
      <c r="BD212" s="147">
        <v>0.64</v>
      </c>
      <c r="BE212" s="147">
        <v>0.64</v>
      </c>
      <c r="BF212" s="147">
        <v>0.64</v>
      </c>
      <c r="BG212" s="147">
        <v>0.64</v>
      </c>
      <c r="BH212" s="147">
        <v>0.59</v>
      </c>
      <c r="BI212" s="147">
        <v>0.59</v>
      </c>
      <c r="BJ212" s="147">
        <v>0.59</v>
      </c>
      <c r="BK212" s="147">
        <v>0.59</v>
      </c>
      <c r="BL212" s="147">
        <v>0.59</v>
      </c>
      <c r="BM212" s="147">
        <v>0.55000000000000004</v>
      </c>
      <c r="BN212" s="147">
        <v>0.55000000000000004</v>
      </c>
      <c r="BO212" s="147">
        <v>0.55000000000000004</v>
      </c>
      <c r="BP212" s="147">
        <v>0.55000000000000004</v>
      </c>
      <c r="BQ212" s="147">
        <v>0.5</v>
      </c>
      <c r="BR212" s="147">
        <v>0.5</v>
      </c>
      <c r="BS212" s="147">
        <v>0.5</v>
      </c>
      <c r="BT212" s="147">
        <v>0.5</v>
      </c>
      <c r="BU212" s="147">
        <v>0.5</v>
      </c>
      <c r="BV212" s="147">
        <v>0.5</v>
      </c>
      <c r="BW212" s="147">
        <v>0.45</v>
      </c>
      <c r="BX212" s="147">
        <v>0.45</v>
      </c>
      <c r="BY212" s="147">
        <v>0.45</v>
      </c>
      <c r="BZ212" s="147">
        <v>0.45</v>
      </c>
      <c r="CA212" s="147">
        <v>0.41</v>
      </c>
    </row>
    <row r="213" spans="1:79">
      <c r="A213" s="144">
        <v>48</v>
      </c>
      <c r="B213" s="148">
        <v>0.98</v>
      </c>
      <c r="C213" s="148">
        <v>0.98</v>
      </c>
      <c r="D213" s="148">
        <v>0.98</v>
      </c>
      <c r="E213" s="148">
        <v>0.98</v>
      </c>
      <c r="F213" s="148">
        <v>0.98</v>
      </c>
      <c r="G213" s="148">
        <v>0.98</v>
      </c>
      <c r="H213" s="148">
        <v>0.98</v>
      </c>
      <c r="I213" s="148">
        <v>0.98</v>
      </c>
      <c r="J213" s="148">
        <v>0.98</v>
      </c>
      <c r="K213" s="148">
        <v>0.98</v>
      </c>
      <c r="L213" s="148">
        <v>0.98</v>
      </c>
      <c r="M213" s="148">
        <v>0.98</v>
      </c>
      <c r="N213" s="148">
        <v>0.98</v>
      </c>
      <c r="O213" s="148">
        <v>0.98</v>
      </c>
      <c r="P213" s="148">
        <v>0.98</v>
      </c>
      <c r="Q213" s="148">
        <v>0.98</v>
      </c>
      <c r="R213" s="148">
        <v>0.98</v>
      </c>
      <c r="S213" s="148">
        <v>0.98</v>
      </c>
      <c r="T213" s="148">
        <v>0.98</v>
      </c>
      <c r="U213" s="148"/>
      <c r="V213" s="148">
        <v>0.98</v>
      </c>
      <c r="W213" s="148">
        <v>0.98</v>
      </c>
      <c r="X213" s="148">
        <v>0.98</v>
      </c>
      <c r="Y213" s="147">
        <v>0.93</v>
      </c>
      <c r="Z213" s="147">
        <v>0.93</v>
      </c>
      <c r="AA213" s="147">
        <v>0.93</v>
      </c>
      <c r="AB213" s="147">
        <v>0.93</v>
      </c>
      <c r="AC213" s="147">
        <v>0.93</v>
      </c>
      <c r="AD213" s="147">
        <v>0.89</v>
      </c>
      <c r="AE213" s="147">
        <v>0.89</v>
      </c>
      <c r="AF213" s="147">
        <v>0.89</v>
      </c>
      <c r="AG213" s="147">
        <v>0.89</v>
      </c>
      <c r="AH213" s="147">
        <v>0.89</v>
      </c>
      <c r="AI213" s="147">
        <v>0.84</v>
      </c>
      <c r="AJ213" s="147">
        <v>0.84</v>
      </c>
      <c r="AK213" s="147">
        <v>0.84</v>
      </c>
      <c r="AL213" s="147">
        <v>0.84</v>
      </c>
      <c r="AM213" s="147">
        <v>0.84</v>
      </c>
      <c r="AN213" s="147">
        <v>0.79</v>
      </c>
      <c r="AO213" s="147">
        <v>0.79</v>
      </c>
      <c r="AP213" s="147">
        <v>0.79</v>
      </c>
      <c r="AQ213" s="147">
        <v>0.79</v>
      </c>
      <c r="AR213" s="147">
        <v>0.79</v>
      </c>
      <c r="AS213" s="147">
        <v>0.74</v>
      </c>
      <c r="AT213" s="147">
        <v>0.74</v>
      </c>
      <c r="AU213" s="147">
        <v>0.74</v>
      </c>
      <c r="AV213" s="147">
        <v>0.74</v>
      </c>
      <c r="AW213" s="147">
        <v>0.74</v>
      </c>
      <c r="AX213" s="147">
        <v>0.69</v>
      </c>
      <c r="AY213" s="147">
        <v>0.69</v>
      </c>
      <c r="AZ213" s="147">
        <v>0.69</v>
      </c>
      <c r="BA213" s="147">
        <v>0.69</v>
      </c>
      <c r="BB213" s="147">
        <v>0.69</v>
      </c>
      <c r="BC213" s="147">
        <v>0.64</v>
      </c>
      <c r="BD213" s="147">
        <v>0.64</v>
      </c>
      <c r="BE213" s="147">
        <v>0.64</v>
      </c>
      <c r="BF213" s="147">
        <v>0.64</v>
      </c>
      <c r="BG213" s="147">
        <v>0.64</v>
      </c>
      <c r="BH213" s="147">
        <v>0.59</v>
      </c>
      <c r="BI213" s="147">
        <v>0.59</v>
      </c>
      <c r="BJ213" s="147">
        <v>0.59</v>
      </c>
      <c r="BK213" s="147">
        <v>0.59</v>
      </c>
      <c r="BL213" s="147">
        <v>0.59</v>
      </c>
      <c r="BM213" s="147">
        <v>0.55000000000000004</v>
      </c>
      <c r="BN213" s="147">
        <v>0.55000000000000004</v>
      </c>
      <c r="BO213" s="147">
        <v>0.55000000000000004</v>
      </c>
      <c r="BP213" s="147">
        <v>0.55000000000000004</v>
      </c>
      <c r="BQ213" s="147">
        <v>0.5</v>
      </c>
      <c r="BR213" s="147">
        <v>0.5</v>
      </c>
      <c r="BS213" s="147">
        <v>0.5</v>
      </c>
      <c r="BT213" s="147">
        <v>0.5</v>
      </c>
      <c r="BU213" s="147">
        <v>0.5</v>
      </c>
      <c r="BV213" s="147">
        <v>0.5</v>
      </c>
      <c r="BW213" s="147">
        <v>0.45</v>
      </c>
      <c r="BX213" s="147">
        <v>0.45</v>
      </c>
      <c r="BY213" s="147">
        <v>0.45</v>
      </c>
      <c r="BZ213" s="147">
        <v>0.45</v>
      </c>
      <c r="CA213" s="147">
        <v>0.41</v>
      </c>
    </row>
    <row r="214" spans="1:79">
      <c r="A214" s="144">
        <v>49</v>
      </c>
      <c r="B214" s="148">
        <v>0.98</v>
      </c>
      <c r="C214" s="148">
        <v>0.98</v>
      </c>
      <c r="D214" s="148">
        <v>0.98</v>
      </c>
      <c r="E214" s="148">
        <v>0.98</v>
      </c>
      <c r="F214" s="148">
        <v>0.98</v>
      </c>
      <c r="G214" s="148">
        <v>0.98</v>
      </c>
      <c r="H214" s="148">
        <v>0.98</v>
      </c>
      <c r="I214" s="148">
        <v>0.98</v>
      </c>
      <c r="J214" s="148">
        <v>0.98</v>
      </c>
      <c r="K214" s="148">
        <v>0.98</v>
      </c>
      <c r="L214" s="148">
        <v>0.98</v>
      </c>
      <c r="M214" s="148">
        <v>0.98</v>
      </c>
      <c r="N214" s="148">
        <v>0.98</v>
      </c>
      <c r="O214" s="148">
        <v>0.98</v>
      </c>
      <c r="P214" s="148">
        <v>0.98</v>
      </c>
      <c r="Q214" s="148">
        <v>0.98</v>
      </c>
      <c r="R214" s="148">
        <v>0.98</v>
      </c>
      <c r="S214" s="148">
        <v>0.98</v>
      </c>
      <c r="T214" s="148">
        <v>0.98</v>
      </c>
      <c r="U214" s="148"/>
      <c r="V214" s="148">
        <v>0.98</v>
      </c>
      <c r="W214" s="148">
        <v>0.98</v>
      </c>
      <c r="X214" s="148">
        <v>0.98</v>
      </c>
      <c r="Y214" s="147">
        <v>0.93</v>
      </c>
      <c r="Z214" s="147">
        <v>0.93</v>
      </c>
      <c r="AA214" s="147">
        <v>0.93</v>
      </c>
      <c r="AB214" s="147">
        <v>0.93</v>
      </c>
      <c r="AC214" s="147">
        <v>0.93</v>
      </c>
      <c r="AD214" s="147">
        <v>0.89</v>
      </c>
      <c r="AE214" s="147">
        <v>0.89</v>
      </c>
      <c r="AF214" s="147">
        <v>0.89</v>
      </c>
      <c r="AG214" s="147">
        <v>0.89</v>
      </c>
      <c r="AH214" s="147">
        <v>0.89</v>
      </c>
      <c r="AI214" s="147">
        <v>0.84</v>
      </c>
      <c r="AJ214" s="147">
        <v>0.84</v>
      </c>
      <c r="AK214" s="147">
        <v>0.84</v>
      </c>
      <c r="AL214" s="147">
        <v>0.84</v>
      </c>
      <c r="AM214" s="147">
        <v>0.84</v>
      </c>
      <c r="AN214" s="147">
        <v>0.79</v>
      </c>
      <c r="AO214" s="147">
        <v>0.79</v>
      </c>
      <c r="AP214" s="147">
        <v>0.79</v>
      </c>
      <c r="AQ214" s="147">
        <v>0.79</v>
      </c>
      <c r="AR214" s="147">
        <v>0.79</v>
      </c>
      <c r="AS214" s="147">
        <v>0.74</v>
      </c>
      <c r="AT214" s="147">
        <v>0.74</v>
      </c>
      <c r="AU214" s="147">
        <v>0.74</v>
      </c>
      <c r="AV214" s="147">
        <v>0.74</v>
      </c>
      <c r="AW214" s="147">
        <v>0.74</v>
      </c>
      <c r="AX214" s="147">
        <v>0.69</v>
      </c>
      <c r="AY214" s="147">
        <v>0.69</v>
      </c>
      <c r="AZ214" s="147">
        <v>0.69</v>
      </c>
      <c r="BA214" s="147">
        <v>0.69</v>
      </c>
      <c r="BB214" s="147">
        <v>0.69</v>
      </c>
      <c r="BC214" s="147">
        <v>0.64</v>
      </c>
      <c r="BD214" s="147">
        <v>0.64</v>
      </c>
      <c r="BE214" s="147">
        <v>0.64</v>
      </c>
      <c r="BF214" s="147">
        <v>0.64</v>
      </c>
      <c r="BG214" s="147">
        <v>0.64</v>
      </c>
      <c r="BH214" s="147">
        <v>0.59</v>
      </c>
      <c r="BI214" s="147">
        <v>0.59</v>
      </c>
      <c r="BJ214" s="147">
        <v>0.59</v>
      </c>
      <c r="BK214" s="147">
        <v>0.59</v>
      </c>
      <c r="BL214" s="147">
        <v>0.59</v>
      </c>
      <c r="BM214" s="147">
        <v>0.55000000000000004</v>
      </c>
      <c r="BN214" s="147">
        <v>0.55000000000000004</v>
      </c>
      <c r="BO214" s="147">
        <v>0.55000000000000004</v>
      </c>
      <c r="BP214" s="147">
        <v>0.55000000000000004</v>
      </c>
      <c r="BQ214" s="147">
        <v>0.5</v>
      </c>
      <c r="BR214" s="147">
        <v>0.5</v>
      </c>
      <c r="BS214" s="147">
        <v>0.5</v>
      </c>
      <c r="BT214" s="147">
        <v>0.5</v>
      </c>
      <c r="BU214" s="147">
        <v>0.5</v>
      </c>
      <c r="BV214" s="147">
        <v>0.5</v>
      </c>
      <c r="BW214" s="147">
        <v>0.45</v>
      </c>
      <c r="BX214" s="147">
        <v>0.45</v>
      </c>
      <c r="BY214" s="147">
        <v>0.45</v>
      </c>
      <c r="BZ214" s="147">
        <v>0.45</v>
      </c>
      <c r="CA214" s="147">
        <v>0.41</v>
      </c>
    </row>
    <row r="215" spans="1:79">
      <c r="A215" s="144">
        <v>50</v>
      </c>
      <c r="B215" s="148">
        <v>0.98</v>
      </c>
      <c r="C215" s="148">
        <v>0.98</v>
      </c>
      <c r="D215" s="148">
        <v>0.98</v>
      </c>
      <c r="E215" s="148">
        <v>0.98</v>
      </c>
      <c r="F215" s="148">
        <v>0.98</v>
      </c>
      <c r="G215" s="148">
        <v>0.98</v>
      </c>
      <c r="H215" s="148">
        <v>0.98</v>
      </c>
      <c r="I215" s="148">
        <v>0.98</v>
      </c>
      <c r="J215" s="148">
        <v>0.98</v>
      </c>
      <c r="K215" s="148">
        <v>0.98</v>
      </c>
      <c r="L215" s="148">
        <v>0.98</v>
      </c>
      <c r="M215" s="148">
        <v>0.98</v>
      </c>
      <c r="N215" s="148">
        <v>0.98</v>
      </c>
      <c r="O215" s="148">
        <v>0.98</v>
      </c>
      <c r="P215" s="148">
        <v>0.98</v>
      </c>
      <c r="Q215" s="148">
        <v>0.98</v>
      </c>
      <c r="R215" s="148">
        <v>0.98</v>
      </c>
      <c r="S215" s="148">
        <v>0.98</v>
      </c>
      <c r="T215" s="148">
        <v>0.98</v>
      </c>
      <c r="U215" s="148"/>
      <c r="V215" s="148">
        <v>0.98</v>
      </c>
      <c r="W215" s="148">
        <v>0.98</v>
      </c>
      <c r="X215" s="148">
        <v>0.98</v>
      </c>
      <c r="Y215" s="147">
        <v>0.93</v>
      </c>
      <c r="Z215" s="147">
        <v>0.93</v>
      </c>
      <c r="AA215" s="147">
        <v>0.93</v>
      </c>
      <c r="AB215" s="147">
        <v>0.93</v>
      </c>
      <c r="AC215" s="147">
        <v>0.93</v>
      </c>
      <c r="AD215" s="147">
        <v>0.89</v>
      </c>
      <c r="AE215" s="147">
        <v>0.89</v>
      </c>
      <c r="AF215" s="147">
        <v>0.89</v>
      </c>
      <c r="AG215" s="147">
        <v>0.89</v>
      </c>
      <c r="AH215" s="147">
        <v>0.89</v>
      </c>
      <c r="AI215" s="147">
        <v>0.84</v>
      </c>
      <c r="AJ215" s="147">
        <v>0.84</v>
      </c>
      <c r="AK215" s="147">
        <v>0.84</v>
      </c>
      <c r="AL215" s="147">
        <v>0.84</v>
      </c>
      <c r="AM215" s="147">
        <v>0.84</v>
      </c>
      <c r="AN215" s="147">
        <v>0.79</v>
      </c>
      <c r="AO215" s="147">
        <v>0.79</v>
      </c>
      <c r="AP215" s="147">
        <v>0.79</v>
      </c>
      <c r="AQ215" s="147">
        <v>0.79</v>
      </c>
      <c r="AR215" s="147">
        <v>0.79</v>
      </c>
      <c r="AS215" s="147">
        <v>0.74</v>
      </c>
      <c r="AT215" s="147">
        <v>0.74</v>
      </c>
      <c r="AU215" s="147">
        <v>0.74</v>
      </c>
      <c r="AV215" s="147">
        <v>0.74</v>
      </c>
      <c r="AW215" s="147">
        <v>0.74</v>
      </c>
      <c r="AX215" s="147">
        <v>0.69</v>
      </c>
      <c r="AY215" s="147">
        <v>0.69</v>
      </c>
      <c r="AZ215" s="147">
        <v>0.69</v>
      </c>
      <c r="BA215" s="147">
        <v>0.69</v>
      </c>
      <c r="BB215" s="147">
        <v>0.69</v>
      </c>
      <c r="BC215" s="147">
        <v>0.64</v>
      </c>
      <c r="BD215" s="147">
        <v>0.64</v>
      </c>
      <c r="BE215" s="147">
        <v>0.64</v>
      </c>
      <c r="BF215" s="147">
        <v>0.64</v>
      </c>
      <c r="BG215" s="147">
        <v>0.64</v>
      </c>
      <c r="BH215" s="147">
        <v>0.59</v>
      </c>
      <c r="BI215" s="147">
        <v>0.59</v>
      </c>
      <c r="BJ215" s="147">
        <v>0.59</v>
      </c>
      <c r="BK215" s="147">
        <v>0.59</v>
      </c>
      <c r="BL215" s="147">
        <v>0.59</v>
      </c>
      <c r="BM215" s="147">
        <v>0.55000000000000004</v>
      </c>
      <c r="BN215" s="147">
        <v>0.55000000000000004</v>
      </c>
      <c r="BO215" s="147">
        <v>0.55000000000000004</v>
      </c>
      <c r="BP215" s="147">
        <v>0.55000000000000004</v>
      </c>
      <c r="BQ215" s="147">
        <v>0.5</v>
      </c>
      <c r="BR215" s="147">
        <v>0.5</v>
      </c>
      <c r="BS215" s="147">
        <v>0.5</v>
      </c>
      <c r="BT215" s="147">
        <v>0.5</v>
      </c>
      <c r="BU215" s="147">
        <v>0.5</v>
      </c>
      <c r="BV215" s="147">
        <v>0.5</v>
      </c>
      <c r="BW215" s="147">
        <v>0.45</v>
      </c>
      <c r="BX215" s="147">
        <v>0.45</v>
      </c>
      <c r="BY215" s="147">
        <v>0.45</v>
      </c>
      <c r="BZ215" s="147">
        <v>0.45</v>
      </c>
      <c r="CA215" s="147">
        <v>0.41</v>
      </c>
    </row>
    <row r="216" spans="1:79">
      <c r="A216" s="144">
        <v>51</v>
      </c>
      <c r="B216" s="147">
        <v>0.92</v>
      </c>
      <c r="C216" s="147">
        <v>0.92</v>
      </c>
      <c r="D216" s="147">
        <v>0.92</v>
      </c>
      <c r="E216" s="147">
        <v>0.92</v>
      </c>
      <c r="F216" s="147">
        <v>0.92</v>
      </c>
      <c r="G216" s="147">
        <v>0.92</v>
      </c>
      <c r="H216" s="147">
        <v>0.92</v>
      </c>
      <c r="I216" s="147">
        <v>0.92</v>
      </c>
      <c r="J216" s="147">
        <v>0.92</v>
      </c>
      <c r="K216" s="147">
        <v>0.92</v>
      </c>
      <c r="L216" s="147">
        <v>0.92</v>
      </c>
      <c r="M216" s="147">
        <v>0.92</v>
      </c>
      <c r="N216" s="147">
        <v>0.92</v>
      </c>
      <c r="O216" s="147">
        <v>0.92</v>
      </c>
      <c r="P216" s="147">
        <v>0.92</v>
      </c>
      <c r="Q216" s="147">
        <v>0.92</v>
      </c>
      <c r="R216" s="147">
        <v>0.92</v>
      </c>
      <c r="S216" s="147">
        <v>0.92</v>
      </c>
      <c r="T216" s="147">
        <v>0.92</v>
      </c>
      <c r="U216" s="147"/>
      <c r="V216" s="147">
        <v>0.92</v>
      </c>
      <c r="W216" s="147">
        <v>0.92</v>
      </c>
      <c r="X216" s="147">
        <v>0.92</v>
      </c>
      <c r="Y216" s="147">
        <v>0.88</v>
      </c>
      <c r="Z216" s="147">
        <v>0.88</v>
      </c>
      <c r="AA216" s="147">
        <v>0.88</v>
      </c>
      <c r="AB216" s="147">
        <v>0.88</v>
      </c>
      <c r="AC216" s="147">
        <v>0.88</v>
      </c>
      <c r="AD216" s="147">
        <v>0.83</v>
      </c>
      <c r="AE216" s="147">
        <v>0.83</v>
      </c>
      <c r="AF216" s="147">
        <v>0.83</v>
      </c>
      <c r="AG216" s="147">
        <v>0.83</v>
      </c>
      <c r="AH216" s="147">
        <v>0.83</v>
      </c>
      <c r="AI216" s="147">
        <v>0.79</v>
      </c>
      <c r="AJ216" s="147">
        <v>0.79</v>
      </c>
      <c r="AK216" s="147">
        <v>0.79</v>
      </c>
      <c r="AL216" s="147">
        <v>0.79</v>
      </c>
      <c r="AM216" s="147">
        <v>0.79</v>
      </c>
      <c r="AN216" s="147">
        <v>0.74</v>
      </c>
      <c r="AO216" s="147">
        <v>0.74</v>
      </c>
      <c r="AP216" s="147">
        <v>0.74</v>
      </c>
      <c r="AQ216" s="147">
        <v>0.74</v>
      </c>
      <c r="AR216" s="147">
        <v>0.74</v>
      </c>
      <c r="AS216" s="147">
        <v>0.7</v>
      </c>
      <c r="AT216" s="147">
        <v>0.7</v>
      </c>
      <c r="AU216" s="147">
        <v>0.7</v>
      </c>
      <c r="AV216" s="147">
        <v>0.7</v>
      </c>
      <c r="AW216" s="147">
        <v>0.7</v>
      </c>
      <c r="AX216" s="147">
        <v>0.65</v>
      </c>
      <c r="AY216" s="147">
        <v>0.65</v>
      </c>
      <c r="AZ216" s="147">
        <v>0.65</v>
      </c>
      <c r="BA216" s="147">
        <v>0.65</v>
      </c>
      <c r="BB216" s="147">
        <v>0.65</v>
      </c>
      <c r="BC216" s="147">
        <v>0.61</v>
      </c>
      <c r="BD216" s="147">
        <v>0.61</v>
      </c>
      <c r="BE216" s="147">
        <v>0.61</v>
      </c>
      <c r="BF216" s="147">
        <v>0.61</v>
      </c>
      <c r="BG216" s="147">
        <v>0.61</v>
      </c>
      <c r="BH216" s="147">
        <v>0.56000000000000005</v>
      </c>
      <c r="BI216" s="147">
        <v>0.56000000000000005</v>
      </c>
      <c r="BJ216" s="147">
        <v>0.56000000000000005</v>
      </c>
      <c r="BK216" s="147">
        <v>0.56000000000000005</v>
      </c>
      <c r="BL216" s="147">
        <v>0.56000000000000005</v>
      </c>
      <c r="BM216" s="147">
        <v>0.52</v>
      </c>
      <c r="BN216" s="147">
        <v>0.52</v>
      </c>
      <c r="BO216" s="147">
        <v>0.52</v>
      </c>
      <c r="BP216" s="147">
        <v>0.52</v>
      </c>
      <c r="BQ216" s="147">
        <v>0.48</v>
      </c>
      <c r="BR216" s="147">
        <v>0.48</v>
      </c>
      <c r="BS216" s="147">
        <v>0.48</v>
      </c>
      <c r="BT216" s="147">
        <v>0.48</v>
      </c>
      <c r="BU216" s="147">
        <v>0.48</v>
      </c>
      <c r="BV216" s="147">
        <v>0.48</v>
      </c>
      <c r="BW216" s="147">
        <v>0.44</v>
      </c>
      <c r="BX216" s="147">
        <v>0.44</v>
      </c>
      <c r="BY216" s="147">
        <v>0.44</v>
      </c>
      <c r="BZ216" s="147">
        <v>0.44</v>
      </c>
      <c r="CA216" s="147">
        <v>0.4</v>
      </c>
    </row>
    <row r="217" spans="1:79">
      <c r="A217" s="144">
        <v>52</v>
      </c>
      <c r="B217" s="147">
        <v>0.92</v>
      </c>
      <c r="C217" s="147">
        <v>0.92</v>
      </c>
      <c r="D217" s="147">
        <v>0.92</v>
      </c>
      <c r="E217" s="147">
        <v>0.92</v>
      </c>
      <c r="F217" s="147">
        <v>0.92</v>
      </c>
      <c r="G217" s="147">
        <v>0.92</v>
      </c>
      <c r="H217" s="147">
        <v>0.92</v>
      </c>
      <c r="I217" s="147">
        <v>0.92</v>
      </c>
      <c r="J217" s="147">
        <v>0.92</v>
      </c>
      <c r="K217" s="147">
        <v>0.92</v>
      </c>
      <c r="L217" s="147">
        <v>0.92</v>
      </c>
      <c r="M217" s="147">
        <v>0.92</v>
      </c>
      <c r="N217" s="147">
        <v>0.92</v>
      </c>
      <c r="O217" s="147">
        <v>0.92</v>
      </c>
      <c r="P217" s="147">
        <v>0.92</v>
      </c>
      <c r="Q217" s="147">
        <v>0.92</v>
      </c>
      <c r="R217" s="147">
        <v>0.92</v>
      </c>
      <c r="S217" s="147">
        <v>0.92</v>
      </c>
      <c r="T217" s="147">
        <v>0.92</v>
      </c>
      <c r="U217" s="147"/>
      <c r="V217" s="147">
        <v>0.92</v>
      </c>
      <c r="W217" s="147">
        <v>0.92</v>
      </c>
      <c r="X217" s="147">
        <v>0.92</v>
      </c>
      <c r="Y217" s="147">
        <v>0.88</v>
      </c>
      <c r="Z217" s="147">
        <v>0.88</v>
      </c>
      <c r="AA217" s="147">
        <v>0.88</v>
      </c>
      <c r="AB217" s="147">
        <v>0.88</v>
      </c>
      <c r="AC217" s="147">
        <v>0.88</v>
      </c>
      <c r="AD217" s="147">
        <v>0.83</v>
      </c>
      <c r="AE217" s="147">
        <v>0.83</v>
      </c>
      <c r="AF217" s="147">
        <v>0.83</v>
      </c>
      <c r="AG217" s="147">
        <v>0.83</v>
      </c>
      <c r="AH217" s="147">
        <v>0.83</v>
      </c>
      <c r="AI217" s="147">
        <v>0.79</v>
      </c>
      <c r="AJ217" s="147">
        <v>0.79</v>
      </c>
      <c r="AK217" s="147">
        <v>0.79</v>
      </c>
      <c r="AL217" s="147">
        <v>0.79</v>
      </c>
      <c r="AM217" s="147">
        <v>0.79</v>
      </c>
      <c r="AN217" s="147">
        <v>0.74</v>
      </c>
      <c r="AO217" s="147">
        <v>0.74</v>
      </c>
      <c r="AP217" s="147">
        <v>0.74</v>
      </c>
      <c r="AQ217" s="147">
        <v>0.74</v>
      </c>
      <c r="AR217" s="147">
        <v>0.74</v>
      </c>
      <c r="AS217" s="147">
        <v>0.7</v>
      </c>
      <c r="AT217" s="147">
        <v>0.7</v>
      </c>
      <c r="AU217" s="147">
        <v>0.7</v>
      </c>
      <c r="AV217" s="147">
        <v>0.7</v>
      </c>
      <c r="AW217" s="147">
        <v>0.7</v>
      </c>
      <c r="AX217" s="147">
        <v>0.65</v>
      </c>
      <c r="AY217" s="147">
        <v>0.65</v>
      </c>
      <c r="AZ217" s="147">
        <v>0.65</v>
      </c>
      <c r="BA217" s="147">
        <v>0.65</v>
      </c>
      <c r="BB217" s="147">
        <v>0.65</v>
      </c>
      <c r="BC217" s="147">
        <v>0.61</v>
      </c>
      <c r="BD217" s="147">
        <v>0.61</v>
      </c>
      <c r="BE217" s="147">
        <v>0.61</v>
      </c>
      <c r="BF217" s="147">
        <v>0.61</v>
      </c>
      <c r="BG217" s="147">
        <v>0.61</v>
      </c>
      <c r="BH217" s="147">
        <v>0.56000000000000005</v>
      </c>
      <c r="BI217" s="147">
        <v>0.56000000000000005</v>
      </c>
      <c r="BJ217" s="147">
        <v>0.56000000000000005</v>
      </c>
      <c r="BK217" s="147">
        <v>0.56000000000000005</v>
      </c>
      <c r="BL217" s="147">
        <v>0.56000000000000005</v>
      </c>
      <c r="BM217" s="147">
        <v>0.52</v>
      </c>
      <c r="BN217" s="147">
        <v>0.52</v>
      </c>
      <c r="BO217" s="147">
        <v>0.52</v>
      </c>
      <c r="BP217" s="147">
        <v>0.52</v>
      </c>
      <c r="BQ217" s="147">
        <v>0.48</v>
      </c>
      <c r="BR217" s="147">
        <v>0.48</v>
      </c>
      <c r="BS217" s="147">
        <v>0.48</v>
      </c>
      <c r="BT217" s="147">
        <v>0.48</v>
      </c>
      <c r="BU217" s="147">
        <v>0.48</v>
      </c>
      <c r="BV217" s="147">
        <v>0.48</v>
      </c>
      <c r="BW217" s="147">
        <v>0.44</v>
      </c>
      <c r="BX217" s="147">
        <v>0.44</v>
      </c>
      <c r="BY217" s="147">
        <v>0.44</v>
      </c>
      <c r="BZ217" s="147">
        <v>0.44</v>
      </c>
      <c r="CA217" s="147">
        <v>0.4</v>
      </c>
    </row>
    <row r="218" spans="1:79">
      <c r="A218" s="144">
        <v>53</v>
      </c>
      <c r="B218" s="147">
        <v>0.92</v>
      </c>
      <c r="C218" s="147">
        <v>0.92</v>
      </c>
      <c r="D218" s="147">
        <v>0.92</v>
      </c>
      <c r="E218" s="147">
        <v>0.92</v>
      </c>
      <c r="F218" s="147">
        <v>0.92</v>
      </c>
      <c r="G218" s="147">
        <v>0.92</v>
      </c>
      <c r="H218" s="147">
        <v>0.92</v>
      </c>
      <c r="I218" s="147">
        <v>0.92</v>
      </c>
      <c r="J218" s="147">
        <v>0.92</v>
      </c>
      <c r="K218" s="147">
        <v>0.92</v>
      </c>
      <c r="L218" s="147">
        <v>0.92</v>
      </c>
      <c r="M218" s="147">
        <v>0.92</v>
      </c>
      <c r="N218" s="147">
        <v>0.92</v>
      </c>
      <c r="O218" s="147">
        <v>0.92</v>
      </c>
      <c r="P218" s="147">
        <v>0.92</v>
      </c>
      <c r="Q218" s="147">
        <v>0.92</v>
      </c>
      <c r="R218" s="147">
        <v>0.92</v>
      </c>
      <c r="S218" s="147">
        <v>0.92</v>
      </c>
      <c r="T218" s="147">
        <v>0.92</v>
      </c>
      <c r="U218" s="147"/>
      <c r="V218" s="147">
        <v>0.92</v>
      </c>
      <c r="W218" s="147">
        <v>0.92</v>
      </c>
      <c r="X218" s="147">
        <v>0.92</v>
      </c>
      <c r="Y218" s="147">
        <v>0.88</v>
      </c>
      <c r="Z218" s="147">
        <v>0.88</v>
      </c>
      <c r="AA218" s="147">
        <v>0.88</v>
      </c>
      <c r="AB218" s="147">
        <v>0.88</v>
      </c>
      <c r="AC218" s="147">
        <v>0.88</v>
      </c>
      <c r="AD218" s="147">
        <v>0.83</v>
      </c>
      <c r="AE218" s="147">
        <v>0.83</v>
      </c>
      <c r="AF218" s="147">
        <v>0.83</v>
      </c>
      <c r="AG218" s="147">
        <v>0.83</v>
      </c>
      <c r="AH218" s="147">
        <v>0.83</v>
      </c>
      <c r="AI218" s="147">
        <v>0.79</v>
      </c>
      <c r="AJ218" s="147">
        <v>0.79</v>
      </c>
      <c r="AK218" s="147">
        <v>0.79</v>
      </c>
      <c r="AL218" s="147">
        <v>0.79</v>
      </c>
      <c r="AM218" s="147">
        <v>0.79</v>
      </c>
      <c r="AN218" s="147">
        <v>0.74</v>
      </c>
      <c r="AO218" s="147">
        <v>0.74</v>
      </c>
      <c r="AP218" s="147">
        <v>0.74</v>
      </c>
      <c r="AQ218" s="147">
        <v>0.74</v>
      </c>
      <c r="AR218" s="147">
        <v>0.74</v>
      </c>
      <c r="AS218" s="147">
        <v>0.7</v>
      </c>
      <c r="AT218" s="147">
        <v>0.7</v>
      </c>
      <c r="AU218" s="147">
        <v>0.7</v>
      </c>
      <c r="AV218" s="147">
        <v>0.7</v>
      </c>
      <c r="AW218" s="147">
        <v>0.7</v>
      </c>
      <c r="AX218" s="147">
        <v>0.65</v>
      </c>
      <c r="AY218" s="147">
        <v>0.65</v>
      </c>
      <c r="AZ218" s="147">
        <v>0.65</v>
      </c>
      <c r="BA218" s="147">
        <v>0.65</v>
      </c>
      <c r="BB218" s="147">
        <v>0.65</v>
      </c>
      <c r="BC218" s="147">
        <v>0.61</v>
      </c>
      <c r="BD218" s="147">
        <v>0.61</v>
      </c>
      <c r="BE218" s="147">
        <v>0.61</v>
      </c>
      <c r="BF218" s="147">
        <v>0.61</v>
      </c>
      <c r="BG218" s="147">
        <v>0.61</v>
      </c>
      <c r="BH218" s="147">
        <v>0.56000000000000005</v>
      </c>
      <c r="BI218" s="147">
        <v>0.56000000000000005</v>
      </c>
      <c r="BJ218" s="147">
        <v>0.56000000000000005</v>
      </c>
      <c r="BK218" s="147">
        <v>0.56000000000000005</v>
      </c>
      <c r="BL218" s="147">
        <v>0.56000000000000005</v>
      </c>
      <c r="BM218" s="147">
        <v>0.52</v>
      </c>
      <c r="BN218" s="147">
        <v>0.52</v>
      </c>
      <c r="BO218" s="147">
        <v>0.52</v>
      </c>
      <c r="BP218" s="147">
        <v>0.52</v>
      </c>
      <c r="BQ218" s="147">
        <v>0.48</v>
      </c>
      <c r="BR218" s="147">
        <v>0.48</v>
      </c>
      <c r="BS218" s="147">
        <v>0.48</v>
      </c>
      <c r="BT218" s="147">
        <v>0.48</v>
      </c>
      <c r="BU218" s="147">
        <v>0.48</v>
      </c>
      <c r="BV218" s="147">
        <v>0.48</v>
      </c>
      <c r="BW218" s="147">
        <v>0.44</v>
      </c>
      <c r="BX218" s="147">
        <v>0.44</v>
      </c>
      <c r="BY218" s="147">
        <v>0.44</v>
      </c>
      <c r="BZ218" s="147">
        <v>0.44</v>
      </c>
      <c r="CA218" s="147">
        <v>0.4</v>
      </c>
    </row>
    <row r="219" spans="1:79">
      <c r="A219" s="144">
        <v>54</v>
      </c>
      <c r="B219" s="147">
        <v>0.92</v>
      </c>
      <c r="C219" s="147">
        <v>0.92</v>
      </c>
      <c r="D219" s="147">
        <v>0.92</v>
      </c>
      <c r="E219" s="147">
        <v>0.92</v>
      </c>
      <c r="F219" s="147">
        <v>0.92</v>
      </c>
      <c r="G219" s="147">
        <v>0.92</v>
      </c>
      <c r="H219" s="147">
        <v>0.92</v>
      </c>
      <c r="I219" s="147">
        <v>0.92</v>
      </c>
      <c r="J219" s="147">
        <v>0.92</v>
      </c>
      <c r="K219" s="147">
        <v>0.92</v>
      </c>
      <c r="L219" s="147">
        <v>0.92</v>
      </c>
      <c r="M219" s="147">
        <v>0.92</v>
      </c>
      <c r="N219" s="147">
        <v>0.92</v>
      </c>
      <c r="O219" s="147">
        <v>0.92</v>
      </c>
      <c r="P219" s="147">
        <v>0.92</v>
      </c>
      <c r="Q219" s="147">
        <v>0.92</v>
      </c>
      <c r="R219" s="147">
        <v>0.92</v>
      </c>
      <c r="S219" s="147">
        <v>0.92</v>
      </c>
      <c r="T219" s="147">
        <v>0.92</v>
      </c>
      <c r="U219" s="147"/>
      <c r="V219" s="147">
        <v>0.92</v>
      </c>
      <c r="W219" s="147">
        <v>0.92</v>
      </c>
      <c r="X219" s="147">
        <v>0.92</v>
      </c>
      <c r="Y219" s="147">
        <v>0.88</v>
      </c>
      <c r="Z219" s="147">
        <v>0.88</v>
      </c>
      <c r="AA219" s="147">
        <v>0.88</v>
      </c>
      <c r="AB219" s="147">
        <v>0.88</v>
      </c>
      <c r="AC219" s="147">
        <v>0.88</v>
      </c>
      <c r="AD219" s="147">
        <v>0.83</v>
      </c>
      <c r="AE219" s="147">
        <v>0.83</v>
      </c>
      <c r="AF219" s="147">
        <v>0.83</v>
      </c>
      <c r="AG219" s="147">
        <v>0.83</v>
      </c>
      <c r="AH219" s="147">
        <v>0.83</v>
      </c>
      <c r="AI219" s="147">
        <v>0.79</v>
      </c>
      <c r="AJ219" s="147">
        <v>0.79</v>
      </c>
      <c r="AK219" s="147">
        <v>0.79</v>
      </c>
      <c r="AL219" s="147">
        <v>0.79</v>
      </c>
      <c r="AM219" s="147">
        <v>0.79</v>
      </c>
      <c r="AN219" s="147">
        <v>0.74</v>
      </c>
      <c r="AO219" s="147">
        <v>0.74</v>
      </c>
      <c r="AP219" s="147">
        <v>0.74</v>
      </c>
      <c r="AQ219" s="147">
        <v>0.74</v>
      </c>
      <c r="AR219" s="147">
        <v>0.74</v>
      </c>
      <c r="AS219" s="147">
        <v>0.7</v>
      </c>
      <c r="AT219" s="147">
        <v>0.7</v>
      </c>
      <c r="AU219" s="147">
        <v>0.7</v>
      </c>
      <c r="AV219" s="147">
        <v>0.7</v>
      </c>
      <c r="AW219" s="147">
        <v>0.7</v>
      </c>
      <c r="AX219" s="147">
        <v>0.65</v>
      </c>
      <c r="AY219" s="147">
        <v>0.65</v>
      </c>
      <c r="AZ219" s="147">
        <v>0.65</v>
      </c>
      <c r="BA219" s="147">
        <v>0.65</v>
      </c>
      <c r="BB219" s="147">
        <v>0.65</v>
      </c>
      <c r="BC219" s="147">
        <v>0.61</v>
      </c>
      <c r="BD219" s="147">
        <v>0.61</v>
      </c>
      <c r="BE219" s="147">
        <v>0.61</v>
      </c>
      <c r="BF219" s="147">
        <v>0.61</v>
      </c>
      <c r="BG219" s="147">
        <v>0.61</v>
      </c>
      <c r="BH219" s="147">
        <v>0.56000000000000005</v>
      </c>
      <c r="BI219" s="147">
        <v>0.56000000000000005</v>
      </c>
      <c r="BJ219" s="147">
        <v>0.56000000000000005</v>
      </c>
      <c r="BK219" s="147">
        <v>0.56000000000000005</v>
      </c>
      <c r="BL219" s="147">
        <v>0.56000000000000005</v>
      </c>
      <c r="BM219" s="147">
        <v>0.52</v>
      </c>
      <c r="BN219" s="147">
        <v>0.52</v>
      </c>
      <c r="BO219" s="147">
        <v>0.52</v>
      </c>
      <c r="BP219" s="147">
        <v>0.52</v>
      </c>
      <c r="BQ219" s="147">
        <v>0.48</v>
      </c>
      <c r="BR219" s="147">
        <v>0.48</v>
      </c>
      <c r="BS219" s="147">
        <v>0.48</v>
      </c>
      <c r="BT219" s="147">
        <v>0.48</v>
      </c>
      <c r="BU219" s="147">
        <v>0.48</v>
      </c>
      <c r="BV219" s="147">
        <v>0.48</v>
      </c>
      <c r="BW219" s="147">
        <v>0.44</v>
      </c>
      <c r="BX219" s="147">
        <v>0.44</v>
      </c>
      <c r="BY219" s="147">
        <v>0.44</v>
      </c>
      <c r="BZ219" s="147">
        <v>0.44</v>
      </c>
      <c r="CA219" s="147">
        <v>0.4</v>
      </c>
    </row>
    <row r="220" spans="1:79">
      <c r="A220" s="144">
        <v>55</v>
      </c>
      <c r="B220" s="147">
        <v>0.92</v>
      </c>
      <c r="C220" s="147">
        <v>0.92</v>
      </c>
      <c r="D220" s="147">
        <v>0.92</v>
      </c>
      <c r="E220" s="147">
        <v>0.92</v>
      </c>
      <c r="F220" s="147">
        <v>0.92</v>
      </c>
      <c r="G220" s="147">
        <v>0.92</v>
      </c>
      <c r="H220" s="147">
        <v>0.92</v>
      </c>
      <c r="I220" s="147">
        <v>0.92</v>
      </c>
      <c r="J220" s="147">
        <v>0.92</v>
      </c>
      <c r="K220" s="147">
        <v>0.92</v>
      </c>
      <c r="L220" s="147">
        <v>0.92</v>
      </c>
      <c r="M220" s="147">
        <v>0.92</v>
      </c>
      <c r="N220" s="147">
        <v>0.92</v>
      </c>
      <c r="O220" s="147">
        <v>0.92</v>
      </c>
      <c r="P220" s="147">
        <v>0.92</v>
      </c>
      <c r="Q220" s="147">
        <v>0.92</v>
      </c>
      <c r="R220" s="147">
        <v>0.92</v>
      </c>
      <c r="S220" s="147">
        <v>0.92</v>
      </c>
      <c r="T220" s="147">
        <v>0.92</v>
      </c>
      <c r="U220" s="147"/>
      <c r="V220" s="147">
        <v>0.92</v>
      </c>
      <c r="W220" s="147">
        <v>0.92</v>
      </c>
      <c r="X220" s="147">
        <v>0.92</v>
      </c>
      <c r="Y220" s="147">
        <v>0.88</v>
      </c>
      <c r="Z220" s="147">
        <v>0.88</v>
      </c>
      <c r="AA220" s="147">
        <v>0.88</v>
      </c>
      <c r="AB220" s="147">
        <v>0.88</v>
      </c>
      <c r="AC220" s="147">
        <v>0.88</v>
      </c>
      <c r="AD220" s="147">
        <v>0.83</v>
      </c>
      <c r="AE220" s="147">
        <v>0.83</v>
      </c>
      <c r="AF220" s="147">
        <v>0.83</v>
      </c>
      <c r="AG220" s="147">
        <v>0.83</v>
      </c>
      <c r="AH220" s="147">
        <v>0.83</v>
      </c>
      <c r="AI220" s="147">
        <v>0.79</v>
      </c>
      <c r="AJ220" s="147">
        <v>0.79</v>
      </c>
      <c r="AK220" s="147">
        <v>0.79</v>
      </c>
      <c r="AL220" s="147">
        <v>0.79</v>
      </c>
      <c r="AM220" s="147">
        <v>0.79</v>
      </c>
      <c r="AN220" s="147">
        <v>0.74</v>
      </c>
      <c r="AO220" s="147">
        <v>0.74</v>
      </c>
      <c r="AP220" s="147">
        <v>0.74</v>
      </c>
      <c r="AQ220" s="147">
        <v>0.74</v>
      </c>
      <c r="AR220" s="147">
        <v>0.74</v>
      </c>
      <c r="AS220" s="147">
        <v>0.7</v>
      </c>
      <c r="AT220" s="147">
        <v>0.7</v>
      </c>
      <c r="AU220" s="147">
        <v>0.7</v>
      </c>
      <c r="AV220" s="147">
        <v>0.7</v>
      </c>
      <c r="AW220" s="147">
        <v>0.7</v>
      </c>
      <c r="AX220" s="147">
        <v>0.65</v>
      </c>
      <c r="AY220" s="147">
        <v>0.65</v>
      </c>
      <c r="AZ220" s="147">
        <v>0.65</v>
      </c>
      <c r="BA220" s="147">
        <v>0.65</v>
      </c>
      <c r="BB220" s="147">
        <v>0.65</v>
      </c>
      <c r="BC220" s="147">
        <v>0.61</v>
      </c>
      <c r="BD220" s="147">
        <v>0.61</v>
      </c>
      <c r="BE220" s="147">
        <v>0.61</v>
      </c>
      <c r="BF220" s="147">
        <v>0.61</v>
      </c>
      <c r="BG220" s="147">
        <v>0.61</v>
      </c>
      <c r="BH220" s="147">
        <v>0.56000000000000005</v>
      </c>
      <c r="BI220" s="147">
        <v>0.56000000000000005</v>
      </c>
      <c r="BJ220" s="147">
        <v>0.56000000000000005</v>
      </c>
      <c r="BK220" s="147">
        <v>0.56000000000000005</v>
      </c>
      <c r="BL220" s="147">
        <v>0.56000000000000005</v>
      </c>
      <c r="BM220" s="147">
        <v>0.52</v>
      </c>
      <c r="BN220" s="147">
        <v>0.52</v>
      </c>
      <c r="BO220" s="147">
        <v>0.52</v>
      </c>
      <c r="BP220" s="147">
        <v>0.52</v>
      </c>
      <c r="BQ220" s="147">
        <v>0.48</v>
      </c>
      <c r="BR220" s="147">
        <v>0.48</v>
      </c>
      <c r="BS220" s="147">
        <v>0.48</v>
      </c>
      <c r="BT220" s="147">
        <v>0.48</v>
      </c>
      <c r="BU220" s="147">
        <v>0.48</v>
      </c>
      <c r="BV220" s="147">
        <v>0.48</v>
      </c>
      <c r="BW220" s="147">
        <v>0.44</v>
      </c>
      <c r="BX220" s="147">
        <v>0.44</v>
      </c>
      <c r="BY220" s="147">
        <v>0.44</v>
      </c>
      <c r="BZ220" s="147">
        <v>0.44</v>
      </c>
      <c r="CA220" s="147">
        <v>0.4</v>
      </c>
    </row>
    <row r="221" spans="1:79">
      <c r="A221" s="144">
        <v>56</v>
      </c>
      <c r="B221" s="147">
        <v>0.92</v>
      </c>
      <c r="C221" s="147">
        <v>0.92</v>
      </c>
      <c r="D221" s="147">
        <v>0.92</v>
      </c>
      <c r="E221" s="147">
        <v>0.92</v>
      </c>
      <c r="F221" s="147">
        <v>0.92</v>
      </c>
      <c r="G221" s="147">
        <v>0.92</v>
      </c>
      <c r="H221" s="147">
        <v>0.92</v>
      </c>
      <c r="I221" s="147">
        <v>0.92</v>
      </c>
      <c r="J221" s="147">
        <v>0.92</v>
      </c>
      <c r="K221" s="147">
        <v>0.92</v>
      </c>
      <c r="L221" s="147">
        <v>0.92</v>
      </c>
      <c r="M221" s="147">
        <v>0.92</v>
      </c>
      <c r="N221" s="147">
        <v>0.92</v>
      </c>
      <c r="O221" s="147">
        <v>0.92</v>
      </c>
      <c r="P221" s="147">
        <v>0.92</v>
      </c>
      <c r="Q221" s="147">
        <v>0.92</v>
      </c>
      <c r="R221" s="147">
        <v>0.92</v>
      </c>
      <c r="S221" s="147">
        <v>0.92</v>
      </c>
      <c r="T221" s="147">
        <v>0.92</v>
      </c>
      <c r="U221" s="147"/>
      <c r="V221" s="147">
        <v>0.92</v>
      </c>
      <c r="W221" s="147">
        <v>0.92</v>
      </c>
      <c r="X221" s="147">
        <v>0.92</v>
      </c>
      <c r="Y221" s="147">
        <v>0.88</v>
      </c>
      <c r="Z221" s="147">
        <v>0.88</v>
      </c>
      <c r="AA221" s="147">
        <v>0.88</v>
      </c>
      <c r="AB221" s="147">
        <v>0.88</v>
      </c>
      <c r="AC221" s="147">
        <v>0.88</v>
      </c>
      <c r="AD221" s="147">
        <v>0.83</v>
      </c>
      <c r="AE221" s="147">
        <v>0.83</v>
      </c>
      <c r="AF221" s="147">
        <v>0.83</v>
      </c>
      <c r="AG221" s="147">
        <v>0.83</v>
      </c>
      <c r="AH221" s="147">
        <v>0.83</v>
      </c>
      <c r="AI221" s="147">
        <v>0.79</v>
      </c>
      <c r="AJ221" s="147">
        <v>0.79</v>
      </c>
      <c r="AK221" s="147">
        <v>0.79</v>
      </c>
      <c r="AL221" s="147">
        <v>0.79</v>
      </c>
      <c r="AM221" s="147">
        <v>0.79</v>
      </c>
      <c r="AN221" s="147">
        <v>0.74</v>
      </c>
      <c r="AO221" s="147">
        <v>0.74</v>
      </c>
      <c r="AP221" s="147">
        <v>0.74</v>
      </c>
      <c r="AQ221" s="147">
        <v>0.74</v>
      </c>
      <c r="AR221" s="147">
        <v>0.74</v>
      </c>
      <c r="AS221" s="147">
        <v>0.7</v>
      </c>
      <c r="AT221" s="147">
        <v>0.7</v>
      </c>
      <c r="AU221" s="147">
        <v>0.7</v>
      </c>
      <c r="AV221" s="147">
        <v>0.7</v>
      </c>
      <c r="AW221" s="147">
        <v>0.7</v>
      </c>
      <c r="AX221" s="147">
        <v>0.65</v>
      </c>
      <c r="AY221" s="147">
        <v>0.65</v>
      </c>
      <c r="AZ221" s="147">
        <v>0.65</v>
      </c>
      <c r="BA221" s="147">
        <v>0.65</v>
      </c>
      <c r="BB221" s="147">
        <v>0.65</v>
      </c>
      <c r="BC221" s="147">
        <v>0.61</v>
      </c>
      <c r="BD221" s="147">
        <v>0.61</v>
      </c>
      <c r="BE221" s="147">
        <v>0.61</v>
      </c>
      <c r="BF221" s="147">
        <v>0.61</v>
      </c>
      <c r="BG221" s="147">
        <v>0.61</v>
      </c>
      <c r="BH221" s="147">
        <v>0.56000000000000005</v>
      </c>
      <c r="BI221" s="147">
        <v>0.56000000000000005</v>
      </c>
      <c r="BJ221" s="147">
        <v>0.56000000000000005</v>
      </c>
      <c r="BK221" s="147">
        <v>0.56000000000000005</v>
      </c>
      <c r="BL221" s="147">
        <v>0.56000000000000005</v>
      </c>
      <c r="BM221" s="147">
        <v>0.52</v>
      </c>
      <c r="BN221" s="147">
        <v>0.52</v>
      </c>
      <c r="BO221" s="147">
        <v>0.52</v>
      </c>
      <c r="BP221" s="147">
        <v>0.52</v>
      </c>
      <c r="BQ221" s="147">
        <v>0.48</v>
      </c>
      <c r="BR221" s="147">
        <v>0.48</v>
      </c>
      <c r="BS221" s="147">
        <v>0.48</v>
      </c>
      <c r="BT221" s="147">
        <v>0.48</v>
      </c>
      <c r="BU221" s="147">
        <v>0.48</v>
      </c>
      <c r="BV221" s="147">
        <v>0.48</v>
      </c>
      <c r="BW221" s="147">
        <v>0.44</v>
      </c>
      <c r="BX221" s="147">
        <v>0.44</v>
      </c>
      <c r="BY221" s="147">
        <v>0.44</v>
      </c>
      <c r="BZ221" s="147">
        <v>0.44</v>
      </c>
      <c r="CA221" s="147">
        <v>0.4</v>
      </c>
    </row>
    <row r="222" spans="1:79">
      <c r="A222" s="144">
        <v>57</v>
      </c>
      <c r="B222" s="147">
        <v>0.92</v>
      </c>
      <c r="C222" s="147">
        <v>0.92</v>
      </c>
      <c r="D222" s="147">
        <v>0.92</v>
      </c>
      <c r="E222" s="147">
        <v>0.92</v>
      </c>
      <c r="F222" s="147">
        <v>0.92</v>
      </c>
      <c r="G222" s="147">
        <v>0.92</v>
      </c>
      <c r="H222" s="147">
        <v>0.92</v>
      </c>
      <c r="I222" s="147">
        <v>0.92</v>
      </c>
      <c r="J222" s="147">
        <v>0.92</v>
      </c>
      <c r="K222" s="147">
        <v>0.92</v>
      </c>
      <c r="L222" s="147">
        <v>0.92</v>
      </c>
      <c r="M222" s="147">
        <v>0.92</v>
      </c>
      <c r="N222" s="147">
        <v>0.92</v>
      </c>
      <c r="O222" s="147">
        <v>0.92</v>
      </c>
      <c r="P222" s="147">
        <v>0.92</v>
      </c>
      <c r="Q222" s="147">
        <v>0.92</v>
      </c>
      <c r="R222" s="147">
        <v>0.92</v>
      </c>
      <c r="S222" s="147">
        <v>0.92</v>
      </c>
      <c r="T222" s="147">
        <v>0.92</v>
      </c>
      <c r="U222" s="147"/>
      <c r="V222" s="147">
        <v>0.92</v>
      </c>
      <c r="W222" s="147">
        <v>0.92</v>
      </c>
      <c r="X222" s="147">
        <v>0.92</v>
      </c>
      <c r="Y222" s="147">
        <v>0.88</v>
      </c>
      <c r="Z222" s="147">
        <v>0.88</v>
      </c>
      <c r="AA222" s="147">
        <v>0.88</v>
      </c>
      <c r="AB222" s="147">
        <v>0.88</v>
      </c>
      <c r="AC222" s="147">
        <v>0.88</v>
      </c>
      <c r="AD222" s="147">
        <v>0.83</v>
      </c>
      <c r="AE222" s="147">
        <v>0.83</v>
      </c>
      <c r="AF222" s="147">
        <v>0.83</v>
      </c>
      <c r="AG222" s="147">
        <v>0.83</v>
      </c>
      <c r="AH222" s="147">
        <v>0.83</v>
      </c>
      <c r="AI222" s="147">
        <v>0.79</v>
      </c>
      <c r="AJ222" s="147">
        <v>0.79</v>
      </c>
      <c r="AK222" s="147">
        <v>0.79</v>
      </c>
      <c r="AL222" s="147">
        <v>0.79</v>
      </c>
      <c r="AM222" s="147">
        <v>0.79</v>
      </c>
      <c r="AN222" s="147">
        <v>0.74</v>
      </c>
      <c r="AO222" s="147">
        <v>0.74</v>
      </c>
      <c r="AP222" s="147">
        <v>0.74</v>
      </c>
      <c r="AQ222" s="147">
        <v>0.74</v>
      </c>
      <c r="AR222" s="147">
        <v>0.74</v>
      </c>
      <c r="AS222" s="147">
        <v>0.7</v>
      </c>
      <c r="AT222" s="147">
        <v>0.7</v>
      </c>
      <c r="AU222" s="147">
        <v>0.7</v>
      </c>
      <c r="AV222" s="147">
        <v>0.7</v>
      </c>
      <c r="AW222" s="147">
        <v>0.7</v>
      </c>
      <c r="AX222" s="147">
        <v>0.65</v>
      </c>
      <c r="AY222" s="147">
        <v>0.65</v>
      </c>
      <c r="AZ222" s="147">
        <v>0.65</v>
      </c>
      <c r="BA222" s="147">
        <v>0.65</v>
      </c>
      <c r="BB222" s="147">
        <v>0.65</v>
      </c>
      <c r="BC222" s="147">
        <v>0.61</v>
      </c>
      <c r="BD222" s="147">
        <v>0.61</v>
      </c>
      <c r="BE222" s="147">
        <v>0.61</v>
      </c>
      <c r="BF222" s="147">
        <v>0.61</v>
      </c>
      <c r="BG222" s="147">
        <v>0.61</v>
      </c>
      <c r="BH222" s="147">
        <v>0.56000000000000005</v>
      </c>
      <c r="BI222" s="147">
        <v>0.56000000000000005</v>
      </c>
      <c r="BJ222" s="147">
        <v>0.56000000000000005</v>
      </c>
      <c r="BK222" s="147">
        <v>0.56000000000000005</v>
      </c>
      <c r="BL222" s="147">
        <v>0.56000000000000005</v>
      </c>
      <c r="BM222" s="147">
        <v>0.52</v>
      </c>
      <c r="BN222" s="147">
        <v>0.52</v>
      </c>
      <c r="BO222" s="147">
        <v>0.52</v>
      </c>
      <c r="BP222" s="147">
        <v>0.52</v>
      </c>
      <c r="BQ222" s="147">
        <v>0.48</v>
      </c>
      <c r="BR222" s="147">
        <v>0.48</v>
      </c>
      <c r="BS222" s="147">
        <v>0.48</v>
      </c>
      <c r="BT222" s="147">
        <v>0.48</v>
      </c>
      <c r="BU222" s="147">
        <v>0.48</v>
      </c>
      <c r="BV222" s="147">
        <v>0.48</v>
      </c>
      <c r="BW222" s="147">
        <v>0.44</v>
      </c>
      <c r="BX222" s="147">
        <v>0.44</v>
      </c>
      <c r="BY222" s="147">
        <v>0.44</v>
      </c>
      <c r="BZ222" s="147">
        <v>0.44</v>
      </c>
      <c r="CA222" s="147">
        <v>0.4</v>
      </c>
    </row>
    <row r="223" spans="1:79">
      <c r="A223" s="144">
        <v>58</v>
      </c>
      <c r="B223" s="147">
        <v>0.92</v>
      </c>
      <c r="C223" s="147">
        <v>0.92</v>
      </c>
      <c r="D223" s="147">
        <v>0.92</v>
      </c>
      <c r="E223" s="147">
        <v>0.92</v>
      </c>
      <c r="F223" s="147">
        <v>0.92</v>
      </c>
      <c r="G223" s="147">
        <v>0.92</v>
      </c>
      <c r="H223" s="147">
        <v>0.92</v>
      </c>
      <c r="I223" s="147">
        <v>0.92</v>
      </c>
      <c r="J223" s="147">
        <v>0.92</v>
      </c>
      <c r="K223" s="147">
        <v>0.92</v>
      </c>
      <c r="L223" s="147">
        <v>0.92</v>
      </c>
      <c r="M223" s="147">
        <v>0.92</v>
      </c>
      <c r="N223" s="147">
        <v>0.92</v>
      </c>
      <c r="O223" s="147">
        <v>0.92</v>
      </c>
      <c r="P223" s="147">
        <v>0.92</v>
      </c>
      <c r="Q223" s="147">
        <v>0.92</v>
      </c>
      <c r="R223" s="147">
        <v>0.92</v>
      </c>
      <c r="S223" s="147">
        <v>0.92</v>
      </c>
      <c r="T223" s="147">
        <v>0.92</v>
      </c>
      <c r="U223" s="147"/>
      <c r="V223" s="147">
        <v>0.92</v>
      </c>
      <c r="W223" s="147">
        <v>0.92</v>
      </c>
      <c r="X223" s="147">
        <v>0.92</v>
      </c>
      <c r="Y223" s="147">
        <v>0.88</v>
      </c>
      <c r="Z223" s="147">
        <v>0.88</v>
      </c>
      <c r="AA223" s="147">
        <v>0.88</v>
      </c>
      <c r="AB223" s="147">
        <v>0.88</v>
      </c>
      <c r="AC223" s="147">
        <v>0.88</v>
      </c>
      <c r="AD223" s="147">
        <v>0.83</v>
      </c>
      <c r="AE223" s="147">
        <v>0.83</v>
      </c>
      <c r="AF223" s="147">
        <v>0.83</v>
      </c>
      <c r="AG223" s="147">
        <v>0.83</v>
      </c>
      <c r="AH223" s="147">
        <v>0.83</v>
      </c>
      <c r="AI223" s="147">
        <v>0.79</v>
      </c>
      <c r="AJ223" s="147">
        <v>0.79</v>
      </c>
      <c r="AK223" s="147">
        <v>0.79</v>
      </c>
      <c r="AL223" s="147">
        <v>0.79</v>
      </c>
      <c r="AM223" s="147">
        <v>0.79</v>
      </c>
      <c r="AN223" s="147">
        <v>0.74</v>
      </c>
      <c r="AO223" s="147">
        <v>0.74</v>
      </c>
      <c r="AP223" s="147">
        <v>0.74</v>
      </c>
      <c r="AQ223" s="147">
        <v>0.74</v>
      </c>
      <c r="AR223" s="147">
        <v>0.74</v>
      </c>
      <c r="AS223" s="147">
        <v>0.7</v>
      </c>
      <c r="AT223" s="147">
        <v>0.7</v>
      </c>
      <c r="AU223" s="147">
        <v>0.7</v>
      </c>
      <c r="AV223" s="147">
        <v>0.7</v>
      </c>
      <c r="AW223" s="147">
        <v>0.7</v>
      </c>
      <c r="AX223" s="147">
        <v>0.65</v>
      </c>
      <c r="AY223" s="147">
        <v>0.65</v>
      </c>
      <c r="AZ223" s="147">
        <v>0.65</v>
      </c>
      <c r="BA223" s="147">
        <v>0.65</v>
      </c>
      <c r="BB223" s="147">
        <v>0.65</v>
      </c>
      <c r="BC223" s="147">
        <v>0.61</v>
      </c>
      <c r="BD223" s="147">
        <v>0.61</v>
      </c>
      <c r="BE223" s="147">
        <v>0.61</v>
      </c>
      <c r="BF223" s="147">
        <v>0.61</v>
      </c>
      <c r="BG223" s="147">
        <v>0.61</v>
      </c>
      <c r="BH223" s="147">
        <v>0.56000000000000005</v>
      </c>
      <c r="BI223" s="147">
        <v>0.56000000000000005</v>
      </c>
      <c r="BJ223" s="147">
        <v>0.56000000000000005</v>
      </c>
      <c r="BK223" s="147">
        <v>0.56000000000000005</v>
      </c>
      <c r="BL223" s="147">
        <v>0.56000000000000005</v>
      </c>
      <c r="BM223" s="147">
        <v>0.52</v>
      </c>
      <c r="BN223" s="147">
        <v>0.52</v>
      </c>
      <c r="BO223" s="147">
        <v>0.52</v>
      </c>
      <c r="BP223" s="147">
        <v>0.52</v>
      </c>
      <c r="BQ223" s="147">
        <v>0.48</v>
      </c>
      <c r="BR223" s="147">
        <v>0.48</v>
      </c>
      <c r="BS223" s="147">
        <v>0.48</v>
      </c>
      <c r="BT223" s="147">
        <v>0.48</v>
      </c>
      <c r="BU223" s="147">
        <v>0.48</v>
      </c>
      <c r="BV223" s="147">
        <v>0.48</v>
      </c>
      <c r="BW223" s="147">
        <v>0.44</v>
      </c>
      <c r="BX223" s="147">
        <v>0.44</v>
      </c>
      <c r="BY223" s="147">
        <v>0.44</v>
      </c>
      <c r="BZ223" s="147">
        <v>0.44</v>
      </c>
      <c r="CA223" s="147">
        <v>0.4</v>
      </c>
    </row>
    <row r="224" spans="1:79">
      <c r="A224" s="144">
        <v>59</v>
      </c>
      <c r="B224" s="147">
        <v>0.92</v>
      </c>
      <c r="C224" s="147">
        <v>0.92</v>
      </c>
      <c r="D224" s="147">
        <v>0.92</v>
      </c>
      <c r="E224" s="147">
        <v>0.92</v>
      </c>
      <c r="F224" s="147">
        <v>0.92</v>
      </c>
      <c r="G224" s="147">
        <v>0.92</v>
      </c>
      <c r="H224" s="147">
        <v>0.92</v>
      </c>
      <c r="I224" s="147">
        <v>0.92</v>
      </c>
      <c r="J224" s="147">
        <v>0.92</v>
      </c>
      <c r="K224" s="147">
        <v>0.92</v>
      </c>
      <c r="L224" s="147">
        <v>0.92</v>
      </c>
      <c r="M224" s="147">
        <v>0.92</v>
      </c>
      <c r="N224" s="147">
        <v>0.92</v>
      </c>
      <c r="O224" s="147">
        <v>0.92</v>
      </c>
      <c r="P224" s="147">
        <v>0.92</v>
      </c>
      <c r="Q224" s="147">
        <v>0.92</v>
      </c>
      <c r="R224" s="147">
        <v>0.92</v>
      </c>
      <c r="S224" s="147">
        <v>0.92</v>
      </c>
      <c r="T224" s="147">
        <v>0.92</v>
      </c>
      <c r="U224" s="147"/>
      <c r="V224" s="147">
        <v>0.92</v>
      </c>
      <c r="W224" s="147">
        <v>0.92</v>
      </c>
      <c r="X224" s="147">
        <v>0.92</v>
      </c>
      <c r="Y224" s="147">
        <v>0.88</v>
      </c>
      <c r="Z224" s="147">
        <v>0.88</v>
      </c>
      <c r="AA224" s="147">
        <v>0.88</v>
      </c>
      <c r="AB224" s="147">
        <v>0.88</v>
      </c>
      <c r="AC224" s="147">
        <v>0.88</v>
      </c>
      <c r="AD224" s="147">
        <v>0.83</v>
      </c>
      <c r="AE224" s="147">
        <v>0.83</v>
      </c>
      <c r="AF224" s="147">
        <v>0.83</v>
      </c>
      <c r="AG224" s="147">
        <v>0.83</v>
      </c>
      <c r="AH224" s="147">
        <v>0.83</v>
      </c>
      <c r="AI224" s="147">
        <v>0.79</v>
      </c>
      <c r="AJ224" s="147">
        <v>0.79</v>
      </c>
      <c r="AK224" s="147">
        <v>0.79</v>
      </c>
      <c r="AL224" s="147">
        <v>0.79</v>
      </c>
      <c r="AM224" s="147">
        <v>0.79</v>
      </c>
      <c r="AN224" s="147">
        <v>0.74</v>
      </c>
      <c r="AO224" s="147">
        <v>0.74</v>
      </c>
      <c r="AP224" s="147">
        <v>0.74</v>
      </c>
      <c r="AQ224" s="147">
        <v>0.74</v>
      </c>
      <c r="AR224" s="147">
        <v>0.74</v>
      </c>
      <c r="AS224" s="147">
        <v>0.7</v>
      </c>
      <c r="AT224" s="147">
        <v>0.7</v>
      </c>
      <c r="AU224" s="147">
        <v>0.7</v>
      </c>
      <c r="AV224" s="147">
        <v>0.7</v>
      </c>
      <c r="AW224" s="147">
        <v>0.7</v>
      </c>
      <c r="AX224" s="147">
        <v>0.65</v>
      </c>
      <c r="AY224" s="147">
        <v>0.65</v>
      </c>
      <c r="AZ224" s="147">
        <v>0.65</v>
      </c>
      <c r="BA224" s="147">
        <v>0.65</v>
      </c>
      <c r="BB224" s="147">
        <v>0.65</v>
      </c>
      <c r="BC224" s="147">
        <v>0.61</v>
      </c>
      <c r="BD224" s="147">
        <v>0.61</v>
      </c>
      <c r="BE224" s="147">
        <v>0.61</v>
      </c>
      <c r="BF224" s="147">
        <v>0.61</v>
      </c>
      <c r="BG224" s="147">
        <v>0.61</v>
      </c>
      <c r="BH224" s="147">
        <v>0.56000000000000005</v>
      </c>
      <c r="BI224" s="147">
        <v>0.56000000000000005</v>
      </c>
      <c r="BJ224" s="147">
        <v>0.56000000000000005</v>
      </c>
      <c r="BK224" s="147">
        <v>0.56000000000000005</v>
      </c>
      <c r="BL224" s="147">
        <v>0.56000000000000005</v>
      </c>
      <c r="BM224" s="147">
        <v>0.52</v>
      </c>
      <c r="BN224" s="147">
        <v>0.52</v>
      </c>
      <c r="BO224" s="147">
        <v>0.52</v>
      </c>
      <c r="BP224" s="147">
        <v>0.52</v>
      </c>
      <c r="BQ224" s="147">
        <v>0.48</v>
      </c>
      <c r="BR224" s="147">
        <v>0.48</v>
      </c>
      <c r="BS224" s="147">
        <v>0.48</v>
      </c>
      <c r="BT224" s="147">
        <v>0.48</v>
      </c>
      <c r="BU224" s="147">
        <v>0.48</v>
      </c>
      <c r="BV224" s="147">
        <v>0.48</v>
      </c>
      <c r="BW224" s="147">
        <v>0.44</v>
      </c>
      <c r="BX224" s="147">
        <v>0.44</v>
      </c>
      <c r="BY224" s="147">
        <v>0.44</v>
      </c>
      <c r="BZ224" s="147">
        <v>0.44</v>
      </c>
      <c r="CA224" s="147">
        <v>0.4</v>
      </c>
    </row>
    <row r="225" spans="1:79">
      <c r="A225" s="144">
        <v>60</v>
      </c>
      <c r="B225" s="147">
        <v>0.92</v>
      </c>
      <c r="C225" s="147">
        <v>0.92</v>
      </c>
      <c r="D225" s="147">
        <v>0.92</v>
      </c>
      <c r="E225" s="147">
        <v>0.92</v>
      </c>
      <c r="F225" s="147">
        <v>0.92</v>
      </c>
      <c r="G225" s="147">
        <v>0.92</v>
      </c>
      <c r="H225" s="147">
        <v>0.92</v>
      </c>
      <c r="I225" s="147">
        <v>0.92</v>
      </c>
      <c r="J225" s="147">
        <v>0.92</v>
      </c>
      <c r="K225" s="147">
        <v>0.92</v>
      </c>
      <c r="L225" s="147">
        <v>0.92</v>
      </c>
      <c r="M225" s="147">
        <v>0.92</v>
      </c>
      <c r="N225" s="147">
        <v>0.92</v>
      </c>
      <c r="O225" s="147">
        <v>0.92</v>
      </c>
      <c r="P225" s="147">
        <v>0.92</v>
      </c>
      <c r="Q225" s="147">
        <v>0.92</v>
      </c>
      <c r="R225" s="147">
        <v>0.92</v>
      </c>
      <c r="S225" s="147">
        <v>0.92</v>
      </c>
      <c r="T225" s="147">
        <v>0.92</v>
      </c>
      <c r="U225" s="147"/>
      <c r="V225" s="147">
        <v>0.92</v>
      </c>
      <c r="W225" s="147">
        <v>0.92</v>
      </c>
      <c r="X225" s="147">
        <v>0.92</v>
      </c>
      <c r="Y225" s="147">
        <v>0.88</v>
      </c>
      <c r="Z225" s="147">
        <v>0.88</v>
      </c>
      <c r="AA225" s="147">
        <v>0.88</v>
      </c>
      <c r="AB225" s="147">
        <v>0.88</v>
      </c>
      <c r="AC225" s="147">
        <v>0.88</v>
      </c>
      <c r="AD225" s="147">
        <v>0.83</v>
      </c>
      <c r="AE225" s="147">
        <v>0.83</v>
      </c>
      <c r="AF225" s="147">
        <v>0.83</v>
      </c>
      <c r="AG225" s="147">
        <v>0.83</v>
      </c>
      <c r="AH225" s="147">
        <v>0.83</v>
      </c>
      <c r="AI225" s="147">
        <v>0.79</v>
      </c>
      <c r="AJ225" s="147">
        <v>0.79</v>
      </c>
      <c r="AK225" s="147">
        <v>0.79</v>
      </c>
      <c r="AL225" s="147">
        <v>0.79</v>
      </c>
      <c r="AM225" s="147">
        <v>0.79</v>
      </c>
      <c r="AN225" s="147">
        <v>0.74</v>
      </c>
      <c r="AO225" s="147">
        <v>0.74</v>
      </c>
      <c r="AP225" s="147">
        <v>0.74</v>
      </c>
      <c r="AQ225" s="147">
        <v>0.74</v>
      </c>
      <c r="AR225" s="147">
        <v>0.74</v>
      </c>
      <c r="AS225" s="147">
        <v>0.7</v>
      </c>
      <c r="AT225" s="147">
        <v>0.7</v>
      </c>
      <c r="AU225" s="147">
        <v>0.7</v>
      </c>
      <c r="AV225" s="147">
        <v>0.7</v>
      </c>
      <c r="AW225" s="147">
        <v>0.7</v>
      </c>
      <c r="AX225" s="147">
        <v>0.65</v>
      </c>
      <c r="AY225" s="147">
        <v>0.65</v>
      </c>
      <c r="AZ225" s="147">
        <v>0.65</v>
      </c>
      <c r="BA225" s="147">
        <v>0.65</v>
      </c>
      <c r="BB225" s="147">
        <v>0.65</v>
      </c>
      <c r="BC225" s="147">
        <v>0.61</v>
      </c>
      <c r="BD225" s="147">
        <v>0.61</v>
      </c>
      <c r="BE225" s="147">
        <v>0.61</v>
      </c>
      <c r="BF225" s="147">
        <v>0.61</v>
      </c>
      <c r="BG225" s="147">
        <v>0.61</v>
      </c>
      <c r="BH225" s="147">
        <v>0.56000000000000005</v>
      </c>
      <c r="BI225" s="147">
        <v>0.56000000000000005</v>
      </c>
      <c r="BJ225" s="147">
        <v>0.56000000000000005</v>
      </c>
      <c r="BK225" s="147">
        <v>0.56000000000000005</v>
      </c>
      <c r="BL225" s="147">
        <v>0.56000000000000005</v>
      </c>
      <c r="BM225" s="147">
        <v>0.52</v>
      </c>
      <c r="BN225" s="147">
        <v>0.52</v>
      </c>
      <c r="BO225" s="147">
        <v>0.52</v>
      </c>
      <c r="BP225" s="147">
        <v>0.52</v>
      </c>
      <c r="BQ225" s="147">
        <v>0.48</v>
      </c>
      <c r="BR225" s="147">
        <v>0.48</v>
      </c>
      <c r="BS225" s="147">
        <v>0.48</v>
      </c>
      <c r="BT225" s="147">
        <v>0.48</v>
      </c>
      <c r="BU225" s="147">
        <v>0.48</v>
      </c>
      <c r="BV225" s="147">
        <v>0.48</v>
      </c>
      <c r="BW225" s="147">
        <v>0.44</v>
      </c>
      <c r="BX225" s="147">
        <v>0.44</v>
      </c>
      <c r="BY225" s="147">
        <v>0.44</v>
      </c>
      <c r="BZ225" s="147">
        <v>0.44</v>
      </c>
      <c r="CA225" s="147">
        <v>0.4</v>
      </c>
    </row>
    <row r="226" spans="1:79">
      <c r="A226" s="144">
        <v>61</v>
      </c>
      <c r="B226" s="147">
        <v>0.87</v>
      </c>
      <c r="C226" s="147">
        <v>0.87</v>
      </c>
      <c r="D226" s="147">
        <v>0.87</v>
      </c>
      <c r="E226" s="147">
        <v>0.87</v>
      </c>
      <c r="F226" s="147">
        <v>0.87</v>
      </c>
      <c r="G226" s="147">
        <v>0.87</v>
      </c>
      <c r="H226" s="147">
        <v>0.87</v>
      </c>
      <c r="I226" s="147">
        <v>0.87</v>
      </c>
      <c r="J226" s="147">
        <v>0.87</v>
      </c>
      <c r="K226" s="147">
        <v>0.87</v>
      </c>
      <c r="L226" s="147">
        <v>0.87</v>
      </c>
      <c r="M226" s="147">
        <v>0.87</v>
      </c>
      <c r="N226" s="147">
        <v>0.87</v>
      </c>
      <c r="O226" s="147">
        <v>0.87</v>
      </c>
      <c r="P226" s="147">
        <v>0.87</v>
      </c>
      <c r="Q226" s="147">
        <v>0.87</v>
      </c>
      <c r="R226" s="147">
        <v>0.87</v>
      </c>
      <c r="S226" s="147">
        <v>0.87</v>
      </c>
      <c r="T226" s="147">
        <v>0.87</v>
      </c>
      <c r="U226" s="147"/>
      <c r="V226" s="147">
        <v>0.87</v>
      </c>
      <c r="W226" s="147">
        <v>0.87</v>
      </c>
      <c r="X226" s="147">
        <v>0.87</v>
      </c>
      <c r="Y226" s="147">
        <v>0.83</v>
      </c>
      <c r="Z226" s="147">
        <v>0.83</v>
      </c>
      <c r="AA226" s="147">
        <v>0.83</v>
      </c>
      <c r="AB226" s="147">
        <v>0.83</v>
      </c>
      <c r="AC226" s="147">
        <v>0.83</v>
      </c>
      <c r="AD226" s="147">
        <v>0.79</v>
      </c>
      <c r="AE226" s="147">
        <v>0.79</v>
      </c>
      <c r="AF226" s="147">
        <v>0.79</v>
      </c>
      <c r="AG226" s="147">
        <v>0.79</v>
      </c>
      <c r="AH226" s="147">
        <v>0.79</v>
      </c>
      <c r="AI226" s="147">
        <v>0.75</v>
      </c>
      <c r="AJ226" s="147">
        <v>0.75</v>
      </c>
      <c r="AK226" s="147">
        <v>0.75</v>
      </c>
      <c r="AL226" s="147">
        <v>0.75</v>
      </c>
      <c r="AM226" s="147">
        <v>0.75</v>
      </c>
      <c r="AN226" s="147">
        <v>0.71</v>
      </c>
      <c r="AO226" s="147">
        <v>0.71</v>
      </c>
      <c r="AP226" s="147">
        <v>0.71</v>
      </c>
      <c r="AQ226" s="147">
        <v>0.71</v>
      </c>
      <c r="AR226" s="147">
        <v>0.71</v>
      </c>
      <c r="AS226" s="147">
        <v>0.67</v>
      </c>
      <c r="AT226" s="147">
        <v>0.67</v>
      </c>
      <c r="AU226" s="147">
        <v>0.67</v>
      </c>
      <c r="AV226" s="147">
        <v>0.67</v>
      </c>
      <c r="AW226" s="147">
        <v>0.67</v>
      </c>
      <c r="AX226" s="147">
        <v>0.63</v>
      </c>
      <c r="AY226" s="147">
        <v>0.63</v>
      </c>
      <c r="AZ226" s="147">
        <v>0.63</v>
      </c>
      <c r="BA226" s="147">
        <v>0.63</v>
      </c>
      <c r="BB226" s="147">
        <v>0.63</v>
      </c>
      <c r="BC226" s="147">
        <v>0.59</v>
      </c>
      <c r="BD226" s="147">
        <v>0.59</v>
      </c>
      <c r="BE226" s="147">
        <v>0.59</v>
      </c>
      <c r="BF226" s="147">
        <v>0.59</v>
      </c>
      <c r="BG226" s="147">
        <v>0.59</v>
      </c>
      <c r="BH226" s="147">
        <v>0.55000000000000004</v>
      </c>
      <c r="BI226" s="147">
        <v>0.55000000000000004</v>
      </c>
      <c r="BJ226" s="147">
        <v>0.55000000000000004</v>
      </c>
      <c r="BK226" s="147">
        <v>0.55000000000000004</v>
      </c>
      <c r="BL226" s="147">
        <v>0.55000000000000004</v>
      </c>
      <c r="BM226" s="147">
        <v>0.51</v>
      </c>
      <c r="BN226" s="147">
        <v>0.51</v>
      </c>
      <c r="BO226" s="147">
        <v>0.51</v>
      </c>
      <c r="BP226" s="147">
        <v>0.51</v>
      </c>
      <c r="BQ226" s="147">
        <v>0.47</v>
      </c>
      <c r="BR226" s="147">
        <v>0.47</v>
      </c>
      <c r="BS226" s="147">
        <v>0.47</v>
      </c>
      <c r="BT226" s="147">
        <v>0.47</v>
      </c>
      <c r="BU226" s="147">
        <v>0.47</v>
      </c>
      <c r="BV226" s="147">
        <v>0.47</v>
      </c>
      <c r="BW226" s="147">
        <v>0.44</v>
      </c>
      <c r="BX226" s="147">
        <v>0.44</v>
      </c>
      <c r="BY226" s="147">
        <v>0.44</v>
      </c>
      <c r="BZ226" s="147">
        <v>0.44</v>
      </c>
      <c r="CA226" s="147">
        <v>0.4</v>
      </c>
    </row>
    <row r="227" spans="1:79">
      <c r="A227" s="144">
        <v>62</v>
      </c>
      <c r="B227" s="147">
        <v>0.87</v>
      </c>
      <c r="C227" s="147">
        <v>0.87</v>
      </c>
      <c r="D227" s="147">
        <v>0.87</v>
      </c>
      <c r="E227" s="147">
        <v>0.87</v>
      </c>
      <c r="F227" s="147">
        <v>0.87</v>
      </c>
      <c r="G227" s="147">
        <v>0.87</v>
      </c>
      <c r="H227" s="147">
        <v>0.87</v>
      </c>
      <c r="I227" s="147">
        <v>0.87</v>
      </c>
      <c r="J227" s="147">
        <v>0.87</v>
      </c>
      <c r="K227" s="147">
        <v>0.87</v>
      </c>
      <c r="L227" s="147">
        <v>0.87</v>
      </c>
      <c r="M227" s="147">
        <v>0.87</v>
      </c>
      <c r="N227" s="147">
        <v>0.87</v>
      </c>
      <c r="O227" s="147">
        <v>0.87</v>
      </c>
      <c r="P227" s="147">
        <v>0.87</v>
      </c>
      <c r="Q227" s="147">
        <v>0.87</v>
      </c>
      <c r="R227" s="147">
        <v>0.87</v>
      </c>
      <c r="S227" s="147">
        <v>0.87</v>
      </c>
      <c r="T227" s="147">
        <v>0.87</v>
      </c>
      <c r="U227" s="147"/>
      <c r="V227" s="147">
        <v>0.87</v>
      </c>
      <c r="W227" s="147">
        <v>0.87</v>
      </c>
      <c r="X227" s="147">
        <v>0.87</v>
      </c>
      <c r="Y227" s="147">
        <v>0.83</v>
      </c>
      <c r="Z227" s="147">
        <v>0.83</v>
      </c>
      <c r="AA227" s="147">
        <v>0.83</v>
      </c>
      <c r="AB227" s="147">
        <v>0.83</v>
      </c>
      <c r="AC227" s="147">
        <v>0.83</v>
      </c>
      <c r="AD227" s="147">
        <v>0.79</v>
      </c>
      <c r="AE227" s="147">
        <v>0.79</v>
      </c>
      <c r="AF227" s="147">
        <v>0.79</v>
      </c>
      <c r="AG227" s="147">
        <v>0.79</v>
      </c>
      <c r="AH227" s="147">
        <v>0.79</v>
      </c>
      <c r="AI227" s="147">
        <v>0.75</v>
      </c>
      <c r="AJ227" s="147">
        <v>0.75</v>
      </c>
      <c r="AK227" s="147">
        <v>0.75</v>
      </c>
      <c r="AL227" s="147">
        <v>0.75</v>
      </c>
      <c r="AM227" s="147">
        <v>0.75</v>
      </c>
      <c r="AN227" s="147">
        <v>0.71</v>
      </c>
      <c r="AO227" s="147">
        <v>0.71</v>
      </c>
      <c r="AP227" s="147">
        <v>0.71</v>
      </c>
      <c r="AQ227" s="147">
        <v>0.71</v>
      </c>
      <c r="AR227" s="147">
        <v>0.71</v>
      </c>
      <c r="AS227" s="147">
        <v>0.67</v>
      </c>
      <c r="AT227" s="147">
        <v>0.67</v>
      </c>
      <c r="AU227" s="147">
        <v>0.67</v>
      </c>
      <c r="AV227" s="147">
        <v>0.67</v>
      </c>
      <c r="AW227" s="147">
        <v>0.67</v>
      </c>
      <c r="AX227" s="147">
        <v>0.63</v>
      </c>
      <c r="AY227" s="147">
        <v>0.63</v>
      </c>
      <c r="AZ227" s="147">
        <v>0.63</v>
      </c>
      <c r="BA227" s="147">
        <v>0.63</v>
      </c>
      <c r="BB227" s="147">
        <v>0.63</v>
      </c>
      <c r="BC227" s="147">
        <v>0.59</v>
      </c>
      <c r="BD227" s="147">
        <v>0.59</v>
      </c>
      <c r="BE227" s="147">
        <v>0.59</v>
      </c>
      <c r="BF227" s="147">
        <v>0.59</v>
      </c>
      <c r="BG227" s="147">
        <v>0.59</v>
      </c>
      <c r="BH227" s="147">
        <v>0.55000000000000004</v>
      </c>
      <c r="BI227" s="147">
        <v>0.55000000000000004</v>
      </c>
      <c r="BJ227" s="147">
        <v>0.55000000000000004</v>
      </c>
      <c r="BK227" s="147">
        <v>0.55000000000000004</v>
      </c>
      <c r="BL227" s="147">
        <v>0.55000000000000004</v>
      </c>
      <c r="BM227" s="147">
        <v>0.51</v>
      </c>
      <c r="BN227" s="147">
        <v>0.51</v>
      </c>
      <c r="BO227" s="147">
        <v>0.51</v>
      </c>
      <c r="BP227" s="147">
        <v>0.51</v>
      </c>
      <c r="BQ227" s="147">
        <v>0.47</v>
      </c>
      <c r="BR227" s="147">
        <v>0.47</v>
      </c>
      <c r="BS227" s="147">
        <v>0.47</v>
      </c>
      <c r="BT227" s="147">
        <v>0.47</v>
      </c>
      <c r="BU227" s="147">
        <v>0.47</v>
      </c>
      <c r="BV227" s="147">
        <v>0.47</v>
      </c>
      <c r="BW227" s="147">
        <v>0.44</v>
      </c>
      <c r="BX227" s="147">
        <v>0.44</v>
      </c>
      <c r="BY227" s="147">
        <v>0.44</v>
      </c>
      <c r="BZ227" s="147">
        <v>0.44</v>
      </c>
      <c r="CA227" s="147">
        <v>0.4</v>
      </c>
    </row>
    <row r="228" spans="1:79">
      <c r="A228" s="144">
        <v>63</v>
      </c>
      <c r="B228" s="147">
        <v>0.87</v>
      </c>
      <c r="C228" s="147">
        <v>0.87</v>
      </c>
      <c r="D228" s="147">
        <v>0.87</v>
      </c>
      <c r="E228" s="147">
        <v>0.87</v>
      </c>
      <c r="F228" s="147">
        <v>0.87</v>
      </c>
      <c r="G228" s="147">
        <v>0.87</v>
      </c>
      <c r="H228" s="147">
        <v>0.87</v>
      </c>
      <c r="I228" s="147">
        <v>0.87</v>
      </c>
      <c r="J228" s="147">
        <v>0.87</v>
      </c>
      <c r="K228" s="147">
        <v>0.87</v>
      </c>
      <c r="L228" s="147">
        <v>0.87</v>
      </c>
      <c r="M228" s="147">
        <v>0.87</v>
      </c>
      <c r="N228" s="147">
        <v>0.87</v>
      </c>
      <c r="O228" s="147">
        <v>0.87</v>
      </c>
      <c r="P228" s="147">
        <v>0.87</v>
      </c>
      <c r="Q228" s="147">
        <v>0.87</v>
      </c>
      <c r="R228" s="147">
        <v>0.87</v>
      </c>
      <c r="S228" s="147">
        <v>0.87</v>
      </c>
      <c r="T228" s="147">
        <v>0.87</v>
      </c>
      <c r="U228" s="147"/>
      <c r="V228" s="147">
        <v>0.87</v>
      </c>
      <c r="W228" s="147">
        <v>0.87</v>
      </c>
      <c r="X228" s="147">
        <v>0.87</v>
      </c>
      <c r="Y228" s="147">
        <v>0.83</v>
      </c>
      <c r="Z228" s="147">
        <v>0.83</v>
      </c>
      <c r="AA228" s="147">
        <v>0.83</v>
      </c>
      <c r="AB228" s="147">
        <v>0.83</v>
      </c>
      <c r="AC228" s="147">
        <v>0.83</v>
      </c>
      <c r="AD228" s="147">
        <v>0.79</v>
      </c>
      <c r="AE228" s="147">
        <v>0.79</v>
      </c>
      <c r="AF228" s="147">
        <v>0.79</v>
      </c>
      <c r="AG228" s="147">
        <v>0.79</v>
      </c>
      <c r="AH228" s="147">
        <v>0.79</v>
      </c>
      <c r="AI228" s="147">
        <v>0.75</v>
      </c>
      <c r="AJ228" s="147">
        <v>0.75</v>
      </c>
      <c r="AK228" s="147">
        <v>0.75</v>
      </c>
      <c r="AL228" s="147">
        <v>0.75</v>
      </c>
      <c r="AM228" s="147">
        <v>0.75</v>
      </c>
      <c r="AN228" s="147">
        <v>0.71</v>
      </c>
      <c r="AO228" s="147">
        <v>0.71</v>
      </c>
      <c r="AP228" s="147">
        <v>0.71</v>
      </c>
      <c r="AQ228" s="147">
        <v>0.71</v>
      </c>
      <c r="AR228" s="147">
        <v>0.71</v>
      </c>
      <c r="AS228" s="147">
        <v>0.67</v>
      </c>
      <c r="AT228" s="147">
        <v>0.67</v>
      </c>
      <c r="AU228" s="147">
        <v>0.67</v>
      </c>
      <c r="AV228" s="147">
        <v>0.67</v>
      </c>
      <c r="AW228" s="147">
        <v>0.67</v>
      </c>
      <c r="AX228" s="147">
        <v>0.63</v>
      </c>
      <c r="AY228" s="147">
        <v>0.63</v>
      </c>
      <c r="AZ228" s="147">
        <v>0.63</v>
      </c>
      <c r="BA228" s="147">
        <v>0.63</v>
      </c>
      <c r="BB228" s="147">
        <v>0.63</v>
      </c>
      <c r="BC228" s="147">
        <v>0.59</v>
      </c>
      <c r="BD228" s="147">
        <v>0.59</v>
      </c>
      <c r="BE228" s="147">
        <v>0.59</v>
      </c>
      <c r="BF228" s="147">
        <v>0.59</v>
      </c>
      <c r="BG228" s="147">
        <v>0.59</v>
      </c>
      <c r="BH228" s="147">
        <v>0.55000000000000004</v>
      </c>
      <c r="BI228" s="147">
        <v>0.55000000000000004</v>
      </c>
      <c r="BJ228" s="147">
        <v>0.55000000000000004</v>
      </c>
      <c r="BK228" s="147">
        <v>0.55000000000000004</v>
      </c>
      <c r="BL228" s="147">
        <v>0.55000000000000004</v>
      </c>
      <c r="BM228" s="147">
        <v>0.51</v>
      </c>
      <c r="BN228" s="147">
        <v>0.51</v>
      </c>
      <c r="BO228" s="147">
        <v>0.51</v>
      </c>
      <c r="BP228" s="147">
        <v>0.51</v>
      </c>
      <c r="BQ228" s="147">
        <v>0.47</v>
      </c>
      <c r="BR228" s="147">
        <v>0.47</v>
      </c>
      <c r="BS228" s="147">
        <v>0.47</v>
      </c>
      <c r="BT228" s="147">
        <v>0.47</v>
      </c>
      <c r="BU228" s="147">
        <v>0.47</v>
      </c>
      <c r="BV228" s="147">
        <v>0.47</v>
      </c>
      <c r="BW228" s="147">
        <v>0.44</v>
      </c>
      <c r="BX228" s="147">
        <v>0.44</v>
      </c>
      <c r="BY228" s="147">
        <v>0.44</v>
      </c>
      <c r="BZ228" s="147">
        <v>0.44</v>
      </c>
      <c r="CA228" s="147">
        <v>0.4</v>
      </c>
    </row>
    <row r="229" spans="1:79">
      <c r="A229" s="144">
        <v>64</v>
      </c>
      <c r="B229" s="147">
        <v>0.87</v>
      </c>
      <c r="C229" s="147">
        <v>0.87</v>
      </c>
      <c r="D229" s="147">
        <v>0.87</v>
      </c>
      <c r="E229" s="147">
        <v>0.87</v>
      </c>
      <c r="F229" s="147">
        <v>0.87</v>
      </c>
      <c r="G229" s="147">
        <v>0.87</v>
      </c>
      <c r="H229" s="147">
        <v>0.87</v>
      </c>
      <c r="I229" s="147">
        <v>0.87</v>
      </c>
      <c r="J229" s="147">
        <v>0.87</v>
      </c>
      <c r="K229" s="147">
        <v>0.87</v>
      </c>
      <c r="L229" s="147">
        <v>0.87</v>
      </c>
      <c r="M229" s="147">
        <v>0.87</v>
      </c>
      <c r="N229" s="147">
        <v>0.87</v>
      </c>
      <c r="O229" s="147">
        <v>0.87</v>
      </c>
      <c r="P229" s="147">
        <v>0.87</v>
      </c>
      <c r="Q229" s="147">
        <v>0.87</v>
      </c>
      <c r="R229" s="147">
        <v>0.87</v>
      </c>
      <c r="S229" s="147">
        <v>0.87</v>
      </c>
      <c r="T229" s="147">
        <v>0.87</v>
      </c>
      <c r="U229" s="147"/>
      <c r="V229" s="147">
        <v>0.87</v>
      </c>
      <c r="W229" s="147">
        <v>0.87</v>
      </c>
      <c r="X229" s="147">
        <v>0.87</v>
      </c>
      <c r="Y229" s="147">
        <v>0.83</v>
      </c>
      <c r="Z229" s="147">
        <v>0.83</v>
      </c>
      <c r="AA229" s="147">
        <v>0.83</v>
      </c>
      <c r="AB229" s="147">
        <v>0.83</v>
      </c>
      <c r="AC229" s="147">
        <v>0.83</v>
      </c>
      <c r="AD229" s="147">
        <v>0.79</v>
      </c>
      <c r="AE229" s="147">
        <v>0.79</v>
      </c>
      <c r="AF229" s="147">
        <v>0.79</v>
      </c>
      <c r="AG229" s="147">
        <v>0.79</v>
      </c>
      <c r="AH229" s="147">
        <v>0.79</v>
      </c>
      <c r="AI229" s="147">
        <v>0.75</v>
      </c>
      <c r="AJ229" s="147">
        <v>0.75</v>
      </c>
      <c r="AK229" s="147">
        <v>0.75</v>
      </c>
      <c r="AL229" s="147">
        <v>0.75</v>
      </c>
      <c r="AM229" s="147">
        <v>0.75</v>
      </c>
      <c r="AN229" s="147">
        <v>0.71</v>
      </c>
      <c r="AO229" s="147">
        <v>0.71</v>
      </c>
      <c r="AP229" s="147">
        <v>0.71</v>
      </c>
      <c r="AQ229" s="147">
        <v>0.71</v>
      </c>
      <c r="AR229" s="147">
        <v>0.71</v>
      </c>
      <c r="AS229" s="147">
        <v>0.67</v>
      </c>
      <c r="AT229" s="147">
        <v>0.67</v>
      </c>
      <c r="AU229" s="147">
        <v>0.67</v>
      </c>
      <c r="AV229" s="147">
        <v>0.67</v>
      </c>
      <c r="AW229" s="147">
        <v>0.67</v>
      </c>
      <c r="AX229" s="147">
        <v>0.63</v>
      </c>
      <c r="AY229" s="147">
        <v>0.63</v>
      </c>
      <c r="AZ229" s="147">
        <v>0.63</v>
      </c>
      <c r="BA229" s="147">
        <v>0.63</v>
      </c>
      <c r="BB229" s="147">
        <v>0.63</v>
      </c>
      <c r="BC229" s="147">
        <v>0.59</v>
      </c>
      <c r="BD229" s="147">
        <v>0.59</v>
      </c>
      <c r="BE229" s="147">
        <v>0.59</v>
      </c>
      <c r="BF229" s="147">
        <v>0.59</v>
      </c>
      <c r="BG229" s="147">
        <v>0.59</v>
      </c>
      <c r="BH229" s="147">
        <v>0.55000000000000004</v>
      </c>
      <c r="BI229" s="147">
        <v>0.55000000000000004</v>
      </c>
      <c r="BJ229" s="147">
        <v>0.55000000000000004</v>
      </c>
      <c r="BK229" s="147">
        <v>0.55000000000000004</v>
      </c>
      <c r="BL229" s="147">
        <v>0.55000000000000004</v>
      </c>
      <c r="BM229" s="147">
        <v>0.51</v>
      </c>
      <c r="BN229" s="147">
        <v>0.51</v>
      </c>
      <c r="BO229" s="147">
        <v>0.51</v>
      </c>
      <c r="BP229" s="147">
        <v>0.51</v>
      </c>
      <c r="BQ229" s="147">
        <v>0.47</v>
      </c>
      <c r="BR229" s="147">
        <v>0.47</v>
      </c>
      <c r="BS229" s="147">
        <v>0.47</v>
      </c>
      <c r="BT229" s="147">
        <v>0.47</v>
      </c>
      <c r="BU229" s="147">
        <v>0.47</v>
      </c>
      <c r="BV229" s="147">
        <v>0.47</v>
      </c>
      <c r="BW229" s="147">
        <v>0.44</v>
      </c>
      <c r="BX229" s="147">
        <v>0.44</v>
      </c>
      <c r="BY229" s="147">
        <v>0.44</v>
      </c>
      <c r="BZ229" s="147">
        <v>0.44</v>
      </c>
      <c r="CA229" s="147">
        <v>0.4</v>
      </c>
    </row>
    <row r="230" spans="1:79">
      <c r="A230" s="144">
        <v>65</v>
      </c>
      <c r="B230" s="147">
        <v>0.87</v>
      </c>
      <c r="C230" s="147">
        <v>0.87</v>
      </c>
      <c r="D230" s="147">
        <v>0.87</v>
      </c>
      <c r="E230" s="147">
        <v>0.87</v>
      </c>
      <c r="F230" s="147">
        <v>0.87</v>
      </c>
      <c r="G230" s="147">
        <v>0.87</v>
      </c>
      <c r="H230" s="147">
        <v>0.87</v>
      </c>
      <c r="I230" s="147">
        <v>0.87</v>
      </c>
      <c r="J230" s="147">
        <v>0.87</v>
      </c>
      <c r="K230" s="147">
        <v>0.87</v>
      </c>
      <c r="L230" s="147">
        <v>0.87</v>
      </c>
      <c r="M230" s="147">
        <v>0.87</v>
      </c>
      <c r="N230" s="147">
        <v>0.87</v>
      </c>
      <c r="O230" s="147">
        <v>0.87</v>
      </c>
      <c r="P230" s="147">
        <v>0.87</v>
      </c>
      <c r="Q230" s="147">
        <v>0.87</v>
      </c>
      <c r="R230" s="147">
        <v>0.87</v>
      </c>
      <c r="S230" s="147">
        <v>0.87</v>
      </c>
      <c r="T230" s="147">
        <v>0.87</v>
      </c>
      <c r="U230" s="147"/>
      <c r="V230" s="147">
        <v>0.87</v>
      </c>
      <c r="W230" s="147">
        <v>0.87</v>
      </c>
      <c r="X230" s="147">
        <v>0.87</v>
      </c>
      <c r="Y230" s="147">
        <v>0.83</v>
      </c>
      <c r="Z230" s="147">
        <v>0.83</v>
      </c>
      <c r="AA230" s="147">
        <v>0.83</v>
      </c>
      <c r="AB230" s="147">
        <v>0.83</v>
      </c>
      <c r="AC230" s="147">
        <v>0.83</v>
      </c>
      <c r="AD230" s="147">
        <v>0.79</v>
      </c>
      <c r="AE230" s="147">
        <v>0.79</v>
      </c>
      <c r="AF230" s="147">
        <v>0.79</v>
      </c>
      <c r="AG230" s="147">
        <v>0.79</v>
      </c>
      <c r="AH230" s="147">
        <v>0.79</v>
      </c>
      <c r="AI230" s="147">
        <v>0.75</v>
      </c>
      <c r="AJ230" s="147">
        <v>0.75</v>
      </c>
      <c r="AK230" s="147">
        <v>0.75</v>
      </c>
      <c r="AL230" s="147">
        <v>0.75</v>
      </c>
      <c r="AM230" s="147">
        <v>0.75</v>
      </c>
      <c r="AN230" s="147">
        <v>0.71</v>
      </c>
      <c r="AO230" s="147">
        <v>0.71</v>
      </c>
      <c r="AP230" s="147">
        <v>0.71</v>
      </c>
      <c r="AQ230" s="147">
        <v>0.71</v>
      </c>
      <c r="AR230" s="147">
        <v>0.71</v>
      </c>
      <c r="AS230" s="147">
        <v>0.67</v>
      </c>
      <c r="AT230" s="147">
        <v>0.67</v>
      </c>
      <c r="AU230" s="147">
        <v>0.67</v>
      </c>
      <c r="AV230" s="147">
        <v>0.67</v>
      </c>
      <c r="AW230" s="147">
        <v>0.67</v>
      </c>
      <c r="AX230" s="147">
        <v>0.63</v>
      </c>
      <c r="AY230" s="147">
        <v>0.63</v>
      </c>
      <c r="AZ230" s="147">
        <v>0.63</v>
      </c>
      <c r="BA230" s="147">
        <v>0.63</v>
      </c>
      <c r="BB230" s="147">
        <v>0.63</v>
      </c>
      <c r="BC230" s="147">
        <v>0.59</v>
      </c>
      <c r="BD230" s="147">
        <v>0.59</v>
      </c>
      <c r="BE230" s="147">
        <v>0.59</v>
      </c>
      <c r="BF230" s="147">
        <v>0.59</v>
      </c>
      <c r="BG230" s="147">
        <v>0.59</v>
      </c>
      <c r="BH230" s="147">
        <v>0.55000000000000004</v>
      </c>
      <c r="BI230" s="147">
        <v>0.55000000000000004</v>
      </c>
      <c r="BJ230" s="147">
        <v>0.55000000000000004</v>
      </c>
      <c r="BK230" s="147">
        <v>0.55000000000000004</v>
      </c>
      <c r="BL230" s="147">
        <v>0.55000000000000004</v>
      </c>
      <c r="BM230" s="147">
        <v>0.51</v>
      </c>
      <c r="BN230" s="147">
        <v>0.51</v>
      </c>
      <c r="BO230" s="147">
        <v>0.51</v>
      </c>
      <c r="BP230" s="147">
        <v>0.51</v>
      </c>
      <c r="BQ230" s="147">
        <v>0.47</v>
      </c>
      <c r="BR230" s="147">
        <v>0.47</v>
      </c>
      <c r="BS230" s="147">
        <v>0.47</v>
      </c>
      <c r="BT230" s="147">
        <v>0.47</v>
      </c>
      <c r="BU230" s="147">
        <v>0.47</v>
      </c>
      <c r="BV230" s="147">
        <v>0.47</v>
      </c>
      <c r="BW230" s="147">
        <v>0.44</v>
      </c>
      <c r="BX230" s="147">
        <v>0.44</v>
      </c>
      <c r="BY230" s="147">
        <v>0.44</v>
      </c>
      <c r="BZ230" s="147">
        <v>0.44</v>
      </c>
      <c r="CA230" s="147">
        <v>0.4</v>
      </c>
    </row>
    <row r="231" spans="1:79">
      <c r="A231" s="144">
        <v>66</v>
      </c>
      <c r="B231" s="147">
        <v>0.87</v>
      </c>
      <c r="C231" s="147">
        <v>0.87</v>
      </c>
      <c r="D231" s="147">
        <v>0.87</v>
      </c>
      <c r="E231" s="147">
        <v>0.87</v>
      </c>
      <c r="F231" s="147">
        <v>0.87</v>
      </c>
      <c r="G231" s="147">
        <v>0.87</v>
      </c>
      <c r="H231" s="147">
        <v>0.87</v>
      </c>
      <c r="I231" s="147">
        <v>0.87</v>
      </c>
      <c r="J231" s="147">
        <v>0.87</v>
      </c>
      <c r="K231" s="147">
        <v>0.87</v>
      </c>
      <c r="L231" s="147">
        <v>0.87</v>
      </c>
      <c r="M231" s="147">
        <v>0.87</v>
      </c>
      <c r="N231" s="147">
        <v>0.87</v>
      </c>
      <c r="O231" s="147">
        <v>0.87</v>
      </c>
      <c r="P231" s="147">
        <v>0.87</v>
      </c>
      <c r="Q231" s="147">
        <v>0.87</v>
      </c>
      <c r="R231" s="147">
        <v>0.87</v>
      </c>
      <c r="S231" s="147">
        <v>0.87</v>
      </c>
      <c r="T231" s="147">
        <v>0.87</v>
      </c>
      <c r="U231" s="147"/>
      <c r="V231" s="147">
        <v>0.87</v>
      </c>
      <c r="W231" s="147">
        <v>0.87</v>
      </c>
      <c r="X231" s="147">
        <v>0.87</v>
      </c>
      <c r="Y231" s="147">
        <v>0.83</v>
      </c>
      <c r="Z231" s="147">
        <v>0.83</v>
      </c>
      <c r="AA231" s="147">
        <v>0.83</v>
      </c>
      <c r="AB231" s="147">
        <v>0.83</v>
      </c>
      <c r="AC231" s="147">
        <v>0.83</v>
      </c>
      <c r="AD231" s="147">
        <v>0.79</v>
      </c>
      <c r="AE231" s="147">
        <v>0.79</v>
      </c>
      <c r="AF231" s="147">
        <v>0.79</v>
      </c>
      <c r="AG231" s="147">
        <v>0.79</v>
      </c>
      <c r="AH231" s="147">
        <v>0.79</v>
      </c>
      <c r="AI231" s="147">
        <v>0.75</v>
      </c>
      <c r="AJ231" s="147">
        <v>0.75</v>
      </c>
      <c r="AK231" s="147">
        <v>0.75</v>
      </c>
      <c r="AL231" s="147">
        <v>0.75</v>
      </c>
      <c r="AM231" s="147">
        <v>0.75</v>
      </c>
      <c r="AN231" s="147">
        <v>0.71</v>
      </c>
      <c r="AO231" s="147">
        <v>0.71</v>
      </c>
      <c r="AP231" s="147">
        <v>0.71</v>
      </c>
      <c r="AQ231" s="147">
        <v>0.71</v>
      </c>
      <c r="AR231" s="147">
        <v>0.71</v>
      </c>
      <c r="AS231" s="147">
        <v>0.67</v>
      </c>
      <c r="AT231" s="147">
        <v>0.67</v>
      </c>
      <c r="AU231" s="147">
        <v>0.67</v>
      </c>
      <c r="AV231" s="147">
        <v>0.67</v>
      </c>
      <c r="AW231" s="147">
        <v>0.67</v>
      </c>
      <c r="AX231" s="147">
        <v>0.63</v>
      </c>
      <c r="AY231" s="147">
        <v>0.63</v>
      </c>
      <c r="AZ231" s="147">
        <v>0.63</v>
      </c>
      <c r="BA231" s="147">
        <v>0.63</v>
      </c>
      <c r="BB231" s="147">
        <v>0.63</v>
      </c>
      <c r="BC231" s="147">
        <v>0.59</v>
      </c>
      <c r="BD231" s="147">
        <v>0.59</v>
      </c>
      <c r="BE231" s="147">
        <v>0.59</v>
      </c>
      <c r="BF231" s="147">
        <v>0.59</v>
      </c>
      <c r="BG231" s="147">
        <v>0.59</v>
      </c>
      <c r="BH231" s="147">
        <v>0.55000000000000004</v>
      </c>
      <c r="BI231" s="147">
        <v>0.55000000000000004</v>
      </c>
      <c r="BJ231" s="147">
        <v>0.55000000000000004</v>
      </c>
      <c r="BK231" s="147">
        <v>0.55000000000000004</v>
      </c>
      <c r="BL231" s="147">
        <v>0.55000000000000004</v>
      </c>
      <c r="BM231" s="147">
        <v>0.51</v>
      </c>
      <c r="BN231" s="147">
        <v>0.51</v>
      </c>
      <c r="BO231" s="147">
        <v>0.51</v>
      </c>
      <c r="BP231" s="147">
        <v>0.51</v>
      </c>
      <c r="BQ231" s="147">
        <v>0.47</v>
      </c>
      <c r="BR231" s="147">
        <v>0.47</v>
      </c>
      <c r="BS231" s="147">
        <v>0.47</v>
      </c>
      <c r="BT231" s="147">
        <v>0.47</v>
      </c>
      <c r="BU231" s="147">
        <v>0.47</v>
      </c>
      <c r="BV231" s="147">
        <v>0.47</v>
      </c>
      <c r="BW231" s="147">
        <v>0.44</v>
      </c>
      <c r="BX231" s="147">
        <v>0.44</v>
      </c>
      <c r="BY231" s="147">
        <v>0.44</v>
      </c>
      <c r="BZ231" s="147">
        <v>0.44</v>
      </c>
      <c r="CA231" s="147">
        <v>0.4</v>
      </c>
    </row>
    <row r="232" spans="1:79">
      <c r="A232" s="144">
        <v>67</v>
      </c>
      <c r="B232" s="147">
        <v>0.87</v>
      </c>
      <c r="C232" s="147">
        <v>0.87</v>
      </c>
      <c r="D232" s="147">
        <v>0.87</v>
      </c>
      <c r="E232" s="147">
        <v>0.87</v>
      </c>
      <c r="F232" s="147">
        <v>0.87</v>
      </c>
      <c r="G232" s="147">
        <v>0.87</v>
      </c>
      <c r="H232" s="147">
        <v>0.87</v>
      </c>
      <c r="I232" s="147">
        <v>0.87</v>
      </c>
      <c r="J232" s="147">
        <v>0.87</v>
      </c>
      <c r="K232" s="147">
        <v>0.87</v>
      </c>
      <c r="L232" s="147">
        <v>0.87</v>
      </c>
      <c r="M232" s="147">
        <v>0.87</v>
      </c>
      <c r="N232" s="147">
        <v>0.87</v>
      </c>
      <c r="O232" s="147">
        <v>0.87</v>
      </c>
      <c r="P232" s="147">
        <v>0.87</v>
      </c>
      <c r="Q232" s="147">
        <v>0.87</v>
      </c>
      <c r="R232" s="147">
        <v>0.87</v>
      </c>
      <c r="S232" s="147">
        <v>0.87</v>
      </c>
      <c r="T232" s="147">
        <v>0.87</v>
      </c>
      <c r="U232" s="147"/>
      <c r="V232" s="147">
        <v>0.87</v>
      </c>
      <c r="W232" s="147">
        <v>0.87</v>
      </c>
      <c r="X232" s="147">
        <v>0.87</v>
      </c>
      <c r="Y232" s="147">
        <v>0.83</v>
      </c>
      <c r="Z232" s="147">
        <v>0.83</v>
      </c>
      <c r="AA232" s="147">
        <v>0.83</v>
      </c>
      <c r="AB232" s="147">
        <v>0.83</v>
      </c>
      <c r="AC232" s="147">
        <v>0.83</v>
      </c>
      <c r="AD232" s="147">
        <v>0.79</v>
      </c>
      <c r="AE232" s="147">
        <v>0.79</v>
      </c>
      <c r="AF232" s="147">
        <v>0.79</v>
      </c>
      <c r="AG232" s="147">
        <v>0.79</v>
      </c>
      <c r="AH232" s="147">
        <v>0.79</v>
      </c>
      <c r="AI232" s="147">
        <v>0.75</v>
      </c>
      <c r="AJ232" s="147">
        <v>0.75</v>
      </c>
      <c r="AK232" s="147">
        <v>0.75</v>
      </c>
      <c r="AL232" s="147">
        <v>0.75</v>
      </c>
      <c r="AM232" s="147">
        <v>0.75</v>
      </c>
      <c r="AN232" s="147">
        <v>0.71</v>
      </c>
      <c r="AO232" s="147">
        <v>0.71</v>
      </c>
      <c r="AP232" s="147">
        <v>0.71</v>
      </c>
      <c r="AQ232" s="147">
        <v>0.71</v>
      </c>
      <c r="AR232" s="147">
        <v>0.71</v>
      </c>
      <c r="AS232" s="147">
        <v>0.67</v>
      </c>
      <c r="AT232" s="147">
        <v>0.67</v>
      </c>
      <c r="AU232" s="147">
        <v>0.67</v>
      </c>
      <c r="AV232" s="147">
        <v>0.67</v>
      </c>
      <c r="AW232" s="147">
        <v>0.67</v>
      </c>
      <c r="AX232" s="147">
        <v>0.63</v>
      </c>
      <c r="AY232" s="147">
        <v>0.63</v>
      </c>
      <c r="AZ232" s="147">
        <v>0.63</v>
      </c>
      <c r="BA232" s="147">
        <v>0.63</v>
      </c>
      <c r="BB232" s="147">
        <v>0.63</v>
      </c>
      <c r="BC232" s="147">
        <v>0.59</v>
      </c>
      <c r="BD232" s="147">
        <v>0.59</v>
      </c>
      <c r="BE232" s="147">
        <v>0.59</v>
      </c>
      <c r="BF232" s="147">
        <v>0.59</v>
      </c>
      <c r="BG232" s="147">
        <v>0.59</v>
      </c>
      <c r="BH232" s="147">
        <v>0.55000000000000004</v>
      </c>
      <c r="BI232" s="147">
        <v>0.55000000000000004</v>
      </c>
      <c r="BJ232" s="147">
        <v>0.55000000000000004</v>
      </c>
      <c r="BK232" s="147">
        <v>0.55000000000000004</v>
      </c>
      <c r="BL232" s="147">
        <v>0.55000000000000004</v>
      </c>
      <c r="BM232" s="147">
        <v>0.51</v>
      </c>
      <c r="BN232" s="147">
        <v>0.51</v>
      </c>
      <c r="BO232" s="147">
        <v>0.51</v>
      </c>
      <c r="BP232" s="147">
        <v>0.51</v>
      </c>
      <c r="BQ232" s="147">
        <v>0.47</v>
      </c>
      <c r="BR232" s="147">
        <v>0.47</v>
      </c>
      <c r="BS232" s="147">
        <v>0.47</v>
      </c>
      <c r="BT232" s="147">
        <v>0.47</v>
      </c>
      <c r="BU232" s="147">
        <v>0.47</v>
      </c>
      <c r="BV232" s="147">
        <v>0.47</v>
      </c>
      <c r="BW232" s="147">
        <v>0.44</v>
      </c>
      <c r="BX232" s="147">
        <v>0.44</v>
      </c>
      <c r="BY232" s="147">
        <v>0.44</v>
      </c>
      <c r="BZ232" s="147">
        <v>0.44</v>
      </c>
      <c r="CA232" s="147">
        <v>0.4</v>
      </c>
    </row>
    <row r="233" spans="1:79">
      <c r="A233" s="144">
        <v>68</v>
      </c>
      <c r="B233" s="147">
        <v>0.87</v>
      </c>
      <c r="C233" s="147">
        <v>0.87</v>
      </c>
      <c r="D233" s="147">
        <v>0.87</v>
      </c>
      <c r="E233" s="147">
        <v>0.87</v>
      </c>
      <c r="F233" s="147">
        <v>0.87</v>
      </c>
      <c r="G233" s="147">
        <v>0.87</v>
      </c>
      <c r="H233" s="147">
        <v>0.87</v>
      </c>
      <c r="I233" s="147">
        <v>0.87</v>
      </c>
      <c r="J233" s="147">
        <v>0.87</v>
      </c>
      <c r="K233" s="147">
        <v>0.87</v>
      </c>
      <c r="L233" s="147">
        <v>0.87</v>
      </c>
      <c r="M233" s="147">
        <v>0.87</v>
      </c>
      <c r="N233" s="147">
        <v>0.87</v>
      </c>
      <c r="O233" s="147">
        <v>0.87</v>
      </c>
      <c r="P233" s="147">
        <v>0.87</v>
      </c>
      <c r="Q233" s="147">
        <v>0.87</v>
      </c>
      <c r="R233" s="147">
        <v>0.87</v>
      </c>
      <c r="S233" s="147">
        <v>0.87</v>
      </c>
      <c r="T233" s="147">
        <v>0.87</v>
      </c>
      <c r="U233" s="147"/>
      <c r="V233" s="147">
        <v>0.87</v>
      </c>
      <c r="W233" s="147">
        <v>0.87</v>
      </c>
      <c r="X233" s="147">
        <v>0.87</v>
      </c>
      <c r="Y233" s="147">
        <v>0.83</v>
      </c>
      <c r="Z233" s="147">
        <v>0.83</v>
      </c>
      <c r="AA233" s="147">
        <v>0.83</v>
      </c>
      <c r="AB233" s="147">
        <v>0.83</v>
      </c>
      <c r="AC233" s="147">
        <v>0.83</v>
      </c>
      <c r="AD233" s="147">
        <v>0.79</v>
      </c>
      <c r="AE233" s="147">
        <v>0.79</v>
      </c>
      <c r="AF233" s="147">
        <v>0.79</v>
      </c>
      <c r="AG233" s="147">
        <v>0.79</v>
      </c>
      <c r="AH233" s="147">
        <v>0.79</v>
      </c>
      <c r="AI233" s="147">
        <v>0.75</v>
      </c>
      <c r="AJ233" s="147">
        <v>0.75</v>
      </c>
      <c r="AK233" s="147">
        <v>0.75</v>
      </c>
      <c r="AL233" s="147">
        <v>0.75</v>
      </c>
      <c r="AM233" s="147">
        <v>0.75</v>
      </c>
      <c r="AN233" s="147">
        <v>0.71</v>
      </c>
      <c r="AO233" s="147">
        <v>0.71</v>
      </c>
      <c r="AP233" s="147">
        <v>0.71</v>
      </c>
      <c r="AQ233" s="147">
        <v>0.71</v>
      </c>
      <c r="AR233" s="147">
        <v>0.71</v>
      </c>
      <c r="AS233" s="147">
        <v>0.67</v>
      </c>
      <c r="AT233" s="147">
        <v>0.67</v>
      </c>
      <c r="AU233" s="147">
        <v>0.67</v>
      </c>
      <c r="AV233" s="147">
        <v>0.67</v>
      </c>
      <c r="AW233" s="147">
        <v>0.67</v>
      </c>
      <c r="AX233" s="147">
        <v>0.63</v>
      </c>
      <c r="AY233" s="147">
        <v>0.63</v>
      </c>
      <c r="AZ233" s="147">
        <v>0.63</v>
      </c>
      <c r="BA233" s="147">
        <v>0.63</v>
      </c>
      <c r="BB233" s="147">
        <v>0.63</v>
      </c>
      <c r="BC233" s="147">
        <v>0.59</v>
      </c>
      <c r="BD233" s="147">
        <v>0.59</v>
      </c>
      <c r="BE233" s="147">
        <v>0.59</v>
      </c>
      <c r="BF233" s="147">
        <v>0.59</v>
      </c>
      <c r="BG233" s="147">
        <v>0.59</v>
      </c>
      <c r="BH233" s="147">
        <v>0.55000000000000004</v>
      </c>
      <c r="BI233" s="147">
        <v>0.55000000000000004</v>
      </c>
      <c r="BJ233" s="147">
        <v>0.55000000000000004</v>
      </c>
      <c r="BK233" s="147">
        <v>0.55000000000000004</v>
      </c>
      <c r="BL233" s="147">
        <v>0.55000000000000004</v>
      </c>
      <c r="BM233" s="147">
        <v>0.51</v>
      </c>
      <c r="BN233" s="147">
        <v>0.51</v>
      </c>
      <c r="BO233" s="147">
        <v>0.51</v>
      </c>
      <c r="BP233" s="147">
        <v>0.51</v>
      </c>
      <c r="BQ233" s="147">
        <v>0.47</v>
      </c>
      <c r="BR233" s="147">
        <v>0.47</v>
      </c>
      <c r="BS233" s="147">
        <v>0.47</v>
      </c>
      <c r="BT233" s="147">
        <v>0.47</v>
      </c>
      <c r="BU233" s="147">
        <v>0.47</v>
      </c>
      <c r="BV233" s="147">
        <v>0.47</v>
      </c>
      <c r="BW233" s="147">
        <v>0.44</v>
      </c>
      <c r="BX233" s="147">
        <v>0.44</v>
      </c>
      <c r="BY233" s="147">
        <v>0.44</v>
      </c>
      <c r="BZ233" s="147">
        <v>0.44</v>
      </c>
      <c r="CA233" s="147">
        <v>0.4</v>
      </c>
    </row>
    <row r="234" spans="1:79">
      <c r="A234" s="144">
        <v>69</v>
      </c>
      <c r="B234" s="147">
        <v>0.87</v>
      </c>
      <c r="C234" s="147">
        <v>0.87</v>
      </c>
      <c r="D234" s="147">
        <v>0.87</v>
      </c>
      <c r="E234" s="147">
        <v>0.87</v>
      </c>
      <c r="F234" s="147">
        <v>0.87</v>
      </c>
      <c r="G234" s="147">
        <v>0.87</v>
      </c>
      <c r="H234" s="147">
        <v>0.87</v>
      </c>
      <c r="I234" s="147">
        <v>0.87</v>
      </c>
      <c r="J234" s="147">
        <v>0.87</v>
      </c>
      <c r="K234" s="147">
        <v>0.87</v>
      </c>
      <c r="L234" s="147">
        <v>0.87</v>
      </c>
      <c r="M234" s="147">
        <v>0.87</v>
      </c>
      <c r="N234" s="147">
        <v>0.87</v>
      </c>
      <c r="O234" s="147">
        <v>0.87</v>
      </c>
      <c r="P234" s="147">
        <v>0.87</v>
      </c>
      <c r="Q234" s="147">
        <v>0.87</v>
      </c>
      <c r="R234" s="147">
        <v>0.87</v>
      </c>
      <c r="S234" s="147">
        <v>0.87</v>
      </c>
      <c r="T234" s="147">
        <v>0.87</v>
      </c>
      <c r="U234" s="147"/>
      <c r="V234" s="147">
        <v>0.87</v>
      </c>
      <c r="W234" s="147">
        <v>0.87</v>
      </c>
      <c r="X234" s="147">
        <v>0.87</v>
      </c>
      <c r="Y234" s="147">
        <v>0.83</v>
      </c>
      <c r="Z234" s="147">
        <v>0.83</v>
      </c>
      <c r="AA234" s="147">
        <v>0.83</v>
      </c>
      <c r="AB234" s="147">
        <v>0.83</v>
      </c>
      <c r="AC234" s="147">
        <v>0.83</v>
      </c>
      <c r="AD234" s="147">
        <v>0.79</v>
      </c>
      <c r="AE234" s="147">
        <v>0.79</v>
      </c>
      <c r="AF234" s="147">
        <v>0.79</v>
      </c>
      <c r="AG234" s="147">
        <v>0.79</v>
      </c>
      <c r="AH234" s="147">
        <v>0.79</v>
      </c>
      <c r="AI234" s="147">
        <v>0.75</v>
      </c>
      <c r="AJ234" s="147">
        <v>0.75</v>
      </c>
      <c r="AK234" s="147">
        <v>0.75</v>
      </c>
      <c r="AL234" s="147">
        <v>0.75</v>
      </c>
      <c r="AM234" s="147">
        <v>0.75</v>
      </c>
      <c r="AN234" s="147">
        <v>0.71</v>
      </c>
      <c r="AO234" s="147">
        <v>0.71</v>
      </c>
      <c r="AP234" s="147">
        <v>0.71</v>
      </c>
      <c r="AQ234" s="147">
        <v>0.71</v>
      </c>
      <c r="AR234" s="147">
        <v>0.71</v>
      </c>
      <c r="AS234" s="147">
        <v>0.67</v>
      </c>
      <c r="AT234" s="147">
        <v>0.67</v>
      </c>
      <c r="AU234" s="147">
        <v>0.67</v>
      </c>
      <c r="AV234" s="147">
        <v>0.67</v>
      </c>
      <c r="AW234" s="147">
        <v>0.67</v>
      </c>
      <c r="AX234" s="147">
        <v>0.63</v>
      </c>
      <c r="AY234" s="147">
        <v>0.63</v>
      </c>
      <c r="AZ234" s="147">
        <v>0.63</v>
      </c>
      <c r="BA234" s="147">
        <v>0.63</v>
      </c>
      <c r="BB234" s="147">
        <v>0.63</v>
      </c>
      <c r="BC234" s="147">
        <v>0.59</v>
      </c>
      <c r="BD234" s="147">
        <v>0.59</v>
      </c>
      <c r="BE234" s="147">
        <v>0.59</v>
      </c>
      <c r="BF234" s="147">
        <v>0.59</v>
      </c>
      <c r="BG234" s="147">
        <v>0.59</v>
      </c>
      <c r="BH234" s="147">
        <v>0.55000000000000004</v>
      </c>
      <c r="BI234" s="147">
        <v>0.55000000000000004</v>
      </c>
      <c r="BJ234" s="147">
        <v>0.55000000000000004</v>
      </c>
      <c r="BK234" s="147">
        <v>0.55000000000000004</v>
      </c>
      <c r="BL234" s="147">
        <v>0.55000000000000004</v>
      </c>
      <c r="BM234" s="147">
        <v>0.51</v>
      </c>
      <c r="BN234" s="147">
        <v>0.51</v>
      </c>
      <c r="BO234" s="147">
        <v>0.51</v>
      </c>
      <c r="BP234" s="147">
        <v>0.51</v>
      </c>
      <c r="BQ234" s="147">
        <v>0.47</v>
      </c>
      <c r="BR234" s="147">
        <v>0.47</v>
      </c>
      <c r="BS234" s="147">
        <v>0.47</v>
      </c>
      <c r="BT234" s="147">
        <v>0.47</v>
      </c>
      <c r="BU234" s="147">
        <v>0.47</v>
      </c>
      <c r="BV234" s="147">
        <v>0.47</v>
      </c>
      <c r="BW234" s="147">
        <v>0.44</v>
      </c>
      <c r="BX234" s="147">
        <v>0.44</v>
      </c>
      <c r="BY234" s="147">
        <v>0.44</v>
      </c>
      <c r="BZ234" s="147">
        <v>0.44</v>
      </c>
      <c r="CA234" s="147">
        <v>0.4</v>
      </c>
    </row>
    <row r="235" spans="1:79">
      <c r="A235" s="144">
        <v>70</v>
      </c>
      <c r="B235" s="147">
        <v>0.87</v>
      </c>
      <c r="C235" s="147">
        <v>0.87</v>
      </c>
      <c r="D235" s="147">
        <v>0.87</v>
      </c>
      <c r="E235" s="147">
        <v>0.87</v>
      </c>
      <c r="F235" s="147">
        <v>0.87</v>
      </c>
      <c r="G235" s="147">
        <v>0.87</v>
      </c>
      <c r="H235" s="147">
        <v>0.87</v>
      </c>
      <c r="I235" s="147">
        <v>0.87</v>
      </c>
      <c r="J235" s="147">
        <v>0.87</v>
      </c>
      <c r="K235" s="147">
        <v>0.87</v>
      </c>
      <c r="L235" s="147">
        <v>0.87</v>
      </c>
      <c r="M235" s="147">
        <v>0.87</v>
      </c>
      <c r="N235" s="147">
        <v>0.87</v>
      </c>
      <c r="O235" s="147">
        <v>0.87</v>
      </c>
      <c r="P235" s="147">
        <v>0.87</v>
      </c>
      <c r="Q235" s="147">
        <v>0.87</v>
      </c>
      <c r="R235" s="147">
        <v>0.87</v>
      </c>
      <c r="S235" s="147">
        <v>0.87</v>
      </c>
      <c r="T235" s="147">
        <v>0.87</v>
      </c>
      <c r="U235" s="147"/>
      <c r="V235" s="147">
        <v>0.87</v>
      </c>
      <c r="W235" s="147">
        <v>0.87</v>
      </c>
      <c r="X235" s="147">
        <v>0.87</v>
      </c>
      <c r="Y235" s="147">
        <v>0.83</v>
      </c>
      <c r="Z235" s="147">
        <v>0.83</v>
      </c>
      <c r="AA235" s="147">
        <v>0.83</v>
      </c>
      <c r="AB235" s="147">
        <v>0.83</v>
      </c>
      <c r="AC235" s="147">
        <v>0.83</v>
      </c>
      <c r="AD235" s="147">
        <v>0.79</v>
      </c>
      <c r="AE235" s="147">
        <v>0.79</v>
      </c>
      <c r="AF235" s="147">
        <v>0.79</v>
      </c>
      <c r="AG235" s="147">
        <v>0.79</v>
      </c>
      <c r="AH235" s="147">
        <v>0.79</v>
      </c>
      <c r="AI235" s="147">
        <v>0.75</v>
      </c>
      <c r="AJ235" s="147">
        <v>0.75</v>
      </c>
      <c r="AK235" s="147">
        <v>0.75</v>
      </c>
      <c r="AL235" s="147">
        <v>0.75</v>
      </c>
      <c r="AM235" s="147">
        <v>0.75</v>
      </c>
      <c r="AN235" s="147">
        <v>0.71</v>
      </c>
      <c r="AO235" s="147">
        <v>0.71</v>
      </c>
      <c r="AP235" s="147">
        <v>0.71</v>
      </c>
      <c r="AQ235" s="147">
        <v>0.71</v>
      </c>
      <c r="AR235" s="147">
        <v>0.71</v>
      </c>
      <c r="AS235" s="147">
        <v>0.67</v>
      </c>
      <c r="AT235" s="147">
        <v>0.67</v>
      </c>
      <c r="AU235" s="147">
        <v>0.67</v>
      </c>
      <c r="AV235" s="147">
        <v>0.67</v>
      </c>
      <c r="AW235" s="147">
        <v>0.67</v>
      </c>
      <c r="AX235" s="147">
        <v>0.63</v>
      </c>
      <c r="AY235" s="147">
        <v>0.63</v>
      </c>
      <c r="AZ235" s="147">
        <v>0.63</v>
      </c>
      <c r="BA235" s="147">
        <v>0.63</v>
      </c>
      <c r="BB235" s="147">
        <v>0.63</v>
      </c>
      <c r="BC235" s="147">
        <v>0.59</v>
      </c>
      <c r="BD235" s="147">
        <v>0.59</v>
      </c>
      <c r="BE235" s="147">
        <v>0.59</v>
      </c>
      <c r="BF235" s="147">
        <v>0.59</v>
      </c>
      <c r="BG235" s="147">
        <v>0.59</v>
      </c>
      <c r="BH235" s="147">
        <v>0.55000000000000004</v>
      </c>
      <c r="BI235" s="147">
        <v>0.55000000000000004</v>
      </c>
      <c r="BJ235" s="147">
        <v>0.55000000000000004</v>
      </c>
      <c r="BK235" s="147">
        <v>0.55000000000000004</v>
      </c>
      <c r="BL235" s="147">
        <v>0.55000000000000004</v>
      </c>
      <c r="BM235" s="147">
        <v>0.51</v>
      </c>
      <c r="BN235" s="147">
        <v>0.51</v>
      </c>
      <c r="BO235" s="147">
        <v>0.51</v>
      </c>
      <c r="BP235" s="147">
        <v>0.51</v>
      </c>
      <c r="BQ235" s="147">
        <v>0.47</v>
      </c>
      <c r="BR235" s="147">
        <v>0.47</v>
      </c>
      <c r="BS235" s="147">
        <v>0.47</v>
      </c>
      <c r="BT235" s="147">
        <v>0.47</v>
      </c>
      <c r="BU235" s="147">
        <v>0.47</v>
      </c>
      <c r="BV235" s="147">
        <v>0.47</v>
      </c>
      <c r="BW235" s="147">
        <v>0.44</v>
      </c>
      <c r="BX235" s="147">
        <v>0.44</v>
      </c>
      <c r="BY235" s="147">
        <v>0.44</v>
      </c>
      <c r="BZ235" s="147">
        <v>0.44</v>
      </c>
      <c r="CA235" s="147">
        <v>0.4</v>
      </c>
    </row>
    <row r="236" spans="1:79">
      <c r="A236" s="144">
        <v>71</v>
      </c>
      <c r="B236" s="147">
        <v>0.82</v>
      </c>
      <c r="C236" s="147">
        <v>0.82</v>
      </c>
      <c r="D236" s="147">
        <v>0.82</v>
      </c>
      <c r="E236" s="147">
        <v>0.82</v>
      </c>
      <c r="F236" s="147">
        <v>0.82</v>
      </c>
      <c r="G236" s="147">
        <v>0.82</v>
      </c>
      <c r="H236" s="147">
        <v>0.82</v>
      </c>
      <c r="I236" s="147">
        <v>0.82</v>
      </c>
      <c r="J236" s="147">
        <v>0.82</v>
      </c>
      <c r="K236" s="147">
        <v>0.82</v>
      </c>
      <c r="L236" s="147">
        <v>0.82</v>
      </c>
      <c r="M236" s="147">
        <v>0.82</v>
      </c>
      <c r="N236" s="147">
        <v>0.82</v>
      </c>
      <c r="O236" s="147">
        <v>0.82</v>
      </c>
      <c r="P236" s="147">
        <v>0.82</v>
      </c>
      <c r="Q236" s="147">
        <v>0.82</v>
      </c>
      <c r="R236" s="147">
        <v>0.82</v>
      </c>
      <c r="S236" s="147">
        <v>0.82</v>
      </c>
      <c r="T236" s="147">
        <v>0.82</v>
      </c>
      <c r="U236" s="147"/>
      <c r="V236" s="147">
        <v>0.82</v>
      </c>
      <c r="W236" s="147">
        <v>0.82</v>
      </c>
      <c r="X236" s="147">
        <v>0.82</v>
      </c>
      <c r="Y236" s="147">
        <v>0.79</v>
      </c>
      <c r="Z236" s="147">
        <v>0.79</v>
      </c>
      <c r="AA236" s="147">
        <v>0.79</v>
      </c>
      <c r="AB236" s="147">
        <v>0.79</v>
      </c>
      <c r="AC236" s="147">
        <v>0.79</v>
      </c>
      <c r="AD236" s="147">
        <v>0.75</v>
      </c>
      <c r="AE236" s="147">
        <v>0.75</v>
      </c>
      <c r="AF236" s="147">
        <v>0.75</v>
      </c>
      <c r="AG236" s="147">
        <v>0.75</v>
      </c>
      <c r="AH236" s="147">
        <v>0.75</v>
      </c>
      <c r="AI236" s="147">
        <v>0.71</v>
      </c>
      <c r="AJ236" s="147">
        <v>0.71</v>
      </c>
      <c r="AK236" s="147">
        <v>0.71</v>
      </c>
      <c r="AL236" s="147">
        <v>0.71</v>
      </c>
      <c r="AM236" s="147">
        <v>0.71</v>
      </c>
      <c r="AN236" s="147">
        <v>0.68</v>
      </c>
      <c r="AO236" s="147">
        <v>0.68</v>
      </c>
      <c r="AP236" s="147">
        <v>0.68</v>
      </c>
      <c r="AQ236" s="147">
        <v>0.68</v>
      </c>
      <c r="AR236" s="147">
        <v>0.68</v>
      </c>
      <c r="AS236" s="147">
        <v>0.64</v>
      </c>
      <c r="AT236" s="147">
        <v>0.64</v>
      </c>
      <c r="AU236" s="147">
        <v>0.64</v>
      </c>
      <c r="AV236" s="147">
        <v>0.64</v>
      </c>
      <c r="AW236" s="147">
        <v>0.64</v>
      </c>
      <c r="AX236" s="147">
        <v>0.61</v>
      </c>
      <c r="AY236" s="147">
        <v>0.61</v>
      </c>
      <c r="AZ236" s="147">
        <v>0.61</v>
      </c>
      <c r="BA236" s="147">
        <v>0.61</v>
      </c>
      <c r="BB236" s="147">
        <v>0.61</v>
      </c>
      <c r="BC236" s="147">
        <v>0.56999999999999995</v>
      </c>
      <c r="BD236" s="147">
        <v>0.56999999999999995</v>
      </c>
      <c r="BE236" s="147">
        <v>0.56999999999999995</v>
      </c>
      <c r="BF236" s="147">
        <v>0.56999999999999995</v>
      </c>
      <c r="BG236" s="147">
        <v>0.56999999999999995</v>
      </c>
      <c r="BH236" s="147">
        <v>0.54</v>
      </c>
      <c r="BI236" s="147">
        <v>0.54</v>
      </c>
      <c r="BJ236" s="147">
        <v>0.54</v>
      </c>
      <c r="BK236" s="147">
        <v>0.54</v>
      </c>
      <c r="BL236" s="147">
        <v>0.54</v>
      </c>
      <c r="BM236" s="147">
        <v>0.5</v>
      </c>
      <c r="BN236" s="147">
        <v>0.5</v>
      </c>
      <c r="BO236" s="147">
        <v>0.5</v>
      </c>
      <c r="BP236" s="147">
        <v>0.5</v>
      </c>
      <c r="BQ236" s="147">
        <v>0.47</v>
      </c>
      <c r="BR236" s="147">
        <v>0.47</v>
      </c>
      <c r="BS236" s="147">
        <v>0.47</v>
      </c>
      <c r="BT236" s="147">
        <v>0.47</v>
      </c>
      <c r="BU236" s="147">
        <v>0.47</v>
      </c>
      <c r="BV236" s="147">
        <v>0.47</v>
      </c>
      <c r="BW236" s="147">
        <v>0.43</v>
      </c>
      <c r="BX236" s="147">
        <v>0.43</v>
      </c>
      <c r="BY236" s="147">
        <v>0.43</v>
      </c>
      <c r="BZ236" s="147">
        <v>0.43</v>
      </c>
      <c r="CA236" s="147">
        <v>0.4</v>
      </c>
    </row>
    <row r="237" spans="1:79">
      <c r="A237" s="144">
        <v>72</v>
      </c>
      <c r="B237" s="147">
        <v>0.82</v>
      </c>
      <c r="C237" s="147">
        <v>0.82</v>
      </c>
      <c r="D237" s="147">
        <v>0.82</v>
      </c>
      <c r="E237" s="147">
        <v>0.82</v>
      </c>
      <c r="F237" s="147">
        <v>0.82</v>
      </c>
      <c r="G237" s="147">
        <v>0.82</v>
      </c>
      <c r="H237" s="147">
        <v>0.82</v>
      </c>
      <c r="I237" s="147">
        <v>0.82</v>
      </c>
      <c r="J237" s="147">
        <v>0.82</v>
      </c>
      <c r="K237" s="147">
        <v>0.82</v>
      </c>
      <c r="L237" s="147">
        <v>0.82</v>
      </c>
      <c r="M237" s="147">
        <v>0.82</v>
      </c>
      <c r="N237" s="147">
        <v>0.82</v>
      </c>
      <c r="O237" s="147">
        <v>0.82</v>
      </c>
      <c r="P237" s="147">
        <v>0.82</v>
      </c>
      <c r="Q237" s="147">
        <v>0.82</v>
      </c>
      <c r="R237" s="147">
        <v>0.82</v>
      </c>
      <c r="S237" s="147">
        <v>0.82</v>
      </c>
      <c r="T237" s="147">
        <v>0.82</v>
      </c>
      <c r="U237" s="147"/>
      <c r="V237" s="147">
        <v>0.82</v>
      </c>
      <c r="W237" s="147">
        <v>0.82</v>
      </c>
      <c r="X237" s="147">
        <v>0.82</v>
      </c>
      <c r="Y237" s="147">
        <v>0.79</v>
      </c>
      <c r="Z237" s="147">
        <v>0.79</v>
      </c>
      <c r="AA237" s="147">
        <v>0.79</v>
      </c>
      <c r="AB237" s="147">
        <v>0.79</v>
      </c>
      <c r="AC237" s="147">
        <v>0.79</v>
      </c>
      <c r="AD237" s="147">
        <v>0.75</v>
      </c>
      <c r="AE237" s="147">
        <v>0.75</v>
      </c>
      <c r="AF237" s="147">
        <v>0.75</v>
      </c>
      <c r="AG237" s="147">
        <v>0.75</v>
      </c>
      <c r="AH237" s="147">
        <v>0.75</v>
      </c>
      <c r="AI237" s="147">
        <v>0.71</v>
      </c>
      <c r="AJ237" s="147">
        <v>0.71</v>
      </c>
      <c r="AK237" s="147">
        <v>0.71</v>
      </c>
      <c r="AL237" s="147">
        <v>0.71</v>
      </c>
      <c r="AM237" s="147">
        <v>0.71</v>
      </c>
      <c r="AN237" s="147">
        <v>0.68</v>
      </c>
      <c r="AO237" s="147">
        <v>0.68</v>
      </c>
      <c r="AP237" s="147">
        <v>0.68</v>
      </c>
      <c r="AQ237" s="147">
        <v>0.68</v>
      </c>
      <c r="AR237" s="147">
        <v>0.68</v>
      </c>
      <c r="AS237" s="147">
        <v>0.64</v>
      </c>
      <c r="AT237" s="147">
        <v>0.64</v>
      </c>
      <c r="AU237" s="147">
        <v>0.64</v>
      </c>
      <c r="AV237" s="147">
        <v>0.64</v>
      </c>
      <c r="AW237" s="147">
        <v>0.64</v>
      </c>
      <c r="AX237" s="147">
        <v>0.61</v>
      </c>
      <c r="AY237" s="147">
        <v>0.61</v>
      </c>
      <c r="AZ237" s="147">
        <v>0.61</v>
      </c>
      <c r="BA237" s="147">
        <v>0.61</v>
      </c>
      <c r="BB237" s="147">
        <v>0.61</v>
      </c>
      <c r="BC237" s="147">
        <v>0.56999999999999995</v>
      </c>
      <c r="BD237" s="147">
        <v>0.56999999999999995</v>
      </c>
      <c r="BE237" s="147">
        <v>0.56999999999999995</v>
      </c>
      <c r="BF237" s="147">
        <v>0.56999999999999995</v>
      </c>
      <c r="BG237" s="147">
        <v>0.56999999999999995</v>
      </c>
      <c r="BH237" s="147">
        <v>0.54</v>
      </c>
      <c r="BI237" s="147">
        <v>0.54</v>
      </c>
      <c r="BJ237" s="147">
        <v>0.54</v>
      </c>
      <c r="BK237" s="147">
        <v>0.54</v>
      </c>
      <c r="BL237" s="147">
        <v>0.54</v>
      </c>
      <c r="BM237" s="147">
        <v>0.5</v>
      </c>
      <c r="BN237" s="147">
        <v>0.5</v>
      </c>
      <c r="BO237" s="147">
        <v>0.5</v>
      </c>
      <c r="BP237" s="147">
        <v>0.5</v>
      </c>
      <c r="BQ237" s="147">
        <v>0.47</v>
      </c>
      <c r="BR237" s="147">
        <v>0.47</v>
      </c>
      <c r="BS237" s="147">
        <v>0.47</v>
      </c>
      <c r="BT237" s="147">
        <v>0.47</v>
      </c>
      <c r="BU237" s="147">
        <v>0.47</v>
      </c>
      <c r="BV237" s="147">
        <v>0.47</v>
      </c>
      <c r="BW237" s="147">
        <v>0.43</v>
      </c>
      <c r="BX237" s="147">
        <v>0.43</v>
      </c>
      <c r="BY237" s="147">
        <v>0.43</v>
      </c>
      <c r="BZ237" s="147">
        <v>0.43</v>
      </c>
      <c r="CA237" s="147">
        <v>0.4</v>
      </c>
    </row>
    <row r="238" spans="1:79">
      <c r="A238" s="144">
        <v>73</v>
      </c>
      <c r="B238" s="147">
        <v>0.82</v>
      </c>
      <c r="C238" s="147">
        <v>0.82</v>
      </c>
      <c r="D238" s="147">
        <v>0.82</v>
      </c>
      <c r="E238" s="147">
        <v>0.82</v>
      </c>
      <c r="F238" s="147">
        <v>0.82</v>
      </c>
      <c r="G238" s="147">
        <v>0.82</v>
      </c>
      <c r="H238" s="147">
        <v>0.82</v>
      </c>
      <c r="I238" s="147">
        <v>0.82</v>
      </c>
      <c r="J238" s="147">
        <v>0.82</v>
      </c>
      <c r="K238" s="147">
        <v>0.82</v>
      </c>
      <c r="L238" s="147">
        <v>0.82</v>
      </c>
      <c r="M238" s="147">
        <v>0.82</v>
      </c>
      <c r="N238" s="147">
        <v>0.82</v>
      </c>
      <c r="O238" s="147">
        <v>0.82</v>
      </c>
      <c r="P238" s="147">
        <v>0.82</v>
      </c>
      <c r="Q238" s="147">
        <v>0.82</v>
      </c>
      <c r="R238" s="147">
        <v>0.82</v>
      </c>
      <c r="S238" s="147">
        <v>0.82</v>
      </c>
      <c r="T238" s="147">
        <v>0.82</v>
      </c>
      <c r="U238" s="147"/>
      <c r="V238" s="147">
        <v>0.82</v>
      </c>
      <c r="W238" s="147">
        <v>0.82</v>
      </c>
      <c r="X238" s="147">
        <v>0.82</v>
      </c>
      <c r="Y238" s="147">
        <v>0.79</v>
      </c>
      <c r="Z238" s="147">
        <v>0.79</v>
      </c>
      <c r="AA238" s="147">
        <v>0.79</v>
      </c>
      <c r="AB238" s="147">
        <v>0.79</v>
      </c>
      <c r="AC238" s="147">
        <v>0.79</v>
      </c>
      <c r="AD238" s="147">
        <v>0.75</v>
      </c>
      <c r="AE238" s="147">
        <v>0.75</v>
      </c>
      <c r="AF238" s="147">
        <v>0.75</v>
      </c>
      <c r="AG238" s="147">
        <v>0.75</v>
      </c>
      <c r="AH238" s="147">
        <v>0.75</v>
      </c>
      <c r="AI238" s="147">
        <v>0.71</v>
      </c>
      <c r="AJ238" s="147">
        <v>0.71</v>
      </c>
      <c r="AK238" s="147">
        <v>0.71</v>
      </c>
      <c r="AL238" s="147">
        <v>0.71</v>
      </c>
      <c r="AM238" s="147">
        <v>0.71</v>
      </c>
      <c r="AN238" s="147">
        <v>0.68</v>
      </c>
      <c r="AO238" s="147">
        <v>0.68</v>
      </c>
      <c r="AP238" s="147">
        <v>0.68</v>
      </c>
      <c r="AQ238" s="147">
        <v>0.68</v>
      </c>
      <c r="AR238" s="147">
        <v>0.68</v>
      </c>
      <c r="AS238" s="147">
        <v>0.64</v>
      </c>
      <c r="AT238" s="147">
        <v>0.64</v>
      </c>
      <c r="AU238" s="147">
        <v>0.64</v>
      </c>
      <c r="AV238" s="147">
        <v>0.64</v>
      </c>
      <c r="AW238" s="147">
        <v>0.64</v>
      </c>
      <c r="AX238" s="147">
        <v>0.61</v>
      </c>
      <c r="AY238" s="147">
        <v>0.61</v>
      </c>
      <c r="AZ238" s="147">
        <v>0.61</v>
      </c>
      <c r="BA238" s="147">
        <v>0.61</v>
      </c>
      <c r="BB238" s="147">
        <v>0.61</v>
      </c>
      <c r="BC238" s="147">
        <v>0.56999999999999995</v>
      </c>
      <c r="BD238" s="147">
        <v>0.56999999999999995</v>
      </c>
      <c r="BE238" s="147">
        <v>0.56999999999999995</v>
      </c>
      <c r="BF238" s="147">
        <v>0.56999999999999995</v>
      </c>
      <c r="BG238" s="147">
        <v>0.56999999999999995</v>
      </c>
      <c r="BH238" s="147">
        <v>0.54</v>
      </c>
      <c r="BI238" s="147">
        <v>0.54</v>
      </c>
      <c r="BJ238" s="147">
        <v>0.54</v>
      </c>
      <c r="BK238" s="147">
        <v>0.54</v>
      </c>
      <c r="BL238" s="147">
        <v>0.54</v>
      </c>
      <c r="BM238" s="147">
        <v>0.5</v>
      </c>
      <c r="BN238" s="147">
        <v>0.5</v>
      </c>
      <c r="BO238" s="147">
        <v>0.5</v>
      </c>
      <c r="BP238" s="147">
        <v>0.5</v>
      </c>
      <c r="BQ238" s="147">
        <v>0.47</v>
      </c>
      <c r="BR238" s="147">
        <v>0.47</v>
      </c>
      <c r="BS238" s="147">
        <v>0.47</v>
      </c>
      <c r="BT238" s="147">
        <v>0.47</v>
      </c>
      <c r="BU238" s="147">
        <v>0.47</v>
      </c>
      <c r="BV238" s="147">
        <v>0.47</v>
      </c>
      <c r="BW238" s="147">
        <v>0.43</v>
      </c>
      <c r="BX238" s="147">
        <v>0.43</v>
      </c>
      <c r="BY238" s="147">
        <v>0.43</v>
      </c>
      <c r="BZ238" s="147">
        <v>0.43</v>
      </c>
      <c r="CA238" s="147">
        <v>0.4</v>
      </c>
    </row>
    <row r="239" spans="1:79">
      <c r="A239" s="144">
        <v>74</v>
      </c>
      <c r="B239" s="147">
        <v>0.82</v>
      </c>
      <c r="C239" s="147">
        <v>0.82</v>
      </c>
      <c r="D239" s="147">
        <v>0.82</v>
      </c>
      <c r="E239" s="147">
        <v>0.82</v>
      </c>
      <c r="F239" s="147">
        <v>0.82</v>
      </c>
      <c r="G239" s="147">
        <v>0.82</v>
      </c>
      <c r="H239" s="147">
        <v>0.82</v>
      </c>
      <c r="I239" s="147">
        <v>0.82</v>
      </c>
      <c r="J239" s="147">
        <v>0.82</v>
      </c>
      <c r="K239" s="147">
        <v>0.82</v>
      </c>
      <c r="L239" s="147">
        <v>0.82</v>
      </c>
      <c r="M239" s="147">
        <v>0.82</v>
      </c>
      <c r="N239" s="147">
        <v>0.82</v>
      </c>
      <c r="O239" s="147">
        <v>0.82</v>
      </c>
      <c r="P239" s="147">
        <v>0.82</v>
      </c>
      <c r="Q239" s="147">
        <v>0.82</v>
      </c>
      <c r="R239" s="147">
        <v>0.82</v>
      </c>
      <c r="S239" s="147">
        <v>0.82</v>
      </c>
      <c r="T239" s="147">
        <v>0.82</v>
      </c>
      <c r="U239" s="147"/>
      <c r="V239" s="147">
        <v>0.82</v>
      </c>
      <c r="W239" s="147">
        <v>0.82</v>
      </c>
      <c r="X239" s="147">
        <v>0.82</v>
      </c>
      <c r="Y239" s="147">
        <v>0.79</v>
      </c>
      <c r="Z239" s="147">
        <v>0.79</v>
      </c>
      <c r="AA239" s="147">
        <v>0.79</v>
      </c>
      <c r="AB239" s="147">
        <v>0.79</v>
      </c>
      <c r="AC239" s="147">
        <v>0.79</v>
      </c>
      <c r="AD239" s="147">
        <v>0.75</v>
      </c>
      <c r="AE239" s="147">
        <v>0.75</v>
      </c>
      <c r="AF239" s="147">
        <v>0.75</v>
      </c>
      <c r="AG239" s="147">
        <v>0.75</v>
      </c>
      <c r="AH239" s="147">
        <v>0.75</v>
      </c>
      <c r="AI239" s="147">
        <v>0.71</v>
      </c>
      <c r="AJ239" s="147">
        <v>0.71</v>
      </c>
      <c r="AK239" s="147">
        <v>0.71</v>
      </c>
      <c r="AL239" s="147">
        <v>0.71</v>
      </c>
      <c r="AM239" s="147">
        <v>0.71</v>
      </c>
      <c r="AN239" s="147">
        <v>0.68</v>
      </c>
      <c r="AO239" s="147">
        <v>0.68</v>
      </c>
      <c r="AP239" s="147">
        <v>0.68</v>
      </c>
      <c r="AQ239" s="147">
        <v>0.68</v>
      </c>
      <c r="AR239" s="147">
        <v>0.68</v>
      </c>
      <c r="AS239" s="147">
        <v>0.64</v>
      </c>
      <c r="AT239" s="147">
        <v>0.64</v>
      </c>
      <c r="AU239" s="147">
        <v>0.64</v>
      </c>
      <c r="AV239" s="147">
        <v>0.64</v>
      </c>
      <c r="AW239" s="147">
        <v>0.64</v>
      </c>
      <c r="AX239" s="147">
        <v>0.61</v>
      </c>
      <c r="AY239" s="147">
        <v>0.61</v>
      </c>
      <c r="AZ239" s="147">
        <v>0.61</v>
      </c>
      <c r="BA239" s="147">
        <v>0.61</v>
      </c>
      <c r="BB239" s="147">
        <v>0.61</v>
      </c>
      <c r="BC239" s="147">
        <v>0.56999999999999995</v>
      </c>
      <c r="BD239" s="147">
        <v>0.56999999999999995</v>
      </c>
      <c r="BE239" s="147">
        <v>0.56999999999999995</v>
      </c>
      <c r="BF239" s="147">
        <v>0.56999999999999995</v>
      </c>
      <c r="BG239" s="147">
        <v>0.56999999999999995</v>
      </c>
      <c r="BH239" s="147">
        <v>0.54</v>
      </c>
      <c r="BI239" s="147">
        <v>0.54</v>
      </c>
      <c r="BJ239" s="147">
        <v>0.54</v>
      </c>
      <c r="BK239" s="147">
        <v>0.54</v>
      </c>
      <c r="BL239" s="147">
        <v>0.54</v>
      </c>
      <c r="BM239" s="147">
        <v>0.5</v>
      </c>
      <c r="BN239" s="147">
        <v>0.5</v>
      </c>
      <c r="BO239" s="147">
        <v>0.5</v>
      </c>
      <c r="BP239" s="147">
        <v>0.5</v>
      </c>
      <c r="BQ239" s="147">
        <v>0.47</v>
      </c>
      <c r="BR239" s="147">
        <v>0.47</v>
      </c>
      <c r="BS239" s="147">
        <v>0.47</v>
      </c>
      <c r="BT239" s="147">
        <v>0.47</v>
      </c>
      <c r="BU239" s="147">
        <v>0.47</v>
      </c>
      <c r="BV239" s="147">
        <v>0.47</v>
      </c>
      <c r="BW239" s="147">
        <v>0.43</v>
      </c>
      <c r="BX239" s="147">
        <v>0.43</v>
      </c>
      <c r="BY239" s="147">
        <v>0.43</v>
      </c>
      <c r="BZ239" s="147">
        <v>0.43</v>
      </c>
      <c r="CA239" s="147">
        <v>0.4</v>
      </c>
    </row>
    <row r="240" spans="1:79">
      <c r="A240" s="144">
        <v>75</v>
      </c>
      <c r="B240" s="147">
        <v>0.82</v>
      </c>
      <c r="C240" s="147">
        <v>0.82</v>
      </c>
      <c r="D240" s="147">
        <v>0.82</v>
      </c>
      <c r="E240" s="147">
        <v>0.82</v>
      </c>
      <c r="F240" s="147">
        <v>0.82</v>
      </c>
      <c r="G240" s="147">
        <v>0.82</v>
      </c>
      <c r="H240" s="147">
        <v>0.82</v>
      </c>
      <c r="I240" s="147">
        <v>0.82</v>
      </c>
      <c r="J240" s="147">
        <v>0.82</v>
      </c>
      <c r="K240" s="147">
        <v>0.82</v>
      </c>
      <c r="L240" s="147">
        <v>0.82</v>
      </c>
      <c r="M240" s="147">
        <v>0.82</v>
      </c>
      <c r="N240" s="147">
        <v>0.82</v>
      </c>
      <c r="O240" s="147">
        <v>0.82</v>
      </c>
      <c r="P240" s="147">
        <v>0.82</v>
      </c>
      <c r="Q240" s="147">
        <v>0.82</v>
      </c>
      <c r="R240" s="147">
        <v>0.82</v>
      </c>
      <c r="S240" s="147">
        <v>0.82</v>
      </c>
      <c r="T240" s="147">
        <v>0.82</v>
      </c>
      <c r="U240" s="147"/>
      <c r="V240" s="147">
        <v>0.82</v>
      </c>
      <c r="W240" s="147">
        <v>0.82</v>
      </c>
      <c r="X240" s="147">
        <v>0.82</v>
      </c>
      <c r="Y240" s="147">
        <v>0.79</v>
      </c>
      <c r="Z240" s="147">
        <v>0.79</v>
      </c>
      <c r="AA240" s="147">
        <v>0.79</v>
      </c>
      <c r="AB240" s="147">
        <v>0.79</v>
      </c>
      <c r="AC240" s="147">
        <v>0.79</v>
      </c>
      <c r="AD240" s="147">
        <v>0.75</v>
      </c>
      <c r="AE240" s="147">
        <v>0.75</v>
      </c>
      <c r="AF240" s="147">
        <v>0.75</v>
      </c>
      <c r="AG240" s="147">
        <v>0.75</v>
      </c>
      <c r="AH240" s="147">
        <v>0.75</v>
      </c>
      <c r="AI240" s="147">
        <v>0.71</v>
      </c>
      <c r="AJ240" s="147">
        <v>0.71</v>
      </c>
      <c r="AK240" s="147">
        <v>0.71</v>
      </c>
      <c r="AL240" s="147">
        <v>0.71</v>
      </c>
      <c r="AM240" s="147">
        <v>0.71</v>
      </c>
      <c r="AN240" s="147">
        <v>0.68</v>
      </c>
      <c r="AO240" s="147">
        <v>0.68</v>
      </c>
      <c r="AP240" s="147">
        <v>0.68</v>
      </c>
      <c r="AQ240" s="147">
        <v>0.68</v>
      </c>
      <c r="AR240" s="147">
        <v>0.68</v>
      </c>
      <c r="AS240" s="147">
        <v>0.64</v>
      </c>
      <c r="AT240" s="147">
        <v>0.64</v>
      </c>
      <c r="AU240" s="147">
        <v>0.64</v>
      </c>
      <c r="AV240" s="147">
        <v>0.64</v>
      </c>
      <c r="AW240" s="147">
        <v>0.64</v>
      </c>
      <c r="AX240" s="147">
        <v>0.61</v>
      </c>
      <c r="AY240" s="147">
        <v>0.61</v>
      </c>
      <c r="AZ240" s="147">
        <v>0.61</v>
      </c>
      <c r="BA240" s="147">
        <v>0.61</v>
      </c>
      <c r="BB240" s="147">
        <v>0.61</v>
      </c>
      <c r="BC240" s="147">
        <v>0.56999999999999995</v>
      </c>
      <c r="BD240" s="147">
        <v>0.56999999999999995</v>
      </c>
      <c r="BE240" s="147">
        <v>0.56999999999999995</v>
      </c>
      <c r="BF240" s="147">
        <v>0.56999999999999995</v>
      </c>
      <c r="BG240" s="147">
        <v>0.56999999999999995</v>
      </c>
      <c r="BH240" s="147">
        <v>0.54</v>
      </c>
      <c r="BI240" s="147">
        <v>0.54</v>
      </c>
      <c r="BJ240" s="147">
        <v>0.54</v>
      </c>
      <c r="BK240" s="147">
        <v>0.54</v>
      </c>
      <c r="BL240" s="147">
        <v>0.54</v>
      </c>
      <c r="BM240" s="147">
        <v>0.5</v>
      </c>
      <c r="BN240" s="147">
        <v>0.5</v>
      </c>
      <c r="BO240" s="147">
        <v>0.5</v>
      </c>
      <c r="BP240" s="147">
        <v>0.5</v>
      </c>
      <c r="BQ240" s="147">
        <v>0.47</v>
      </c>
      <c r="BR240" s="147">
        <v>0.47</v>
      </c>
      <c r="BS240" s="147">
        <v>0.47</v>
      </c>
      <c r="BT240" s="147">
        <v>0.47</v>
      </c>
      <c r="BU240" s="147">
        <v>0.47</v>
      </c>
      <c r="BV240" s="147">
        <v>0.47</v>
      </c>
      <c r="BW240" s="147">
        <v>0.43</v>
      </c>
      <c r="BX240" s="147">
        <v>0.43</v>
      </c>
      <c r="BY240" s="147">
        <v>0.43</v>
      </c>
      <c r="BZ240" s="147">
        <v>0.43</v>
      </c>
      <c r="CA240" s="147">
        <v>0.4</v>
      </c>
    </row>
    <row r="241" spans="1:79">
      <c r="A241" s="144">
        <v>76</v>
      </c>
      <c r="B241" s="147">
        <v>0.82</v>
      </c>
      <c r="C241" s="147">
        <v>0.82</v>
      </c>
      <c r="D241" s="147">
        <v>0.82</v>
      </c>
      <c r="E241" s="147">
        <v>0.82</v>
      </c>
      <c r="F241" s="147">
        <v>0.82</v>
      </c>
      <c r="G241" s="147">
        <v>0.82</v>
      </c>
      <c r="H241" s="147">
        <v>0.82</v>
      </c>
      <c r="I241" s="147">
        <v>0.82</v>
      </c>
      <c r="J241" s="147">
        <v>0.82</v>
      </c>
      <c r="K241" s="147">
        <v>0.82</v>
      </c>
      <c r="L241" s="147">
        <v>0.82</v>
      </c>
      <c r="M241" s="147">
        <v>0.82</v>
      </c>
      <c r="N241" s="147">
        <v>0.82</v>
      </c>
      <c r="O241" s="147">
        <v>0.82</v>
      </c>
      <c r="P241" s="147">
        <v>0.82</v>
      </c>
      <c r="Q241" s="147">
        <v>0.82</v>
      </c>
      <c r="R241" s="147">
        <v>0.82</v>
      </c>
      <c r="S241" s="147">
        <v>0.82</v>
      </c>
      <c r="T241" s="147">
        <v>0.82</v>
      </c>
      <c r="U241" s="147"/>
      <c r="V241" s="147">
        <v>0.82</v>
      </c>
      <c r="W241" s="147">
        <v>0.82</v>
      </c>
      <c r="X241" s="147">
        <v>0.82</v>
      </c>
      <c r="Y241" s="147">
        <v>0.79</v>
      </c>
      <c r="Z241" s="147">
        <v>0.79</v>
      </c>
      <c r="AA241" s="147">
        <v>0.79</v>
      </c>
      <c r="AB241" s="147">
        <v>0.79</v>
      </c>
      <c r="AC241" s="147">
        <v>0.79</v>
      </c>
      <c r="AD241" s="147">
        <v>0.75</v>
      </c>
      <c r="AE241" s="147">
        <v>0.75</v>
      </c>
      <c r="AF241" s="147">
        <v>0.75</v>
      </c>
      <c r="AG241" s="147">
        <v>0.75</v>
      </c>
      <c r="AH241" s="147">
        <v>0.75</v>
      </c>
      <c r="AI241" s="147">
        <v>0.71</v>
      </c>
      <c r="AJ241" s="147">
        <v>0.71</v>
      </c>
      <c r="AK241" s="147">
        <v>0.71</v>
      </c>
      <c r="AL241" s="147">
        <v>0.71</v>
      </c>
      <c r="AM241" s="147">
        <v>0.71</v>
      </c>
      <c r="AN241" s="147">
        <v>0.68</v>
      </c>
      <c r="AO241" s="147">
        <v>0.68</v>
      </c>
      <c r="AP241" s="147">
        <v>0.68</v>
      </c>
      <c r="AQ241" s="147">
        <v>0.68</v>
      </c>
      <c r="AR241" s="147">
        <v>0.68</v>
      </c>
      <c r="AS241" s="147">
        <v>0.64</v>
      </c>
      <c r="AT241" s="147">
        <v>0.64</v>
      </c>
      <c r="AU241" s="147">
        <v>0.64</v>
      </c>
      <c r="AV241" s="147">
        <v>0.64</v>
      </c>
      <c r="AW241" s="147">
        <v>0.64</v>
      </c>
      <c r="AX241" s="147">
        <v>0.61</v>
      </c>
      <c r="AY241" s="147">
        <v>0.61</v>
      </c>
      <c r="AZ241" s="147">
        <v>0.61</v>
      </c>
      <c r="BA241" s="147">
        <v>0.61</v>
      </c>
      <c r="BB241" s="147">
        <v>0.61</v>
      </c>
      <c r="BC241" s="147">
        <v>0.56999999999999995</v>
      </c>
      <c r="BD241" s="147">
        <v>0.56999999999999995</v>
      </c>
      <c r="BE241" s="147">
        <v>0.56999999999999995</v>
      </c>
      <c r="BF241" s="147">
        <v>0.56999999999999995</v>
      </c>
      <c r="BG241" s="147">
        <v>0.56999999999999995</v>
      </c>
      <c r="BH241" s="147">
        <v>0.54</v>
      </c>
      <c r="BI241" s="147">
        <v>0.54</v>
      </c>
      <c r="BJ241" s="147">
        <v>0.54</v>
      </c>
      <c r="BK241" s="147">
        <v>0.54</v>
      </c>
      <c r="BL241" s="147">
        <v>0.54</v>
      </c>
      <c r="BM241" s="147">
        <v>0.5</v>
      </c>
      <c r="BN241" s="147">
        <v>0.5</v>
      </c>
      <c r="BO241" s="147">
        <v>0.5</v>
      </c>
      <c r="BP241" s="147">
        <v>0.5</v>
      </c>
      <c r="BQ241" s="147">
        <v>0.47</v>
      </c>
      <c r="BR241" s="147">
        <v>0.47</v>
      </c>
      <c r="BS241" s="147">
        <v>0.47</v>
      </c>
      <c r="BT241" s="147">
        <v>0.47</v>
      </c>
      <c r="BU241" s="147">
        <v>0.47</v>
      </c>
      <c r="BV241" s="147">
        <v>0.47</v>
      </c>
      <c r="BW241" s="147">
        <v>0.43</v>
      </c>
      <c r="BX241" s="147">
        <v>0.43</v>
      </c>
      <c r="BY241" s="147">
        <v>0.43</v>
      </c>
      <c r="BZ241" s="147">
        <v>0.43</v>
      </c>
      <c r="CA241" s="147">
        <v>0.4</v>
      </c>
    </row>
    <row r="242" spans="1:79">
      <c r="A242" s="144">
        <v>77</v>
      </c>
      <c r="B242" s="147">
        <v>0.82</v>
      </c>
      <c r="C242" s="147">
        <v>0.82</v>
      </c>
      <c r="D242" s="147">
        <v>0.82</v>
      </c>
      <c r="E242" s="147">
        <v>0.82</v>
      </c>
      <c r="F242" s="147">
        <v>0.82</v>
      </c>
      <c r="G242" s="147">
        <v>0.82</v>
      </c>
      <c r="H242" s="147">
        <v>0.82</v>
      </c>
      <c r="I242" s="147">
        <v>0.82</v>
      </c>
      <c r="J242" s="147">
        <v>0.82</v>
      </c>
      <c r="K242" s="147">
        <v>0.82</v>
      </c>
      <c r="L242" s="147">
        <v>0.82</v>
      </c>
      <c r="M242" s="147">
        <v>0.82</v>
      </c>
      <c r="N242" s="147">
        <v>0.82</v>
      </c>
      <c r="O242" s="147">
        <v>0.82</v>
      </c>
      <c r="P242" s="147">
        <v>0.82</v>
      </c>
      <c r="Q242" s="147">
        <v>0.82</v>
      </c>
      <c r="R242" s="147">
        <v>0.82</v>
      </c>
      <c r="S242" s="147">
        <v>0.82</v>
      </c>
      <c r="T242" s="147">
        <v>0.82</v>
      </c>
      <c r="U242" s="147"/>
      <c r="V242" s="147">
        <v>0.82</v>
      </c>
      <c r="W242" s="147">
        <v>0.82</v>
      </c>
      <c r="X242" s="147">
        <v>0.82</v>
      </c>
      <c r="Y242" s="147">
        <v>0.79</v>
      </c>
      <c r="Z242" s="147">
        <v>0.79</v>
      </c>
      <c r="AA242" s="147">
        <v>0.79</v>
      </c>
      <c r="AB242" s="147">
        <v>0.79</v>
      </c>
      <c r="AC242" s="147">
        <v>0.79</v>
      </c>
      <c r="AD242" s="147">
        <v>0.75</v>
      </c>
      <c r="AE242" s="147">
        <v>0.75</v>
      </c>
      <c r="AF242" s="147">
        <v>0.75</v>
      </c>
      <c r="AG242" s="147">
        <v>0.75</v>
      </c>
      <c r="AH242" s="147">
        <v>0.75</v>
      </c>
      <c r="AI242" s="147">
        <v>0.71</v>
      </c>
      <c r="AJ242" s="147">
        <v>0.71</v>
      </c>
      <c r="AK242" s="147">
        <v>0.71</v>
      </c>
      <c r="AL242" s="147">
        <v>0.71</v>
      </c>
      <c r="AM242" s="147">
        <v>0.71</v>
      </c>
      <c r="AN242" s="147">
        <v>0.68</v>
      </c>
      <c r="AO242" s="147">
        <v>0.68</v>
      </c>
      <c r="AP242" s="147">
        <v>0.68</v>
      </c>
      <c r="AQ242" s="147">
        <v>0.68</v>
      </c>
      <c r="AR242" s="147">
        <v>0.68</v>
      </c>
      <c r="AS242" s="147">
        <v>0.64</v>
      </c>
      <c r="AT242" s="147">
        <v>0.64</v>
      </c>
      <c r="AU242" s="147">
        <v>0.64</v>
      </c>
      <c r="AV242" s="147">
        <v>0.64</v>
      </c>
      <c r="AW242" s="147">
        <v>0.64</v>
      </c>
      <c r="AX242" s="147">
        <v>0.61</v>
      </c>
      <c r="AY242" s="147">
        <v>0.61</v>
      </c>
      <c r="AZ242" s="147">
        <v>0.61</v>
      </c>
      <c r="BA242" s="147">
        <v>0.61</v>
      </c>
      <c r="BB242" s="147">
        <v>0.61</v>
      </c>
      <c r="BC242" s="147">
        <v>0.56999999999999995</v>
      </c>
      <c r="BD242" s="147">
        <v>0.56999999999999995</v>
      </c>
      <c r="BE242" s="147">
        <v>0.56999999999999995</v>
      </c>
      <c r="BF242" s="147">
        <v>0.56999999999999995</v>
      </c>
      <c r="BG242" s="147">
        <v>0.56999999999999995</v>
      </c>
      <c r="BH242" s="147">
        <v>0.54</v>
      </c>
      <c r="BI242" s="147">
        <v>0.54</v>
      </c>
      <c r="BJ242" s="147">
        <v>0.54</v>
      </c>
      <c r="BK242" s="147">
        <v>0.54</v>
      </c>
      <c r="BL242" s="147">
        <v>0.54</v>
      </c>
      <c r="BM242" s="147">
        <v>0.5</v>
      </c>
      <c r="BN242" s="147">
        <v>0.5</v>
      </c>
      <c r="BO242" s="147">
        <v>0.5</v>
      </c>
      <c r="BP242" s="147">
        <v>0.5</v>
      </c>
      <c r="BQ242" s="147">
        <v>0.47</v>
      </c>
      <c r="BR242" s="147">
        <v>0.47</v>
      </c>
      <c r="BS242" s="147">
        <v>0.47</v>
      </c>
      <c r="BT242" s="147">
        <v>0.47</v>
      </c>
      <c r="BU242" s="147">
        <v>0.47</v>
      </c>
      <c r="BV242" s="147">
        <v>0.47</v>
      </c>
      <c r="BW242" s="147">
        <v>0.43</v>
      </c>
      <c r="BX242" s="147">
        <v>0.43</v>
      </c>
      <c r="BY242" s="147">
        <v>0.43</v>
      </c>
      <c r="BZ242" s="147">
        <v>0.43</v>
      </c>
      <c r="CA242" s="147">
        <v>0.4</v>
      </c>
    </row>
    <row r="243" spans="1:79">
      <c r="A243" s="144">
        <v>78</v>
      </c>
      <c r="B243" s="147">
        <v>0.82</v>
      </c>
      <c r="C243" s="147">
        <v>0.82</v>
      </c>
      <c r="D243" s="147">
        <v>0.82</v>
      </c>
      <c r="E243" s="147">
        <v>0.82</v>
      </c>
      <c r="F243" s="147">
        <v>0.82</v>
      </c>
      <c r="G243" s="147">
        <v>0.82</v>
      </c>
      <c r="H243" s="147">
        <v>0.82</v>
      </c>
      <c r="I243" s="147">
        <v>0.82</v>
      </c>
      <c r="J243" s="147">
        <v>0.82</v>
      </c>
      <c r="K243" s="147">
        <v>0.82</v>
      </c>
      <c r="L243" s="147">
        <v>0.82</v>
      </c>
      <c r="M243" s="147">
        <v>0.82</v>
      </c>
      <c r="N243" s="147">
        <v>0.82</v>
      </c>
      <c r="O243" s="147">
        <v>0.82</v>
      </c>
      <c r="P243" s="147">
        <v>0.82</v>
      </c>
      <c r="Q243" s="147">
        <v>0.82</v>
      </c>
      <c r="R243" s="147">
        <v>0.82</v>
      </c>
      <c r="S243" s="147">
        <v>0.82</v>
      </c>
      <c r="T243" s="147">
        <v>0.82</v>
      </c>
      <c r="U243" s="147"/>
      <c r="V243" s="147">
        <v>0.82</v>
      </c>
      <c r="W243" s="147">
        <v>0.82</v>
      </c>
      <c r="X243" s="147">
        <v>0.82</v>
      </c>
      <c r="Y243" s="147">
        <v>0.79</v>
      </c>
      <c r="Z243" s="147">
        <v>0.79</v>
      </c>
      <c r="AA243" s="147">
        <v>0.79</v>
      </c>
      <c r="AB243" s="147">
        <v>0.79</v>
      </c>
      <c r="AC243" s="147">
        <v>0.79</v>
      </c>
      <c r="AD243" s="147">
        <v>0.75</v>
      </c>
      <c r="AE243" s="147">
        <v>0.75</v>
      </c>
      <c r="AF243" s="147">
        <v>0.75</v>
      </c>
      <c r="AG243" s="147">
        <v>0.75</v>
      </c>
      <c r="AH243" s="147">
        <v>0.75</v>
      </c>
      <c r="AI243" s="147">
        <v>0.71</v>
      </c>
      <c r="AJ243" s="147">
        <v>0.71</v>
      </c>
      <c r="AK243" s="147">
        <v>0.71</v>
      </c>
      <c r="AL243" s="147">
        <v>0.71</v>
      </c>
      <c r="AM243" s="147">
        <v>0.71</v>
      </c>
      <c r="AN243" s="147">
        <v>0.68</v>
      </c>
      <c r="AO243" s="147">
        <v>0.68</v>
      </c>
      <c r="AP243" s="147">
        <v>0.68</v>
      </c>
      <c r="AQ243" s="147">
        <v>0.68</v>
      </c>
      <c r="AR243" s="147">
        <v>0.68</v>
      </c>
      <c r="AS243" s="147">
        <v>0.64</v>
      </c>
      <c r="AT243" s="147">
        <v>0.64</v>
      </c>
      <c r="AU243" s="147">
        <v>0.64</v>
      </c>
      <c r="AV243" s="147">
        <v>0.64</v>
      </c>
      <c r="AW243" s="147">
        <v>0.64</v>
      </c>
      <c r="AX243" s="147">
        <v>0.61</v>
      </c>
      <c r="AY243" s="147">
        <v>0.61</v>
      </c>
      <c r="AZ243" s="147">
        <v>0.61</v>
      </c>
      <c r="BA243" s="147">
        <v>0.61</v>
      </c>
      <c r="BB243" s="147">
        <v>0.61</v>
      </c>
      <c r="BC243" s="147">
        <v>0.56999999999999995</v>
      </c>
      <c r="BD243" s="147">
        <v>0.56999999999999995</v>
      </c>
      <c r="BE243" s="147">
        <v>0.56999999999999995</v>
      </c>
      <c r="BF243" s="147">
        <v>0.56999999999999995</v>
      </c>
      <c r="BG243" s="147">
        <v>0.56999999999999995</v>
      </c>
      <c r="BH243" s="147">
        <v>0.54</v>
      </c>
      <c r="BI243" s="147">
        <v>0.54</v>
      </c>
      <c r="BJ243" s="147">
        <v>0.54</v>
      </c>
      <c r="BK243" s="147">
        <v>0.54</v>
      </c>
      <c r="BL243" s="147">
        <v>0.54</v>
      </c>
      <c r="BM243" s="147">
        <v>0.5</v>
      </c>
      <c r="BN243" s="147">
        <v>0.5</v>
      </c>
      <c r="BO243" s="147">
        <v>0.5</v>
      </c>
      <c r="BP243" s="147">
        <v>0.5</v>
      </c>
      <c r="BQ243" s="147">
        <v>0.47</v>
      </c>
      <c r="BR243" s="147">
        <v>0.47</v>
      </c>
      <c r="BS243" s="147">
        <v>0.47</v>
      </c>
      <c r="BT243" s="147">
        <v>0.47</v>
      </c>
      <c r="BU243" s="147">
        <v>0.47</v>
      </c>
      <c r="BV243" s="147">
        <v>0.47</v>
      </c>
      <c r="BW243" s="147">
        <v>0.43</v>
      </c>
      <c r="BX243" s="147">
        <v>0.43</v>
      </c>
      <c r="BY243" s="147">
        <v>0.43</v>
      </c>
      <c r="BZ243" s="147">
        <v>0.43</v>
      </c>
      <c r="CA243" s="147">
        <v>0.4</v>
      </c>
    </row>
    <row r="244" spans="1:79">
      <c r="A244" s="144">
        <v>79</v>
      </c>
      <c r="B244" s="147">
        <v>0.82</v>
      </c>
      <c r="C244" s="147">
        <v>0.82</v>
      </c>
      <c r="D244" s="147">
        <v>0.82</v>
      </c>
      <c r="E244" s="147">
        <v>0.82</v>
      </c>
      <c r="F244" s="147">
        <v>0.82</v>
      </c>
      <c r="G244" s="147">
        <v>0.82</v>
      </c>
      <c r="H244" s="147">
        <v>0.82</v>
      </c>
      <c r="I244" s="147">
        <v>0.82</v>
      </c>
      <c r="J244" s="147">
        <v>0.82</v>
      </c>
      <c r="K244" s="147">
        <v>0.82</v>
      </c>
      <c r="L244" s="147">
        <v>0.82</v>
      </c>
      <c r="M244" s="147">
        <v>0.82</v>
      </c>
      <c r="N244" s="147">
        <v>0.82</v>
      </c>
      <c r="O244" s="147">
        <v>0.82</v>
      </c>
      <c r="P244" s="147">
        <v>0.82</v>
      </c>
      <c r="Q244" s="147">
        <v>0.82</v>
      </c>
      <c r="R244" s="147">
        <v>0.82</v>
      </c>
      <c r="S244" s="147">
        <v>0.82</v>
      </c>
      <c r="T244" s="147">
        <v>0.82</v>
      </c>
      <c r="U244" s="147"/>
      <c r="V244" s="147">
        <v>0.82</v>
      </c>
      <c r="W244" s="147">
        <v>0.82</v>
      </c>
      <c r="X244" s="147">
        <v>0.82</v>
      </c>
      <c r="Y244" s="147">
        <v>0.79</v>
      </c>
      <c r="Z244" s="147">
        <v>0.79</v>
      </c>
      <c r="AA244" s="147">
        <v>0.79</v>
      </c>
      <c r="AB244" s="147">
        <v>0.79</v>
      </c>
      <c r="AC244" s="147">
        <v>0.79</v>
      </c>
      <c r="AD244" s="147">
        <v>0.75</v>
      </c>
      <c r="AE244" s="147">
        <v>0.75</v>
      </c>
      <c r="AF244" s="147">
        <v>0.75</v>
      </c>
      <c r="AG244" s="147">
        <v>0.75</v>
      </c>
      <c r="AH244" s="147">
        <v>0.75</v>
      </c>
      <c r="AI244" s="147">
        <v>0.71</v>
      </c>
      <c r="AJ244" s="147">
        <v>0.71</v>
      </c>
      <c r="AK244" s="147">
        <v>0.71</v>
      </c>
      <c r="AL244" s="147">
        <v>0.71</v>
      </c>
      <c r="AM244" s="147">
        <v>0.71</v>
      </c>
      <c r="AN244" s="147">
        <v>0.68</v>
      </c>
      <c r="AO244" s="147">
        <v>0.68</v>
      </c>
      <c r="AP244" s="147">
        <v>0.68</v>
      </c>
      <c r="AQ244" s="147">
        <v>0.68</v>
      </c>
      <c r="AR244" s="147">
        <v>0.68</v>
      </c>
      <c r="AS244" s="147">
        <v>0.64</v>
      </c>
      <c r="AT244" s="147">
        <v>0.64</v>
      </c>
      <c r="AU244" s="147">
        <v>0.64</v>
      </c>
      <c r="AV244" s="147">
        <v>0.64</v>
      </c>
      <c r="AW244" s="147">
        <v>0.64</v>
      </c>
      <c r="AX244" s="147">
        <v>0.61</v>
      </c>
      <c r="AY244" s="147">
        <v>0.61</v>
      </c>
      <c r="AZ244" s="147">
        <v>0.61</v>
      </c>
      <c r="BA244" s="147">
        <v>0.61</v>
      </c>
      <c r="BB244" s="147">
        <v>0.61</v>
      </c>
      <c r="BC244" s="147">
        <v>0.56999999999999995</v>
      </c>
      <c r="BD244" s="147">
        <v>0.56999999999999995</v>
      </c>
      <c r="BE244" s="147">
        <v>0.56999999999999995</v>
      </c>
      <c r="BF244" s="147">
        <v>0.56999999999999995</v>
      </c>
      <c r="BG244" s="147">
        <v>0.56999999999999995</v>
      </c>
      <c r="BH244" s="147">
        <v>0.54</v>
      </c>
      <c r="BI244" s="147">
        <v>0.54</v>
      </c>
      <c r="BJ244" s="147">
        <v>0.54</v>
      </c>
      <c r="BK244" s="147">
        <v>0.54</v>
      </c>
      <c r="BL244" s="147">
        <v>0.54</v>
      </c>
      <c r="BM244" s="147">
        <v>0.5</v>
      </c>
      <c r="BN244" s="147">
        <v>0.5</v>
      </c>
      <c r="BO244" s="147">
        <v>0.5</v>
      </c>
      <c r="BP244" s="147">
        <v>0.5</v>
      </c>
      <c r="BQ244" s="147">
        <v>0.47</v>
      </c>
      <c r="BR244" s="147">
        <v>0.47</v>
      </c>
      <c r="BS244" s="147">
        <v>0.47</v>
      </c>
      <c r="BT244" s="147">
        <v>0.47</v>
      </c>
      <c r="BU244" s="147">
        <v>0.47</v>
      </c>
      <c r="BV244" s="147">
        <v>0.47</v>
      </c>
      <c r="BW244" s="147">
        <v>0.43</v>
      </c>
      <c r="BX244" s="147">
        <v>0.43</v>
      </c>
      <c r="BY244" s="147">
        <v>0.43</v>
      </c>
      <c r="BZ244" s="147">
        <v>0.43</v>
      </c>
      <c r="CA244" s="147">
        <v>0.4</v>
      </c>
    </row>
    <row r="245" spans="1:79">
      <c r="A245" s="145">
        <v>80</v>
      </c>
      <c r="B245" s="149">
        <v>0.82</v>
      </c>
      <c r="C245" s="149">
        <v>0.82</v>
      </c>
      <c r="D245" s="149">
        <v>0.82</v>
      </c>
      <c r="E245" s="149">
        <v>0.82</v>
      </c>
      <c r="F245" s="149">
        <v>0.82</v>
      </c>
      <c r="G245" s="149">
        <v>0.82</v>
      </c>
      <c r="H245" s="149">
        <v>0.82</v>
      </c>
      <c r="I245" s="149">
        <v>0.82</v>
      </c>
      <c r="J245" s="149">
        <v>0.82</v>
      </c>
      <c r="K245" s="149">
        <v>0.82</v>
      </c>
      <c r="L245" s="149">
        <v>0.82</v>
      </c>
      <c r="M245" s="149">
        <v>0.82</v>
      </c>
      <c r="N245" s="149">
        <v>0.82</v>
      </c>
      <c r="O245" s="149">
        <v>0.82</v>
      </c>
      <c r="P245" s="149">
        <v>0.82</v>
      </c>
      <c r="Q245" s="149">
        <v>0.82</v>
      </c>
      <c r="R245" s="149">
        <v>0.82</v>
      </c>
      <c r="S245" s="149">
        <v>0.82</v>
      </c>
      <c r="T245" s="149">
        <v>0.82</v>
      </c>
      <c r="U245" s="149"/>
      <c r="V245" s="149">
        <v>0.82</v>
      </c>
      <c r="W245" s="149">
        <v>0.82</v>
      </c>
      <c r="X245" s="149">
        <v>0.82</v>
      </c>
      <c r="Y245" s="149">
        <v>0.79</v>
      </c>
      <c r="Z245" s="149">
        <v>0.79</v>
      </c>
      <c r="AA245" s="149">
        <v>0.79</v>
      </c>
      <c r="AB245" s="149">
        <v>0.79</v>
      </c>
      <c r="AC245" s="149">
        <v>0.79</v>
      </c>
      <c r="AD245" s="149">
        <v>0.75</v>
      </c>
      <c r="AE245" s="149">
        <v>0.75</v>
      </c>
      <c r="AF245" s="149">
        <v>0.75</v>
      </c>
      <c r="AG245" s="149">
        <v>0.75</v>
      </c>
      <c r="AH245" s="149">
        <v>0.75</v>
      </c>
      <c r="AI245" s="149">
        <v>0.71</v>
      </c>
      <c r="AJ245" s="149">
        <v>0.71</v>
      </c>
      <c r="AK245" s="149">
        <v>0.71</v>
      </c>
      <c r="AL245" s="149">
        <v>0.71</v>
      </c>
      <c r="AM245" s="149">
        <v>0.71</v>
      </c>
      <c r="AN245" s="149">
        <v>0.68</v>
      </c>
      <c r="AO245" s="149">
        <v>0.68</v>
      </c>
      <c r="AP245" s="149">
        <v>0.68</v>
      </c>
      <c r="AQ245" s="149">
        <v>0.68</v>
      </c>
      <c r="AR245" s="149">
        <v>0.68</v>
      </c>
      <c r="AS245" s="149">
        <v>0.64</v>
      </c>
      <c r="AT245" s="149">
        <v>0.64</v>
      </c>
      <c r="AU245" s="149">
        <v>0.64</v>
      </c>
      <c r="AV245" s="149">
        <v>0.64</v>
      </c>
      <c r="AW245" s="149">
        <v>0.64</v>
      </c>
      <c r="AX245" s="149">
        <v>0.61</v>
      </c>
      <c r="AY245" s="149">
        <v>0.61</v>
      </c>
      <c r="AZ245" s="149">
        <v>0.61</v>
      </c>
      <c r="BA245" s="149">
        <v>0.61</v>
      </c>
      <c r="BB245" s="149">
        <v>0.61</v>
      </c>
      <c r="BC245" s="149">
        <v>0.56999999999999995</v>
      </c>
      <c r="BD245" s="149">
        <v>0.56999999999999995</v>
      </c>
      <c r="BE245" s="149">
        <v>0.56999999999999995</v>
      </c>
      <c r="BF245" s="149">
        <v>0.56999999999999995</v>
      </c>
      <c r="BG245" s="149">
        <v>0.56999999999999995</v>
      </c>
      <c r="BH245" s="149">
        <v>0.54</v>
      </c>
      <c r="BI245" s="149">
        <v>0.54</v>
      </c>
      <c r="BJ245" s="149">
        <v>0.54</v>
      </c>
      <c r="BK245" s="149">
        <v>0.54</v>
      </c>
      <c r="BL245" s="149">
        <v>0.54</v>
      </c>
      <c r="BM245" s="149">
        <v>0.5</v>
      </c>
      <c r="BN245" s="149">
        <v>0.5</v>
      </c>
      <c r="BO245" s="149">
        <v>0.5</v>
      </c>
      <c r="BP245" s="149">
        <v>0.5</v>
      </c>
      <c r="BQ245" s="149">
        <v>0.47</v>
      </c>
      <c r="BR245" s="149">
        <v>0.47</v>
      </c>
      <c r="BS245" s="149">
        <v>0.47</v>
      </c>
      <c r="BT245" s="149">
        <v>0.47</v>
      </c>
      <c r="BU245" s="149">
        <v>0.47</v>
      </c>
      <c r="BV245" s="149">
        <v>0.47</v>
      </c>
      <c r="BW245" s="149">
        <v>0.43</v>
      </c>
      <c r="BX245" s="149">
        <v>0.43</v>
      </c>
      <c r="BY245" s="149">
        <v>0.43</v>
      </c>
      <c r="BZ245" s="149">
        <v>0.43</v>
      </c>
      <c r="CA245" s="149">
        <v>0.4</v>
      </c>
    </row>
    <row r="248" spans="1:79" ht="13.8" thickBot="1">
      <c r="A248" s="88" t="s">
        <v>142</v>
      </c>
      <c r="B248" s="89" t="s">
        <v>250</v>
      </c>
      <c r="C248" s="2" t="s">
        <v>143</v>
      </c>
      <c r="D248" s="2" t="s">
        <v>144</v>
      </c>
      <c r="E248" s="2"/>
      <c r="F248" s="2"/>
    </row>
    <row r="249" spans="1:79">
      <c r="A249" t="s">
        <v>549</v>
      </c>
      <c r="B249" s="8">
        <v>8</v>
      </c>
      <c r="C249" t="s">
        <v>208</v>
      </c>
      <c r="D249" t="s">
        <v>170</v>
      </c>
      <c r="E249" t="s">
        <v>550</v>
      </c>
      <c r="F249"/>
    </row>
    <row r="250" spans="1:79">
      <c r="A250" t="s">
        <v>551</v>
      </c>
      <c r="B250" s="8">
        <v>15</v>
      </c>
      <c r="C250" t="s">
        <v>208</v>
      </c>
      <c r="D250" t="s">
        <v>170</v>
      </c>
      <c r="E250" t="s">
        <v>550</v>
      </c>
      <c r="F250"/>
    </row>
    <row r="251" spans="1:79">
      <c r="A251" t="s">
        <v>552</v>
      </c>
      <c r="B251" s="8">
        <v>18</v>
      </c>
      <c r="C251" t="s">
        <v>208</v>
      </c>
      <c r="D251" t="s">
        <v>170</v>
      </c>
      <c r="E251" t="s">
        <v>550</v>
      </c>
      <c r="F251"/>
    </row>
    <row r="252" spans="1:79">
      <c r="A252" t="s">
        <v>553</v>
      </c>
      <c r="B252" s="8">
        <v>19</v>
      </c>
      <c r="C252" t="s">
        <v>208</v>
      </c>
      <c r="D252" t="s">
        <v>170</v>
      </c>
      <c r="E252" t="s">
        <v>550</v>
      </c>
      <c r="F252"/>
    </row>
    <row r="253" spans="1:79">
      <c r="A253" t="s">
        <v>554</v>
      </c>
      <c r="B253" s="8">
        <v>13</v>
      </c>
      <c r="C253" t="s">
        <v>208</v>
      </c>
      <c r="D253" t="s">
        <v>170</v>
      </c>
      <c r="E253" t="s">
        <v>550</v>
      </c>
      <c r="F253"/>
    </row>
    <row r="254" spans="1:79">
      <c r="A254" t="s">
        <v>555</v>
      </c>
      <c r="B254" s="8">
        <v>16</v>
      </c>
      <c r="C254" t="s">
        <v>208</v>
      </c>
      <c r="D254" t="s">
        <v>170</v>
      </c>
      <c r="E254" t="s">
        <v>550</v>
      </c>
      <c r="F254"/>
    </row>
    <row r="255" spans="1:79">
      <c r="A255" t="s">
        <v>556</v>
      </c>
      <c r="B255" s="8">
        <v>9</v>
      </c>
      <c r="C255" t="s">
        <v>208</v>
      </c>
      <c r="D255" t="s">
        <v>170</v>
      </c>
      <c r="E255" t="s">
        <v>550</v>
      </c>
      <c r="F255"/>
    </row>
    <row r="256" spans="1:79">
      <c r="A256" t="s">
        <v>557</v>
      </c>
      <c r="B256" s="8">
        <v>13</v>
      </c>
      <c r="C256" t="s">
        <v>208</v>
      </c>
      <c r="D256" t="s">
        <v>170</v>
      </c>
      <c r="E256" t="s">
        <v>550</v>
      </c>
      <c r="F256"/>
    </row>
    <row r="257" spans="1:6">
      <c r="A257" t="s">
        <v>558</v>
      </c>
      <c r="B257" s="8">
        <v>6.8</v>
      </c>
      <c r="C257" t="s">
        <v>208</v>
      </c>
      <c r="D257" t="s">
        <v>170</v>
      </c>
      <c r="E257" t="s">
        <v>550</v>
      </c>
      <c r="F257"/>
    </row>
    <row r="258" spans="1:6">
      <c r="A258" t="s">
        <v>560</v>
      </c>
      <c r="B258" s="8">
        <v>14</v>
      </c>
      <c r="C258" t="s">
        <v>208</v>
      </c>
      <c r="D258" t="s">
        <v>170</v>
      </c>
      <c r="E258" t="s">
        <v>550</v>
      </c>
      <c r="F258"/>
    </row>
    <row r="259" spans="1:6">
      <c r="A259" t="s">
        <v>559</v>
      </c>
      <c r="B259" s="8">
        <v>12</v>
      </c>
      <c r="C259" t="s">
        <v>208</v>
      </c>
      <c r="D259" t="s">
        <v>170</v>
      </c>
      <c r="E259" t="s">
        <v>550</v>
      </c>
      <c r="F259"/>
    </row>
    <row r="260" spans="1:6">
      <c r="A260" t="s">
        <v>561</v>
      </c>
      <c r="B260" s="8">
        <v>10</v>
      </c>
      <c r="C260" t="s">
        <v>208</v>
      </c>
      <c r="D260" t="s">
        <v>170</v>
      </c>
      <c r="E260" t="s">
        <v>550</v>
      </c>
      <c r="F260"/>
    </row>
    <row r="261" spans="1:6">
      <c r="A261" t="s">
        <v>562</v>
      </c>
      <c r="B261" s="8">
        <v>6</v>
      </c>
      <c r="C261" t="s">
        <v>208</v>
      </c>
      <c r="D261" t="s">
        <v>170</v>
      </c>
      <c r="E261" t="s">
        <v>550</v>
      </c>
      <c r="F261"/>
    </row>
    <row r="262" spans="1:6">
      <c r="A262" t="s">
        <v>563</v>
      </c>
      <c r="B262" s="8">
        <v>9</v>
      </c>
      <c r="C262" t="s">
        <v>208</v>
      </c>
      <c r="D262" t="s">
        <v>170</v>
      </c>
      <c r="E262" t="s">
        <v>550</v>
      </c>
      <c r="F262"/>
    </row>
    <row r="263" spans="1:6">
      <c r="A263" t="s">
        <v>564</v>
      </c>
      <c r="B263" s="8">
        <v>10</v>
      </c>
      <c r="C263" t="s">
        <v>208</v>
      </c>
      <c r="D263" t="s">
        <v>170</v>
      </c>
      <c r="E263" t="s">
        <v>550</v>
      </c>
      <c r="F263"/>
    </row>
    <row r="264" spans="1:6">
      <c r="A264" t="s">
        <v>565</v>
      </c>
      <c r="B264" s="8">
        <v>11</v>
      </c>
      <c r="C264" t="s">
        <v>208</v>
      </c>
      <c r="D264" t="s">
        <v>170</v>
      </c>
      <c r="E264" t="s">
        <v>550</v>
      </c>
      <c r="F264"/>
    </row>
    <row r="265" spans="1:6">
      <c r="B265" s="8"/>
      <c r="E265"/>
      <c r="F265"/>
    </row>
    <row r="266" spans="1:6">
      <c r="A266" t="s">
        <v>177</v>
      </c>
      <c r="B266" s="90">
        <v>13.2</v>
      </c>
      <c r="C266" t="s">
        <v>146</v>
      </c>
      <c r="D266" t="s">
        <v>170</v>
      </c>
      <c r="E266" t="s">
        <v>550</v>
      </c>
      <c r="F266"/>
    </row>
    <row r="267" spans="1:6">
      <c r="A267" t="s">
        <v>178</v>
      </c>
      <c r="B267" s="90">
        <v>9.9</v>
      </c>
      <c r="C267" t="s">
        <v>146</v>
      </c>
      <c r="D267" t="s">
        <v>170</v>
      </c>
      <c r="E267" t="s">
        <v>550</v>
      </c>
      <c r="F267"/>
    </row>
    <row r="268" spans="1:6">
      <c r="A268" t="s">
        <v>179</v>
      </c>
      <c r="B268" s="90">
        <v>13.3</v>
      </c>
      <c r="C268" t="s">
        <v>146</v>
      </c>
      <c r="D268" t="s">
        <v>170</v>
      </c>
      <c r="E268" t="s">
        <v>550</v>
      </c>
      <c r="F268"/>
    </row>
    <row r="269" spans="1:6">
      <c r="E269"/>
      <c r="F269"/>
    </row>
    <row r="270" spans="1:6" ht="13.8" thickBot="1">
      <c r="A270" s="88" t="s">
        <v>142</v>
      </c>
      <c r="B270" s="89" t="s">
        <v>249</v>
      </c>
      <c r="C270" s="2" t="s">
        <v>143</v>
      </c>
      <c r="D270" s="2" t="s">
        <v>144</v>
      </c>
      <c r="E270" s="2"/>
      <c r="F270" s="2"/>
    </row>
    <row r="271" spans="1:6">
      <c r="A271" s="3"/>
      <c r="B271" s="4"/>
      <c r="E271"/>
      <c r="F271"/>
    </row>
    <row r="272" spans="1:6">
      <c r="A272" s="3" t="s">
        <v>301</v>
      </c>
      <c r="B272" s="4">
        <v>16.399999999999999</v>
      </c>
      <c r="C272" t="s">
        <v>208</v>
      </c>
      <c r="D272" t="s">
        <v>147</v>
      </c>
      <c r="E272" t="s">
        <v>212</v>
      </c>
      <c r="F272"/>
    </row>
    <row r="273" spans="1:6">
      <c r="A273" s="3" t="s">
        <v>302</v>
      </c>
      <c r="B273" s="4">
        <v>21.3</v>
      </c>
      <c r="C273" t="s">
        <v>208</v>
      </c>
      <c r="D273" t="s">
        <v>147</v>
      </c>
      <c r="E273" t="s">
        <v>212</v>
      </c>
      <c r="F273"/>
    </row>
    <row r="274" spans="1:6">
      <c r="A274" s="3" t="s">
        <v>303</v>
      </c>
      <c r="B274" s="4">
        <v>30.2</v>
      </c>
      <c r="C274" t="s">
        <v>208</v>
      </c>
      <c r="D274" t="s">
        <v>147</v>
      </c>
      <c r="E274" t="s">
        <v>212</v>
      </c>
      <c r="F274"/>
    </row>
    <row r="275" spans="1:6">
      <c r="A275" s="3" t="s">
        <v>304</v>
      </c>
      <c r="B275" s="4">
        <v>15.8</v>
      </c>
      <c r="C275" t="s">
        <v>208</v>
      </c>
      <c r="D275" t="s">
        <v>147</v>
      </c>
      <c r="E275" t="s">
        <v>212</v>
      </c>
      <c r="F275"/>
    </row>
    <row r="276" spans="1:6">
      <c r="A276" s="3" t="s">
        <v>305</v>
      </c>
      <c r="B276" s="4">
        <v>26</v>
      </c>
      <c r="C276" t="s">
        <v>208</v>
      </c>
      <c r="D276" t="s">
        <v>147</v>
      </c>
      <c r="E276" t="s">
        <v>212</v>
      </c>
      <c r="F276"/>
    </row>
    <row r="277" spans="1:6">
      <c r="A277" s="3" t="s">
        <v>306</v>
      </c>
      <c r="B277" s="4">
        <v>19.7</v>
      </c>
      <c r="C277" t="s">
        <v>208</v>
      </c>
      <c r="D277" t="s">
        <v>147</v>
      </c>
      <c r="E277"/>
      <c r="F277"/>
    </row>
    <row r="278" spans="1:6">
      <c r="A278" s="3" t="s">
        <v>307</v>
      </c>
      <c r="B278" s="4">
        <v>31.4</v>
      </c>
      <c r="C278" t="s">
        <v>208</v>
      </c>
      <c r="D278" t="s">
        <v>147</v>
      </c>
      <c r="E278"/>
      <c r="F278"/>
    </row>
    <row r="279" spans="1:6">
      <c r="A279" s="3" t="s">
        <v>308</v>
      </c>
      <c r="B279" s="4">
        <v>13</v>
      </c>
      <c r="C279" t="s">
        <v>208</v>
      </c>
      <c r="D279" t="s">
        <v>147</v>
      </c>
      <c r="E279" t="s">
        <v>316</v>
      </c>
      <c r="F279"/>
    </row>
    <row r="280" spans="1:6">
      <c r="A280" s="3" t="s">
        <v>309</v>
      </c>
      <c r="B280" s="4">
        <v>13.4</v>
      </c>
      <c r="C280" t="s">
        <v>208</v>
      </c>
      <c r="D280" t="s">
        <v>147</v>
      </c>
      <c r="E280" t="s">
        <v>320</v>
      </c>
      <c r="F280"/>
    </row>
    <row r="281" spans="1:6">
      <c r="A281" s="3" t="s">
        <v>310</v>
      </c>
      <c r="B281" s="4">
        <v>16.100000000000001</v>
      </c>
      <c r="C281" t="s">
        <v>208</v>
      </c>
      <c r="D281" t="s">
        <v>147</v>
      </c>
      <c r="E281" t="s">
        <v>320</v>
      </c>
      <c r="F281"/>
    </row>
    <row r="282" spans="1:6">
      <c r="A282" s="3" t="s">
        <v>311</v>
      </c>
      <c r="B282" s="4">
        <v>19</v>
      </c>
      <c r="C282" t="s">
        <v>208</v>
      </c>
      <c r="D282" t="s">
        <v>147</v>
      </c>
      <c r="E282" t="s">
        <v>320</v>
      </c>
      <c r="F282"/>
    </row>
    <row r="283" spans="1:6">
      <c r="A283" s="3" t="s">
        <v>312</v>
      </c>
      <c r="B283" s="4">
        <v>23.2</v>
      </c>
      <c r="C283" t="s">
        <v>208</v>
      </c>
      <c r="D283" t="s">
        <v>147</v>
      </c>
      <c r="E283" t="s">
        <v>320</v>
      </c>
      <c r="F283"/>
    </row>
    <row r="284" spans="1:6">
      <c r="A284" s="3" t="s">
        <v>313</v>
      </c>
      <c r="B284" s="4">
        <v>24.2</v>
      </c>
      <c r="C284" t="s">
        <v>208</v>
      </c>
      <c r="D284" t="s">
        <v>147</v>
      </c>
      <c r="E284" t="s">
        <v>320</v>
      </c>
      <c r="F284"/>
    </row>
    <row r="285" spans="1:6">
      <c r="A285" s="3" t="s">
        <v>314</v>
      </c>
      <c r="B285" s="4">
        <v>19</v>
      </c>
      <c r="C285" t="s">
        <v>208</v>
      </c>
      <c r="D285" t="s">
        <v>147</v>
      </c>
      <c r="E285"/>
      <c r="F285"/>
    </row>
    <row r="286" spans="1:6">
      <c r="A286" s="3" t="s">
        <v>315</v>
      </c>
      <c r="B286" s="4">
        <v>20</v>
      </c>
      <c r="C286" t="s">
        <v>208</v>
      </c>
      <c r="D286" t="s">
        <v>147</v>
      </c>
      <c r="E286" t="s">
        <v>320</v>
      </c>
      <c r="F286"/>
    </row>
    <row r="287" spans="1:6">
      <c r="A287" s="3" t="s">
        <v>317</v>
      </c>
      <c r="B287" s="4">
        <v>14.9</v>
      </c>
      <c r="C287" t="s">
        <v>208</v>
      </c>
      <c r="D287" t="s">
        <v>147</v>
      </c>
      <c r="E287" t="s">
        <v>320</v>
      </c>
      <c r="F287"/>
    </row>
    <row r="288" spans="1:6">
      <c r="A288" s="3" t="s">
        <v>318</v>
      </c>
      <c r="B288" s="4">
        <v>20</v>
      </c>
      <c r="C288" t="s">
        <v>208</v>
      </c>
      <c r="D288" t="s">
        <v>147</v>
      </c>
      <c r="E288" t="s">
        <v>320</v>
      </c>
      <c r="F288"/>
    </row>
    <row r="289" spans="1:6">
      <c r="A289" s="3" t="s">
        <v>319</v>
      </c>
      <c r="B289" s="4">
        <v>28.7</v>
      </c>
      <c r="C289" t="s">
        <v>208</v>
      </c>
      <c r="D289" t="s">
        <v>147</v>
      </c>
      <c r="E289"/>
      <c r="F289"/>
    </row>
    <row r="290" spans="1:6">
      <c r="A290" s="3" t="s">
        <v>321</v>
      </c>
      <c r="B290" s="4">
        <v>15</v>
      </c>
      <c r="C290" t="s">
        <v>208</v>
      </c>
      <c r="D290" t="s">
        <v>214</v>
      </c>
      <c r="E290"/>
      <c r="F290"/>
    </row>
    <row r="291" spans="1:6">
      <c r="A291" s="3" t="s">
        <v>322</v>
      </c>
      <c r="B291" s="4">
        <v>21</v>
      </c>
      <c r="C291" t="s">
        <v>208</v>
      </c>
      <c r="D291" t="s">
        <v>214</v>
      </c>
      <c r="E291"/>
      <c r="F291"/>
    </row>
    <row r="292" spans="1:6">
      <c r="A292" s="3" t="s">
        <v>323</v>
      </c>
      <c r="B292" s="4">
        <v>26</v>
      </c>
      <c r="C292" t="s">
        <v>208</v>
      </c>
      <c r="D292" t="s">
        <v>214</v>
      </c>
      <c r="E292"/>
      <c r="F292"/>
    </row>
    <row r="293" spans="1:6">
      <c r="A293" s="3" t="s">
        <v>324</v>
      </c>
      <c r="B293" s="4">
        <v>14.2</v>
      </c>
      <c r="C293" t="s">
        <v>208</v>
      </c>
      <c r="D293" t="s">
        <v>156</v>
      </c>
      <c r="E293"/>
      <c r="F293"/>
    </row>
    <row r="294" spans="1:6">
      <c r="A294" s="3" t="s">
        <v>325</v>
      </c>
      <c r="B294" s="4">
        <v>19.7</v>
      </c>
      <c r="C294" t="s">
        <v>208</v>
      </c>
      <c r="D294" t="s">
        <v>156</v>
      </c>
      <c r="E294"/>
      <c r="F294"/>
    </row>
    <row r="295" spans="1:6">
      <c r="A295" s="3" t="s">
        <v>326</v>
      </c>
      <c r="B295" s="4">
        <v>26.3</v>
      </c>
      <c r="C295" t="s">
        <v>208</v>
      </c>
      <c r="D295" t="s">
        <v>156</v>
      </c>
      <c r="E295"/>
      <c r="F295"/>
    </row>
    <row r="296" spans="1:6">
      <c r="A296" s="3" t="s">
        <v>327</v>
      </c>
      <c r="B296" s="4">
        <v>29.1</v>
      </c>
      <c r="C296" t="s">
        <v>208</v>
      </c>
      <c r="D296" t="s">
        <v>156</v>
      </c>
      <c r="E296"/>
      <c r="F296"/>
    </row>
    <row r="297" spans="1:6">
      <c r="A297" s="3" t="s">
        <v>328</v>
      </c>
      <c r="B297" s="4">
        <v>13.8</v>
      </c>
      <c r="C297" t="s">
        <v>208</v>
      </c>
      <c r="D297" t="s">
        <v>156</v>
      </c>
      <c r="E297"/>
      <c r="F297"/>
    </row>
    <row r="298" spans="1:6">
      <c r="A298" s="3" t="s">
        <v>329</v>
      </c>
      <c r="B298" s="4">
        <v>19.899999999999999</v>
      </c>
      <c r="C298" t="s">
        <v>208</v>
      </c>
      <c r="D298" t="s">
        <v>156</v>
      </c>
      <c r="E298"/>
      <c r="F298"/>
    </row>
    <row r="299" spans="1:6">
      <c r="A299" s="3" t="s">
        <v>330</v>
      </c>
      <c r="B299" s="4">
        <v>25.9</v>
      </c>
      <c r="C299" t="s">
        <v>208</v>
      </c>
      <c r="D299" t="s">
        <v>156</v>
      </c>
      <c r="E299"/>
      <c r="F299"/>
    </row>
    <row r="300" spans="1:6">
      <c r="A300" s="3" t="s">
        <v>331</v>
      </c>
      <c r="B300" s="4">
        <v>29.5</v>
      </c>
      <c r="C300" t="s">
        <v>208</v>
      </c>
      <c r="D300" t="s">
        <v>156</v>
      </c>
      <c r="E300"/>
      <c r="F300"/>
    </row>
    <row r="301" spans="1:6">
      <c r="A301" s="3" t="s">
        <v>332</v>
      </c>
      <c r="B301" s="4">
        <v>14.1</v>
      </c>
      <c r="C301" t="s">
        <v>208</v>
      </c>
      <c r="D301" t="s">
        <v>156</v>
      </c>
      <c r="E301"/>
      <c r="F301"/>
    </row>
    <row r="302" spans="1:6">
      <c r="A302" s="3" t="s">
        <v>333</v>
      </c>
      <c r="B302" s="4">
        <v>19.8</v>
      </c>
      <c r="C302" t="s">
        <v>208</v>
      </c>
      <c r="D302" t="s">
        <v>156</v>
      </c>
      <c r="E302"/>
      <c r="F302"/>
    </row>
    <row r="303" spans="1:6">
      <c r="A303" s="3" t="s">
        <v>334</v>
      </c>
      <c r="B303" s="4">
        <v>25.5</v>
      </c>
      <c r="C303" t="s">
        <v>208</v>
      </c>
      <c r="D303" t="s">
        <v>156</v>
      </c>
      <c r="E303"/>
      <c r="F303"/>
    </row>
    <row r="304" spans="1:6">
      <c r="A304" s="3" t="s">
        <v>335</v>
      </c>
      <c r="B304" s="4">
        <v>29.4</v>
      </c>
      <c r="C304" t="s">
        <v>208</v>
      </c>
      <c r="D304" t="s">
        <v>156</v>
      </c>
      <c r="E304"/>
      <c r="F304"/>
    </row>
    <row r="305" spans="1:6">
      <c r="A305" s="3" t="s">
        <v>336</v>
      </c>
      <c r="B305" s="4">
        <v>12.9</v>
      </c>
      <c r="C305" t="s">
        <v>208</v>
      </c>
      <c r="D305" t="s">
        <v>156</v>
      </c>
      <c r="E305"/>
      <c r="F305"/>
    </row>
    <row r="306" spans="1:6">
      <c r="A306" s="3" t="s">
        <v>337</v>
      </c>
      <c r="B306" s="4">
        <v>20</v>
      </c>
      <c r="C306" t="s">
        <v>208</v>
      </c>
      <c r="D306" t="s">
        <v>156</v>
      </c>
      <c r="E306"/>
      <c r="F306"/>
    </row>
    <row r="307" spans="1:6">
      <c r="A307" s="3" t="s">
        <v>338</v>
      </c>
      <c r="B307" s="4">
        <v>25.5</v>
      </c>
      <c r="C307" t="s">
        <v>208</v>
      </c>
      <c r="D307" t="s">
        <v>156</v>
      </c>
      <c r="E307"/>
      <c r="F307"/>
    </row>
    <row r="308" spans="1:6">
      <c r="A308" s="3" t="s">
        <v>339</v>
      </c>
      <c r="B308" s="4">
        <v>28.9</v>
      </c>
      <c r="C308" t="s">
        <v>208</v>
      </c>
      <c r="D308" t="s">
        <v>156</v>
      </c>
      <c r="E308"/>
      <c r="F308"/>
    </row>
    <row r="309" spans="1:6">
      <c r="A309" s="3" t="s">
        <v>340</v>
      </c>
      <c r="B309" s="4">
        <v>11.1</v>
      </c>
      <c r="C309" t="s">
        <v>208</v>
      </c>
      <c r="D309" t="s">
        <v>156</v>
      </c>
      <c r="E309" t="s">
        <v>344</v>
      </c>
      <c r="F309"/>
    </row>
    <row r="310" spans="1:6">
      <c r="A310" s="3" t="s">
        <v>341</v>
      </c>
      <c r="B310" s="4">
        <v>17.899999999999999</v>
      </c>
      <c r="C310" t="s">
        <v>208</v>
      </c>
      <c r="D310" t="s">
        <v>156</v>
      </c>
      <c r="E310" t="s">
        <v>344</v>
      </c>
      <c r="F310"/>
    </row>
    <row r="311" spans="1:6">
      <c r="A311" s="3" t="s">
        <v>342</v>
      </c>
      <c r="B311" s="4">
        <v>23.5</v>
      </c>
      <c r="C311" t="s">
        <v>208</v>
      </c>
      <c r="D311" t="s">
        <v>156</v>
      </c>
      <c r="E311" t="s">
        <v>344</v>
      </c>
      <c r="F311"/>
    </row>
    <row r="312" spans="1:6">
      <c r="A312" s="3" t="s">
        <v>343</v>
      </c>
      <c r="B312" s="4">
        <v>27.9</v>
      </c>
      <c r="C312" t="s">
        <v>208</v>
      </c>
      <c r="D312" t="s">
        <v>156</v>
      </c>
      <c r="E312" t="s">
        <v>344</v>
      </c>
      <c r="F312"/>
    </row>
    <row r="313" spans="1:6">
      <c r="A313" s="3" t="s">
        <v>345</v>
      </c>
      <c r="B313" s="4">
        <v>14.1</v>
      </c>
      <c r="C313" t="s">
        <v>208</v>
      </c>
      <c r="D313" t="s">
        <v>156</v>
      </c>
      <c r="E313"/>
      <c r="F313"/>
    </row>
    <row r="314" spans="1:6">
      <c r="A314" s="3" t="s">
        <v>346</v>
      </c>
      <c r="B314" s="4">
        <v>18.2</v>
      </c>
      <c r="C314" t="s">
        <v>208</v>
      </c>
      <c r="D314" t="s">
        <v>156</v>
      </c>
      <c r="E314"/>
      <c r="F314"/>
    </row>
    <row r="315" spans="1:6">
      <c r="A315" s="3" t="s">
        <v>347</v>
      </c>
      <c r="B315" s="4">
        <v>24</v>
      </c>
      <c r="C315" t="s">
        <v>208</v>
      </c>
      <c r="D315" t="s">
        <v>156</v>
      </c>
      <c r="E315"/>
      <c r="F315"/>
    </row>
    <row r="316" spans="1:6">
      <c r="A316" s="3" t="s">
        <v>348</v>
      </c>
      <c r="B316" s="4">
        <v>27</v>
      </c>
      <c r="C316" t="s">
        <v>208</v>
      </c>
      <c r="D316" t="s">
        <v>156</v>
      </c>
      <c r="E316"/>
      <c r="F316"/>
    </row>
    <row r="317" spans="1:6">
      <c r="A317" s="3" t="s">
        <v>349</v>
      </c>
      <c r="B317" s="4">
        <v>14.5</v>
      </c>
      <c r="C317" t="s">
        <v>208</v>
      </c>
      <c r="D317" t="s">
        <v>156</v>
      </c>
      <c r="E317"/>
      <c r="F317"/>
    </row>
    <row r="318" spans="1:6">
      <c r="A318" s="3" t="s">
        <v>350</v>
      </c>
      <c r="B318" s="4">
        <v>19.600000000000001</v>
      </c>
      <c r="C318" t="s">
        <v>208</v>
      </c>
      <c r="D318" t="s">
        <v>156</v>
      </c>
      <c r="E318"/>
      <c r="F318"/>
    </row>
    <row r="319" spans="1:6">
      <c r="A319" s="3" t="s">
        <v>351</v>
      </c>
      <c r="B319" s="4">
        <v>24.8</v>
      </c>
      <c r="C319" t="s">
        <v>208</v>
      </c>
      <c r="D319" t="s">
        <v>156</v>
      </c>
      <c r="E319"/>
      <c r="F319"/>
    </row>
    <row r="320" spans="1:6">
      <c r="A320" s="3" t="s">
        <v>352</v>
      </c>
      <c r="B320" s="4">
        <v>27.3</v>
      </c>
      <c r="C320" t="s">
        <v>208</v>
      </c>
      <c r="D320" t="s">
        <v>156</v>
      </c>
      <c r="E320"/>
      <c r="F320"/>
    </row>
    <row r="321" spans="1:6">
      <c r="A321" s="3" t="s">
        <v>353</v>
      </c>
      <c r="B321" s="4">
        <v>13.8</v>
      </c>
      <c r="C321" t="s">
        <v>208</v>
      </c>
      <c r="D321" t="s">
        <v>156</v>
      </c>
      <c r="E321"/>
      <c r="F321"/>
    </row>
    <row r="322" spans="1:6">
      <c r="A322" s="3" t="s">
        <v>354</v>
      </c>
      <c r="B322" s="4">
        <v>18.7</v>
      </c>
      <c r="C322" t="s">
        <v>208</v>
      </c>
      <c r="D322" t="s">
        <v>156</v>
      </c>
      <c r="E322"/>
      <c r="F322"/>
    </row>
    <row r="323" spans="1:6">
      <c r="A323" s="3" t="s">
        <v>355</v>
      </c>
      <c r="B323" s="4">
        <v>26.2</v>
      </c>
      <c r="C323" t="s">
        <v>208</v>
      </c>
      <c r="D323" t="s">
        <v>156</v>
      </c>
      <c r="E323"/>
      <c r="F323"/>
    </row>
    <row r="324" spans="1:6">
      <c r="A324" s="3" t="s">
        <v>356</v>
      </c>
      <c r="B324" s="4">
        <v>30.1</v>
      </c>
      <c r="C324" t="s">
        <v>208</v>
      </c>
      <c r="D324" t="s">
        <v>156</v>
      </c>
      <c r="E324"/>
      <c r="F324"/>
    </row>
    <row r="325" spans="1:6">
      <c r="A325" s="3" t="s">
        <v>357</v>
      </c>
      <c r="B325" s="4">
        <v>15</v>
      </c>
      <c r="C325" t="s">
        <v>208</v>
      </c>
      <c r="D325" t="s">
        <v>156</v>
      </c>
      <c r="E325"/>
      <c r="F325"/>
    </row>
    <row r="326" spans="1:6">
      <c r="A326" s="3" t="s">
        <v>358</v>
      </c>
      <c r="B326" s="4">
        <v>18.399999999999999</v>
      </c>
      <c r="C326" t="s">
        <v>208</v>
      </c>
      <c r="D326" t="s">
        <v>156</v>
      </c>
      <c r="E326"/>
      <c r="F326"/>
    </row>
    <row r="327" spans="1:6">
      <c r="A327" s="3" t="s">
        <v>359</v>
      </c>
      <c r="B327" s="4">
        <v>23.2</v>
      </c>
      <c r="C327" t="s">
        <v>208</v>
      </c>
      <c r="D327" t="s">
        <v>156</v>
      </c>
      <c r="E327"/>
      <c r="F327"/>
    </row>
    <row r="328" spans="1:6">
      <c r="A328" s="3" t="s">
        <v>360</v>
      </c>
      <c r="B328" s="4">
        <v>29.6</v>
      </c>
      <c r="C328" t="s">
        <v>208</v>
      </c>
      <c r="D328" t="s">
        <v>156</v>
      </c>
      <c r="E328"/>
      <c r="F328"/>
    </row>
    <row r="329" spans="1:6">
      <c r="A329" s="3" t="s">
        <v>364</v>
      </c>
      <c r="B329" s="4">
        <v>12.6</v>
      </c>
      <c r="C329" t="s">
        <v>208</v>
      </c>
      <c r="D329" t="s">
        <v>156</v>
      </c>
      <c r="E329"/>
      <c r="F329"/>
    </row>
    <row r="330" spans="1:6">
      <c r="A330" s="3" t="s">
        <v>361</v>
      </c>
      <c r="B330" s="4">
        <v>18.7</v>
      </c>
      <c r="C330" t="s">
        <v>208</v>
      </c>
      <c r="D330" t="s">
        <v>156</v>
      </c>
      <c r="E330"/>
      <c r="F330"/>
    </row>
    <row r="331" spans="1:6">
      <c r="A331" s="3" t="s">
        <v>362</v>
      </c>
      <c r="B331" s="4">
        <v>23</v>
      </c>
      <c r="C331" t="s">
        <v>208</v>
      </c>
      <c r="D331" t="s">
        <v>156</v>
      </c>
      <c r="E331"/>
      <c r="F331"/>
    </row>
    <row r="332" spans="1:6">
      <c r="A332" s="3" t="s">
        <v>363</v>
      </c>
      <c r="B332" s="4">
        <v>26.7</v>
      </c>
      <c r="C332" t="s">
        <v>208</v>
      </c>
      <c r="D332" t="s">
        <v>156</v>
      </c>
      <c r="E332"/>
      <c r="F332"/>
    </row>
    <row r="333" spans="1:6">
      <c r="A333" s="3" t="s">
        <v>365</v>
      </c>
      <c r="B333" s="4">
        <v>9.9</v>
      </c>
      <c r="C333" t="s">
        <v>208</v>
      </c>
      <c r="D333" t="s">
        <v>156</v>
      </c>
      <c r="E333"/>
      <c r="F333"/>
    </row>
    <row r="334" spans="1:6">
      <c r="A334" s="3" t="s">
        <v>366</v>
      </c>
      <c r="B334" s="4">
        <v>12.7</v>
      </c>
      <c r="C334" t="s">
        <v>208</v>
      </c>
      <c r="D334" t="s">
        <v>156</v>
      </c>
      <c r="E334"/>
      <c r="F334"/>
    </row>
    <row r="335" spans="1:6">
      <c r="A335" s="3" t="s">
        <v>367</v>
      </c>
      <c r="B335" s="4">
        <v>14.9</v>
      </c>
      <c r="C335" t="s">
        <v>208</v>
      </c>
      <c r="D335" t="s">
        <v>156</v>
      </c>
      <c r="E335"/>
      <c r="F335"/>
    </row>
    <row r="336" spans="1:6">
      <c r="A336" s="3" t="s">
        <v>368</v>
      </c>
      <c r="B336" s="4">
        <v>9.8000000000000007</v>
      </c>
      <c r="C336" t="s">
        <v>208</v>
      </c>
      <c r="D336" t="s">
        <v>156</v>
      </c>
      <c r="E336"/>
      <c r="F336"/>
    </row>
    <row r="337" spans="1:6">
      <c r="A337" s="3" t="s">
        <v>369</v>
      </c>
      <c r="B337" s="4">
        <v>12.7</v>
      </c>
      <c r="C337" t="s">
        <v>208</v>
      </c>
      <c r="D337" t="s">
        <v>156</v>
      </c>
      <c r="E337"/>
      <c r="F337"/>
    </row>
    <row r="338" spans="1:6">
      <c r="A338" s="3" t="s">
        <v>370</v>
      </c>
      <c r="B338" s="4">
        <v>14.8</v>
      </c>
      <c r="C338" t="s">
        <v>208</v>
      </c>
      <c r="D338" t="s">
        <v>156</v>
      </c>
      <c r="E338"/>
      <c r="F338"/>
    </row>
    <row r="339" spans="1:6">
      <c r="A339" s="3" t="s">
        <v>371</v>
      </c>
      <c r="B339" s="4">
        <v>16.2</v>
      </c>
      <c r="C339" t="s">
        <v>208</v>
      </c>
      <c r="D339" t="s">
        <v>156</v>
      </c>
      <c r="E339"/>
      <c r="F339"/>
    </row>
    <row r="340" spans="1:6">
      <c r="A340" s="3" t="s">
        <v>372</v>
      </c>
      <c r="B340" s="4">
        <v>9.6</v>
      </c>
      <c r="C340" t="s">
        <v>208</v>
      </c>
      <c r="D340" t="s">
        <v>156</v>
      </c>
      <c r="E340"/>
      <c r="F340"/>
    </row>
    <row r="341" spans="1:6">
      <c r="A341" s="3" t="s">
        <v>373</v>
      </c>
      <c r="B341" s="4">
        <v>12.1</v>
      </c>
      <c r="C341" t="s">
        <v>208</v>
      </c>
      <c r="D341" t="s">
        <v>156</v>
      </c>
      <c r="E341"/>
      <c r="F341"/>
    </row>
    <row r="342" spans="1:6">
      <c r="A342" s="3" t="s">
        <v>374</v>
      </c>
      <c r="B342" s="4">
        <v>14.7</v>
      </c>
      <c r="C342" t="s">
        <v>208</v>
      </c>
      <c r="D342" t="s">
        <v>156</v>
      </c>
      <c r="E342"/>
      <c r="F342"/>
    </row>
    <row r="343" spans="1:6">
      <c r="A343" s="3" t="s">
        <v>375</v>
      </c>
      <c r="B343" s="4">
        <v>16.2</v>
      </c>
      <c r="C343" t="s">
        <v>208</v>
      </c>
      <c r="D343" t="s">
        <v>156</v>
      </c>
      <c r="E343"/>
      <c r="F343"/>
    </row>
    <row r="344" spans="1:6">
      <c r="A344" s="3" t="s">
        <v>376</v>
      </c>
      <c r="B344" s="4">
        <v>8.9</v>
      </c>
      <c r="C344" t="s">
        <v>208</v>
      </c>
      <c r="D344" t="s">
        <v>156</v>
      </c>
      <c r="E344"/>
      <c r="F344"/>
    </row>
    <row r="345" spans="1:6">
      <c r="A345" s="3" t="s">
        <v>377</v>
      </c>
      <c r="B345" s="4">
        <v>12.3</v>
      </c>
      <c r="C345" t="s">
        <v>208</v>
      </c>
      <c r="D345" t="s">
        <v>156</v>
      </c>
      <c r="E345"/>
      <c r="F345"/>
    </row>
    <row r="346" spans="1:6">
      <c r="A346" s="3" t="s">
        <v>378</v>
      </c>
      <c r="B346" s="4">
        <v>14.8</v>
      </c>
      <c r="C346" t="s">
        <v>208</v>
      </c>
      <c r="D346" t="s">
        <v>156</v>
      </c>
      <c r="E346"/>
      <c r="F346"/>
    </row>
    <row r="347" spans="1:6">
      <c r="A347" s="3" t="s">
        <v>379</v>
      </c>
      <c r="B347" s="4">
        <v>15.5</v>
      </c>
      <c r="C347" t="s">
        <v>208</v>
      </c>
      <c r="D347" t="s">
        <v>156</v>
      </c>
      <c r="E347"/>
      <c r="F347"/>
    </row>
    <row r="348" spans="1:6">
      <c r="A348" s="3" t="s">
        <v>380</v>
      </c>
      <c r="B348" s="4">
        <v>10.6</v>
      </c>
      <c r="C348" t="s">
        <v>208</v>
      </c>
      <c r="D348" t="s">
        <v>156</v>
      </c>
      <c r="E348" t="s">
        <v>406</v>
      </c>
      <c r="F348"/>
    </row>
    <row r="349" spans="1:6">
      <c r="A349" s="3" t="s">
        <v>381</v>
      </c>
      <c r="B349" s="4">
        <v>13.4</v>
      </c>
      <c r="C349" t="s">
        <v>208</v>
      </c>
      <c r="D349" t="s">
        <v>156</v>
      </c>
      <c r="E349" t="s">
        <v>406</v>
      </c>
      <c r="F349"/>
    </row>
    <row r="350" spans="1:6">
      <c r="A350" s="3" t="s">
        <v>382</v>
      </c>
      <c r="B350" s="4">
        <v>14.5</v>
      </c>
      <c r="C350" t="s">
        <v>208</v>
      </c>
      <c r="D350" t="s">
        <v>156</v>
      </c>
      <c r="E350" t="s">
        <v>406</v>
      </c>
      <c r="F350"/>
    </row>
    <row r="351" spans="1:6">
      <c r="A351" s="3" t="s">
        <v>391</v>
      </c>
      <c r="B351" s="4">
        <v>10.5</v>
      </c>
      <c r="C351" t="s">
        <v>208</v>
      </c>
      <c r="D351" t="s">
        <v>156</v>
      </c>
      <c r="E351" t="s">
        <v>406</v>
      </c>
      <c r="F351"/>
    </row>
    <row r="352" spans="1:6">
      <c r="A352" s="3" t="s">
        <v>392</v>
      </c>
      <c r="B352" s="4">
        <v>13</v>
      </c>
      <c r="C352" t="s">
        <v>208</v>
      </c>
      <c r="D352" t="s">
        <v>156</v>
      </c>
      <c r="E352" t="s">
        <v>406</v>
      </c>
      <c r="F352"/>
    </row>
    <row r="353" spans="1:6">
      <c r="A353" s="3" t="s">
        <v>393</v>
      </c>
      <c r="B353" s="4">
        <v>14.6</v>
      </c>
      <c r="C353" t="s">
        <v>208</v>
      </c>
      <c r="D353" t="s">
        <v>156</v>
      </c>
      <c r="E353" t="s">
        <v>406</v>
      </c>
      <c r="F353"/>
    </row>
    <row r="354" spans="1:6">
      <c r="A354" s="3" t="s">
        <v>383</v>
      </c>
      <c r="B354" s="4">
        <v>9.6999999999999993</v>
      </c>
      <c r="C354" t="s">
        <v>208</v>
      </c>
      <c r="D354" t="s">
        <v>156</v>
      </c>
      <c r="E354" t="s">
        <v>406</v>
      </c>
      <c r="F354"/>
    </row>
    <row r="355" spans="1:6">
      <c r="A355" s="3" t="s">
        <v>384</v>
      </c>
      <c r="B355" s="4">
        <v>12.3</v>
      </c>
      <c r="C355" t="s">
        <v>208</v>
      </c>
      <c r="D355" t="s">
        <v>156</v>
      </c>
      <c r="E355" t="s">
        <v>406</v>
      </c>
      <c r="F355"/>
    </row>
    <row r="356" spans="1:6">
      <c r="A356" s="3" t="s">
        <v>385</v>
      </c>
      <c r="B356" s="4">
        <v>14.4</v>
      </c>
      <c r="C356" t="s">
        <v>208</v>
      </c>
      <c r="D356" t="s">
        <v>156</v>
      </c>
      <c r="E356" t="s">
        <v>406</v>
      </c>
      <c r="F356"/>
    </row>
    <row r="357" spans="1:6">
      <c r="A357" s="3" t="s">
        <v>386</v>
      </c>
      <c r="B357" s="4">
        <v>14.8</v>
      </c>
      <c r="C357" t="s">
        <v>208</v>
      </c>
      <c r="D357" t="s">
        <v>156</v>
      </c>
      <c r="E357" t="s">
        <v>406</v>
      </c>
      <c r="F357"/>
    </row>
    <row r="358" spans="1:6">
      <c r="A358" s="3" t="s">
        <v>387</v>
      </c>
      <c r="B358" s="4">
        <v>9.6</v>
      </c>
      <c r="C358" t="s">
        <v>208</v>
      </c>
      <c r="D358" t="s">
        <v>156</v>
      </c>
      <c r="E358" t="s">
        <v>406</v>
      </c>
      <c r="F358"/>
    </row>
    <row r="359" spans="1:6">
      <c r="A359" s="3" t="s">
        <v>388</v>
      </c>
      <c r="B359" s="4">
        <v>13</v>
      </c>
      <c r="C359" t="s">
        <v>208</v>
      </c>
      <c r="D359" t="s">
        <v>156</v>
      </c>
      <c r="E359" t="s">
        <v>406</v>
      </c>
      <c r="F359"/>
    </row>
    <row r="360" spans="1:6">
      <c r="A360" s="3" t="s">
        <v>389</v>
      </c>
      <c r="B360" s="4">
        <v>14.1</v>
      </c>
      <c r="C360" t="s">
        <v>208</v>
      </c>
      <c r="D360" t="s">
        <v>156</v>
      </c>
      <c r="E360" t="s">
        <v>406</v>
      </c>
      <c r="F360"/>
    </row>
    <row r="361" spans="1:6">
      <c r="A361" s="3" t="s">
        <v>390</v>
      </c>
      <c r="B361" s="4">
        <v>15</v>
      </c>
      <c r="C361" t="s">
        <v>208</v>
      </c>
      <c r="D361" t="s">
        <v>156</v>
      </c>
      <c r="E361" t="s">
        <v>406</v>
      </c>
      <c r="F361"/>
    </row>
    <row r="362" spans="1:6">
      <c r="A362" s="3" t="s">
        <v>394</v>
      </c>
      <c r="B362" s="4">
        <v>11</v>
      </c>
      <c r="C362" t="s">
        <v>208</v>
      </c>
      <c r="D362" t="s">
        <v>156</v>
      </c>
      <c r="E362"/>
      <c r="F362"/>
    </row>
    <row r="363" spans="1:6">
      <c r="A363" s="3" t="s">
        <v>395</v>
      </c>
      <c r="B363" s="4">
        <v>13</v>
      </c>
      <c r="C363" t="s">
        <v>208</v>
      </c>
      <c r="D363" t="s">
        <v>156</v>
      </c>
      <c r="E363"/>
      <c r="F363"/>
    </row>
    <row r="364" spans="1:6">
      <c r="A364" s="3" t="s">
        <v>396</v>
      </c>
      <c r="B364" s="4">
        <v>15</v>
      </c>
      <c r="C364" t="s">
        <v>208</v>
      </c>
      <c r="D364" t="s">
        <v>156</v>
      </c>
      <c r="E364"/>
      <c r="F364"/>
    </row>
    <row r="365" spans="1:6">
      <c r="A365" s="3" t="s">
        <v>397</v>
      </c>
      <c r="B365" s="4">
        <v>10</v>
      </c>
      <c r="C365" t="s">
        <v>208</v>
      </c>
      <c r="D365" t="s">
        <v>156</v>
      </c>
      <c r="E365"/>
      <c r="F365"/>
    </row>
    <row r="366" spans="1:6">
      <c r="A366" s="3" t="s">
        <v>398</v>
      </c>
      <c r="B366" s="4">
        <v>13</v>
      </c>
      <c r="C366" t="s">
        <v>208</v>
      </c>
      <c r="D366" t="s">
        <v>156</v>
      </c>
      <c r="E366"/>
      <c r="F366"/>
    </row>
    <row r="367" spans="1:6">
      <c r="A367" s="3" t="s">
        <v>399</v>
      </c>
      <c r="B367" s="4">
        <v>15</v>
      </c>
      <c r="C367" t="s">
        <v>208</v>
      </c>
      <c r="D367" t="s">
        <v>156</v>
      </c>
      <c r="E367"/>
      <c r="F367"/>
    </row>
    <row r="368" spans="1:6">
      <c r="A368" s="3" t="s">
        <v>400</v>
      </c>
      <c r="B368" s="4">
        <v>10</v>
      </c>
      <c r="C368" t="s">
        <v>208</v>
      </c>
      <c r="D368" t="s">
        <v>156</v>
      </c>
      <c r="E368"/>
      <c r="F368"/>
    </row>
    <row r="369" spans="1:6">
      <c r="A369" s="3" t="s">
        <v>401</v>
      </c>
      <c r="B369" s="4">
        <v>12</v>
      </c>
      <c r="C369" t="s">
        <v>208</v>
      </c>
      <c r="D369" t="s">
        <v>156</v>
      </c>
      <c r="E369"/>
      <c r="F369"/>
    </row>
    <row r="370" spans="1:6">
      <c r="A370" s="3" t="s">
        <v>402</v>
      </c>
      <c r="B370" s="4">
        <v>15</v>
      </c>
      <c r="C370" t="s">
        <v>208</v>
      </c>
      <c r="D370" t="s">
        <v>156</v>
      </c>
      <c r="E370"/>
      <c r="F370"/>
    </row>
    <row r="371" spans="1:6">
      <c r="A371" s="3" t="s">
        <v>403</v>
      </c>
      <c r="B371" s="4">
        <v>10</v>
      </c>
      <c r="C371" t="s">
        <v>208</v>
      </c>
      <c r="D371" t="s">
        <v>156</v>
      </c>
      <c r="E371"/>
      <c r="F371"/>
    </row>
    <row r="372" spans="1:6">
      <c r="A372" s="3" t="s">
        <v>404</v>
      </c>
      <c r="B372" s="4">
        <v>12</v>
      </c>
      <c r="C372" t="s">
        <v>208</v>
      </c>
      <c r="D372" t="s">
        <v>156</v>
      </c>
      <c r="E372"/>
      <c r="F372"/>
    </row>
    <row r="373" spans="1:6">
      <c r="A373" s="3" t="s">
        <v>405</v>
      </c>
      <c r="B373" s="4">
        <v>15</v>
      </c>
      <c r="C373" t="s">
        <v>208</v>
      </c>
      <c r="D373" t="s">
        <v>156</v>
      </c>
      <c r="E373"/>
      <c r="F373"/>
    </row>
    <row r="374" spans="1:6">
      <c r="A374" s="3" t="s">
        <v>407</v>
      </c>
      <c r="B374" s="4">
        <v>9.6</v>
      </c>
      <c r="C374" t="s">
        <v>208</v>
      </c>
      <c r="D374" t="s">
        <v>156</v>
      </c>
      <c r="E374"/>
      <c r="F374"/>
    </row>
    <row r="375" spans="1:6">
      <c r="A375" s="3" t="s">
        <v>408</v>
      </c>
      <c r="B375" s="4">
        <v>13.5</v>
      </c>
      <c r="C375" t="s">
        <v>208</v>
      </c>
      <c r="D375" t="s">
        <v>156</v>
      </c>
      <c r="E375"/>
      <c r="F375"/>
    </row>
    <row r="376" spans="1:6">
      <c r="A376" s="3" t="s">
        <v>409</v>
      </c>
      <c r="B376" s="4">
        <v>15.5</v>
      </c>
      <c r="C376" t="s">
        <v>208</v>
      </c>
      <c r="D376" t="s">
        <v>156</v>
      </c>
      <c r="E376"/>
      <c r="F376"/>
    </row>
    <row r="377" spans="1:6">
      <c r="A377" s="3" t="s">
        <v>410</v>
      </c>
      <c r="B377" s="4">
        <v>9.6</v>
      </c>
      <c r="C377" t="s">
        <v>208</v>
      </c>
      <c r="D377" t="s">
        <v>156</v>
      </c>
      <c r="E377"/>
      <c r="F377"/>
    </row>
    <row r="378" spans="1:6">
      <c r="A378" s="3" t="s">
        <v>411</v>
      </c>
      <c r="B378" s="4">
        <v>12.7</v>
      </c>
      <c r="C378" t="s">
        <v>208</v>
      </c>
      <c r="D378" t="s">
        <v>156</v>
      </c>
      <c r="E378"/>
      <c r="F378"/>
    </row>
    <row r="379" spans="1:6">
      <c r="A379" s="3" t="s">
        <v>412</v>
      </c>
      <c r="B379" s="4">
        <v>14.8</v>
      </c>
      <c r="C379" t="s">
        <v>208</v>
      </c>
      <c r="D379" t="s">
        <v>156</v>
      </c>
      <c r="E379"/>
      <c r="F379"/>
    </row>
    <row r="380" spans="1:6">
      <c r="A380" s="3" t="s">
        <v>413</v>
      </c>
      <c r="B380" s="4">
        <v>16.3</v>
      </c>
      <c r="C380" t="s">
        <v>208</v>
      </c>
      <c r="D380" t="s">
        <v>156</v>
      </c>
      <c r="E380"/>
      <c r="F380"/>
    </row>
    <row r="381" spans="1:6">
      <c r="A381" s="3" t="s">
        <v>414</v>
      </c>
      <c r="B381" s="4">
        <v>17.5</v>
      </c>
      <c r="C381" t="s">
        <v>208</v>
      </c>
      <c r="D381" t="s">
        <v>156</v>
      </c>
      <c r="E381"/>
      <c r="F381"/>
    </row>
    <row r="382" spans="1:6">
      <c r="A382" s="3" t="s">
        <v>415</v>
      </c>
      <c r="B382" s="4">
        <v>9.1</v>
      </c>
      <c r="C382" t="s">
        <v>208</v>
      </c>
      <c r="D382" t="s">
        <v>156</v>
      </c>
      <c r="E382"/>
      <c r="F382"/>
    </row>
    <row r="383" spans="1:6">
      <c r="A383" s="3" t="s">
        <v>416</v>
      </c>
      <c r="B383" s="4">
        <v>12.2</v>
      </c>
      <c r="C383" t="s">
        <v>208</v>
      </c>
      <c r="D383" t="s">
        <v>156</v>
      </c>
      <c r="E383"/>
      <c r="F383"/>
    </row>
    <row r="384" spans="1:6">
      <c r="A384" s="3" t="s">
        <v>417</v>
      </c>
      <c r="B384" s="4">
        <v>14.6</v>
      </c>
      <c r="C384" t="s">
        <v>208</v>
      </c>
      <c r="D384" t="s">
        <v>156</v>
      </c>
      <c r="E384"/>
      <c r="F384"/>
    </row>
    <row r="385" spans="1:6">
      <c r="A385" s="3" t="s">
        <v>418</v>
      </c>
      <c r="B385" s="4">
        <v>16.3</v>
      </c>
      <c r="C385" t="s">
        <v>208</v>
      </c>
      <c r="D385" t="s">
        <v>156</v>
      </c>
      <c r="E385"/>
      <c r="F385"/>
    </row>
    <row r="386" spans="1:6">
      <c r="A386" s="3" t="s">
        <v>419</v>
      </c>
      <c r="B386" s="4">
        <v>17.8</v>
      </c>
      <c r="C386" t="s">
        <v>208</v>
      </c>
      <c r="D386" t="s">
        <v>156</v>
      </c>
      <c r="E386"/>
      <c r="F386"/>
    </row>
    <row r="387" spans="1:6">
      <c r="A387" s="3" t="s">
        <v>420</v>
      </c>
      <c r="B387" s="4">
        <v>9.1</v>
      </c>
      <c r="C387" t="s">
        <v>208</v>
      </c>
      <c r="D387" t="s">
        <v>156</v>
      </c>
      <c r="E387"/>
      <c r="F387"/>
    </row>
    <row r="388" spans="1:6">
      <c r="A388" s="3" t="s">
        <v>421</v>
      </c>
      <c r="B388" s="4">
        <v>12.2</v>
      </c>
      <c r="C388" t="s">
        <v>208</v>
      </c>
      <c r="D388" t="s">
        <v>156</v>
      </c>
      <c r="E388"/>
      <c r="F388"/>
    </row>
    <row r="389" spans="1:6">
      <c r="A389" s="3" t="s">
        <v>422</v>
      </c>
      <c r="B389" s="4">
        <v>14.7</v>
      </c>
      <c r="C389" t="s">
        <v>208</v>
      </c>
      <c r="D389" t="s">
        <v>156</v>
      </c>
      <c r="E389"/>
      <c r="F389"/>
    </row>
    <row r="390" spans="1:6">
      <c r="A390" s="3" t="s">
        <v>423</v>
      </c>
      <c r="B390" s="4">
        <v>16.600000000000001</v>
      </c>
      <c r="C390" t="s">
        <v>208</v>
      </c>
      <c r="D390" t="s">
        <v>156</v>
      </c>
      <c r="E390"/>
      <c r="F390"/>
    </row>
    <row r="391" spans="1:6">
      <c r="A391" s="3" t="s">
        <v>424</v>
      </c>
      <c r="B391" s="4">
        <v>18.3</v>
      </c>
      <c r="C391" t="s">
        <v>208</v>
      </c>
      <c r="D391" t="s">
        <v>156</v>
      </c>
      <c r="E391"/>
      <c r="F391"/>
    </row>
    <row r="392" spans="1:6">
      <c r="A392" s="3" t="s">
        <v>425</v>
      </c>
      <c r="B392" s="4">
        <v>10.4</v>
      </c>
      <c r="C392" t="s">
        <v>208</v>
      </c>
      <c r="D392" t="s">
        <v>156</v>
      </c>
      <c r="E392" t="s">
        <v>406</v>
      </c>
      <c r="F392"/>
    </row>
    <row r="393" spans="1:6">
      <c r="A393" s="3" t="s">
        <v>426</v>
      </c>
      <c r="B393" s="4">
        <v>13.8</v>
      </c>
      <c r="C393" t="s">
        <v>208</v>
      </c>
      <c r="D393" t="s">
        <v>156</v>
      </c>
      <c r="E393" t="s">
        <v>406</v>
      </c>
      <c r="F393"/>
    </row>
    <row r="394" spans="1:6">
      <c r="A394" s="3" t="s">
        <v>427</v>
      </c>
      <c r="B394" s="4">
        <v>17.100000000000001</v>
      </c>
      <c r="C394" t="s">
        <v>208</v>
      </c>
      <c r="D394" t="s">
        <v>156</v>
      </c>
      <c r="E394" t="s">
        <v>406</v>
      </c>
      <c r="F394"/>
    </row>
    <row r="395" spans="1:6">
      <c r="A395" s="3" t="s">
        <v>442</v>
      </c>
      <c r="B395" s="4">
        <v>18.8</v>
      </c>
      <c r="C395" t="s">
        <v>208</v>
      </c>
      <c r="D395" t="s">
        <v>156</v>
      </c>
      <c r="E395" t="s">
        <v>406</v>
      </c>
      <c r="F395"/>
    </row>
    <row r="396" spans="1:6">
      <c r="A396" s="3" t="s">
        <v>428</v>
      </c>
      <c r="B396" s="4">
        <v>9.8000000000000007</v>
      </c>
      <c r="C396" t="s">
        <v>208</v>
      </c>
      <c r="D396" t="s">
        <v>156</v>
      </c>
      <c r="E396" t="s">
        <v>406</v>
      </c>
      <c r="F396"/>
    </row>
    <row r="397" spans="1:6">
      <c r="A397" s="3" t="s">
        <v>429</v>
      </c>
      <c r="B397" s="4">
        <v>13</v>
      </c>
      <c r="C397" t="s">
        <v>208</v>
      </c>
      <c r="D397" t="s">
        <v>156</v>
      </c>
      <c r="E397" t="s">
        <v>406</v>
      </c>
      <c r="F397"/>
    </row>
    <row r="398" spans="1:6">
      <c r="A398" s="3" t="s">
        <v>430</v>
      </c>
      <c r="B398" s="4">
        <v>16.899999999999999</v>
      </c>
      <c r="C398" t="s">
        <v>208</v>
      </c>
      <c r="D398" t="s">
        <v>156</v>
      </c>
      <c r="E398" t="s">
        <v>406</v>
      </c>
      <c r="F398"/>
    </row>
    <row r="399" spans="1:6">
      <c r="A399" s="3" t="s">
        <v>431</v>
      </c>
      <c r="B399" s="4">
        <v>19.100000000000001</v>
      </c>
      <c r="C399" t="s">
        <v>208</v>
      </c>
      <c r="D399" t="s">
        <v>156</v>
      </c>
      <c r="E399" t="s">
        <v>406</v>
      </c>
      <c r="F399"/>
    </row>
    <row r="400" spans="1:6">
      <c r="A400" s="3" t="s">
        <v>432</v>
      </c>
      <c r="B400" s="4">
        <v>10</v>
      </c>
      <c r="C400" t="s">
        <v>208</v>
      </c>
      <c r="D400" t="s">
        <v>156</v>
      </c>
      <c r="E400" t="s">
        <v>406</v>
      </c>
      <c r="F400"/>
    </row>
    <row r="401" spans="1:6">
      <c r="A401" s="3" t="s">
        <v>433</v>
      </c>
      <c r="B401" s="4">
        <v>13.4</v>
      </c>
      <c r="C401" t="s">
        <v>208</v>
      </c>
      <c r="D401" t="s">
        <v>156</v>
      </c>
      <c r="E401" t="s">
        <v>406</v>
      </c>
      <c r="F401"/>
    </row>
    <row r="402" spans="1:6">
      <c r="A402" s="3" t="s">
        <v>434</v>
      </c>
      <c r="B402" s="4">
        <v>16.7</v>
      </c>
      <c r="C402" t="s">
        <v>208</v>
      </c>
      <c r="D402" t="s">
        <v>156</v>
      </c>
      <c r="E402" t="s">
        <v>406</v>
      </c>
      <c r="F402"/>
    </row>
    <row r="403" spans="1:6">
      <c r="A403" s="3" t="s">
        <v>435</v>
      </c>
      <c r="B403" s="4">
        <v>18.899999999999999</v>
      </c>
      <c r="C403" t="s">
        <v>208</v>
      </c>
      <c r="D403" t="s">
        <v>156</v>
      </c>
      <c r="E403" t="s">
        <v>406</v>
      </c>
      <c r="F403"/>
    </row>
    <row r="404" spans="1:6">
      <c r="A404" s="3" t="s">
        <v>436</v>
      </c>
      <c r="B404" s="4">
        <v>19.8</v>
      </c>
      <c r="C404" t="s">
        <v>208</v>
      </c>
      <c r="D404" t="s">
        <v>156</v>
      </c>
      <c r="E404" t="s">
        <v>406</v>
      </c>
      <c r="F404"/>
    </row>
    <row r="405" spans="1:6">
      <c r="A405" s="3" t="s">
        <v>437</v>
      </c>
      <c r="B405" s="4">
        <v>9.8000000000000007</v>
      </c>
      <c r="C405" t="s">
        <v>208</v>
      </c>
      <c r="D405" t="s">
        <v>156</v>
      </c>
      <c r="E405" t="s">
        <v>406</v>
      </c>
      <c r="F405"/>
    </row>
    <row r="406" spans="1:6">
      <c r="A406" s="3" t="s">
        <v>438</v>
      </c>
      <c r="B406" s="4">
        <v>13.6</v>
      </c>
      <c r="C406" t="s">
        <v>208</v>
      </c>
      <c r="D406" t="s">
        <v>156</v>
      </c>
      <c r="E406" t="s">
        <v>406</v>
      </c>
      <c r="F406"/>
    </row>
    <row r="407" spans="1:6">
      <c r="A407" s="3" t="s">
        <v>439</v>
      </c>
      <c r="B407" s="4">
        <v>16.100000000000001</v>
      </c>
      <c r="C407" t="s">
        <v>208</v>
      </c>
      <c r="D407" t="s">
        <v>156</v>
      </c>
      <c r="E407" t="s">
        <v>406</v>
      </c>
      <c r="F407"/>
    </row>
    <row r="408" spans="1:6">
      <c r="A408" s="3" t="s">
        <v>440</v>
      </c>
      <c r="B408" s="4">
        <v>16.600000000000001</v>
      </c>
      <c r="C408" t="s">
        <v>208</v>
      </c>
      <c r="D408" t="s">
        <v>156</v>
      </c>
      <c r="E408" t="s">
        <v>406</v>
      </c>
      <c r="F408"/>
    </row>
    <row r="409" spans="1:6">
      <c r="A409" s="3" t="s">
        <v>441</v>
      </c>
      <c r="B409" s="4">
        <v>19.600000000000001</v>
      </c>
      <c r="C409" t="s">
        <v>208</v>
      </c>
      <c r="D409" t="s">
        <v>156</v>
      </c>
      <c r="E409" t="s">
        <v>406</v>
      </c>
      <c r="F409"/>
    </row>
    <row r="410" spans="1:6">
      <c r="A410" s="3" t="s">
        <v>443</v>
      </c>
      <c r="B410" s="4">
        <v>11</v>
      </c>
      <c r="C410" t="s">
        <v>208</v>
      </c>
      <c r="D410" t="s">
        <v>156</v>
      </c>
      <c r="E410"/>
      <c r="F410"/>
    </row>
    <row r="411" spans="1:6">
      <c r="A411" s="3" t="s">
        <v>444</v>
      </c>
      <c r="B411" s="4">
        <v>13</v>
      </c>
      <c r="C411" t="s">
        <v>208</v>
      </c>
      <c r="D411" t="s">
        <v>156</v>
      </c>
      <c r="E411"/>
      <c r="F411"/>
    </row>
    <row r="412" spans="1:6">
      <c r="A412" s="3" t="s">
        <v>445</v>
      </c>
      <c r="B412" s="4">
        <v>18</v>
      </c>
      <c r="C412" t="s">
        <v>208</v>
      </c>
      <c r="D412" t="s">
        <v>156</v>
      </c>
      <c r="E412"/>
      <c r="F412"/>
    </row>
    <row r="413" spans="1:6">
      <c r="A413" s="3" t="s">
        <v>461</v>
      </c>
      <c r="B413" s="4">
        <v>20</v>
      </c>
      <c r="C413" t="s">
        <v>208</v>
      </c>
      <c r="D413" t="s">
        <v>156</v>
      </c>
      <c r="E413"/>
      <c r="F413"/>
    </row>
    <row r="414" spans="1:6">
      <c r="A414" s="3" t="s">
        <v>446</v>
      </c>
      <c r="B414" s="4">
        <v>10</v>
      </c>
      <c r="C414" t="s">
        <v>208</v>
      </c>
      <c r="D414" t="s">
        <v>156</v>
      </c>
      <c r="E414"/>
      <c r="F414"/>
    </row>
    <row r="415" spans="1:6">
      <c r="A415" s="3" t="s">
        <v>447</v>
      </c>
      <c r="B415" s="4">
        <v>14</v>
      </c>
      <c r="C415" t="s">
        <v>208</v>
      </c>
      <c r="D415" t="s">
        <v>156</v>
      </c>
      <c r="E415"/>
      <c r="F415"/>
    </row>
    <row r="416" spans="1:6">
      <c r="A416" s="3" t="s">
        <v>448</v>
      </c>
      <c r="B416" s="4">
        <v>18</v>
      </c>
      <c r="C416" t="s">
        <v>208</v>
      </c>
      <c r="D416" t="s">
        <v>156</v>
      </c>
      <c r="E416"/>
      <c r="F416"/>
    </row>
    <row r="417" spans="1:6">
      <c r="A417" s="3" t="s">
        <v>449</v>
      </c>
      <c r="B417" s="4">
        <v>20</v>
      </c>
      <c r="C417" t="s">
        <v>208</v>
      </c>
      <c r="D417" t="s">
        <v>156</v>
      </c>
      <c r="E417"/>
      <c r="F417"/>
    </row>
    <row r="418" spans="1:6">
      <c r="A418" s="3" t="s">
        <v>450</v>
      </c>
      <c r="B418" s="4">
        <v>21</v>
      </c>
      <c r="C418" t="s">
        <v>208</v>
      </c>
      <c r="D418" t="s">
        <v>156</v>
      </c>
      <c r="E418"/>
      <c r="F418"/>
    </row>
    <row r="419" spans="1:6">
      <c r="A419" s="3" t="s">
        <v>451</v>
      </c>
      <c r="B419" s="4">
        <v>10</v>
      </c>
      <c r="C419" t="s">
        <v>208</v>
      </c>
      <c r="D419" t="s">
        <v>156</v>
      </c>
      <c r="E419"/>
      <c r="F419"/>
    </row>
    <row r="420" spans="1:6">
      <c r="A420" s="3" t="s">
        <v>452</v>
      </c>
      <c r="B420" s="4">
        <v>13</v>
      </c>
      <c r="C420" t="s">
        <v>208</v>
      </c>
      <c r="D420" t="s">
        <v>156</v>
      </c>
      <c r="E420"/>
      <c r="F420"/>
    </row>
    <row r="421" spans="1:6">
      <c r="A421" s="3" t="s">
        <v>453</v>
      </c>
      <c r="B421" s="4">
        <v>17</v>
      </c>
      <c r="C421" t="s">
        <v>208</v>
      </c>
      <c r="D421" t="s">
        <v>156</v>
      </c>
      <c r="E421"/>
      <c r="F421"/>
    </row>
    <row r="422" spans="1:6">
      <c r="A422" s="3" t="s">
        <v>454</v>
      </c>
      <c r="B422" s="4">
        <v>19</v>
      </c>
      <c r="C422" t="s">
        <v>208</v>
      </c>
      <c r="D422" t="s">
        <v>156</v>
      </c>
      <c r="E422"/>
      <c r="F422"/>
    </row>
    <row r="423" spans="1:6">
      <c r="A423" s="3" t="s">
        <v>455</v>
      </c>
      <c r="B423" s="4">
        <v>20</v>
      </c>
      <c r="C423" t="s">
        <v>208</v>
      </c>
      <c r="D423" t="s">
        <v>156</v>
      </c>
      <c r="E423"/>
      <c r="F423"/>
    </row>
    <row r="424" spans="1:6">
      <c r="A424" s="3" t="s">
        <v>456</v>
      </c>
      <c r="B424" s="4">
        <v>10</v>
      </c>
      <c r="C424" t="s">
        <v>208</v>
      </c>
      <c r="D424" t="s">
        <v>156</v>
      </c>
      <c r="E424"/>
      <c r="F424"/>
    </row>
    <row r="425" spans="1:6">
      <c r="A425" s="3" t="s">
        <v>457</v>
      </c>
      <c r="B425" s="4">
        <v>12.2</v>
      </c>
      <c r="C425" t="s">
        <v>208</v>
      </c>
      <c r="D425" t="s">
        <v>156</v>
      </c>
      <c r="E425"/>
      <c r="F425"/>
    </row>
    <row r="426" spans="1:6">
      <c r="A426" s="3" t="s">
        <v>458</v>
      </c>
      <c r="B426" s="4">
        <v>17</v>
      </c>
      <c r="C426" t="s">
        <v>208</v>
      </c>
      <c r="D426" t="s">
        <v>156</v>
      </c>
      <c r="E426"/>
      <c r="F426"/>
    </row>
    <row r="427" spans="1:6">
      <c r="A427" s="3" t="s">
        <v>459</v>
      </c>
      <c r="B427" s="4">
        <v>19</v>
      </c>
      <c r="C427" t="s">
        <v>208</v>
      </c>
      <c r="D427" t="s">
        <v>156</v>
      </c>
      <c r="E427"/>
      <c r="F427"/>
    </row>
    <row r="428" spans="1:6">
      <c r="A428" s="3" t="s">
        <v>460</v>
      </c>
      <c r="B428" s="4">
        <v>20</v>
      </c>
      <c r="C428" t="s">
        <v>208</v>
      </c>
      <c r="D428" t="s">
        <v>156</v>
      </c>
      <c r="E428"/>
      <c r="F428"/>
    </row>
    <row r="429" spans="1:6">
      <c r="A429" s="3"/>
      <c r="B429" s="4"/>
      <c r="E429"/>
      <c r="F429"/>
    </row>
    <row r="430" spans="1:6">
      <c r="A430" s="3"/>
      <c r="B430" s="4"/>
      <c r="E430"/>
      <c r="F430"/>
    </row>
    <row r="431" spans="1:6">
      <c r="A431" s="3"/>
      <c r="B431" s="4"/>
      <c r="E431"/>
      <c r="F431"/>
    </row>
    <row r="432" spans="1:6">
      <c r="A432" s="3"/>
      <c r="B432" s="4"/>
      <c r="E432"/>
      <c r="F432"/>
    </row>
    <row r="433" spans="1:6">
      <c r="A433" s="3" t="s">
        <v>209</v>
      </c>
      <c r="B433" s="4">
        <v>18.3</v>
      </c>
      <c r="C433" t="s">
        <v>146</v>
      </c>
      <c r="D433" t="s">
        <v>147</v>
      </c>
      <c r="E433" t="s">
        <v>210</v>
      </c>
      <c r="F433"/>
    </row>
    <row r="434" spans="1:6">
      <c r="A434" t="s">
        <v>145</v>
      </c>
      <c r="B434" s="4">
        <v>12.2</v>
      </c>
      <c r="C434" t="s">
        <v>146</v>
      </c>
      <c r="D434" t="s">
        <v>147</v>
      </c>
      <c r="E434" t="s">
        <v>148</v>
      </c>
      <c r="F434"/>
    </row>
    <row r="435" spans="1:6">
      <c r="A435" t="s">
        <v>149</v>
      </c>
      <c r="B435" s="4" t="s">
        <v>150</v>
      </c>
      <c r="C435" t="s">
        <v>146</v>
      </c>
      <c r="D435" t="s">
        <v>147</v>
      </c>
      <c r="E435" t="s">
        <v>151</v>
      </c>
      <c r="F435"/>
    </row>
    <row r="436" spans="1:6">
      <c r="A436" t="s">
        <v>213</v>
      </c>
      <c r="B436" s="4">
        <v>15.2</v>
      </c>
      <c r="C436" t="s">
        <v>146</v>
      </c>
      <c r="D436" t="s">
        <v>147</v>
      </c>
      <c r="E436" t="s">
        <v>212</v>
      </c>
      <c r="F436"/>
    </row>
    <row r="437" spans="1:6">
      <c r="A437" t="s">
        <v>215</v>
      </c>
      <c r="B437" s="4">
        <v>16.7</v>
      </c>
      <c r="C437" t="s">
        <v>146</v>
      </c>
      <c r="D437" t="s">
        <v>147</v>
      </c>
      <c r="E437" t="s">
        <v>212</v>
      </c>
      <c r="F437"/>
    </row>
    <row r="438" spans="1:6">
      <c r="A438" t="s">
        <v>152</v>
      </c>
      <c r="B438" s="4">
        <v>25.1</v>
      </c>
      <c r="C438" t="s">
        <v>146</v>
      </c>
      <c r="D438" t="s">
        <v>147</v>
      </c>
      <c r="E438" t="s">
        <v>212</v>
      </c>
      <c r="F438"/>
    </row>
    <row r="439" spans="1:6">
      <c r="A439" t="s">
        <v>153</v>
      </c>
      <c r="B439" s="4">
        <v>10</v>
      </c>
      <c r="C439" t="s">
        <v>146</v>
      </c>
      <c r="D439" t="s">
        <v>147</v>
      </c>
      <c r="E439" t="s">
        <v>212</v>
      </c>
      <c r="F439"/>
    </row>
    <row r="440" spans="1:6">
      <c r="A440" t="s">
        <v>154</v>
      </c>
      <c r="B440" s="4">
        <v>16.600000000000001</v>
      </c>
      <c r="C440" t="s">
        <v>146</v>
      </c>
      <c r="D440" t="s">
        <v>147</v>
      </c>
      <c r="E440" t="s">
        <v>212</v>
      </c>
      <c r="F440"/>
    </row>
    <row r="441" spans="1:6">
      <c r="A441" t="s">
        <v>155</v>
      </c>
      <c r="B441" s="4">
        <v>21.7</v>
      </c>
      <c r="C441" t="s">
        <v>146</v>
      </c>
      <c r="D441" t="s">
        <v>147</v>
      </c>
      <c r="E441" t="s">
        <v>212</v>
      </c>
      <c r="F441"/>
    </row>
    <row r="442" spans="1:6">
      <c r="A442" t="s">
        <v>218</v>
      </c>
      <c r="B442" s="4">
        <v>10.9</v>
      </c>
      <c r="C442" t="s">
        <v>146</v>
      </c>
      <c r="D442" t="s">
        <v>156</v>
      </c>
      <c r="E442" t="s">
        <v>226</v>
      </c>
      <c r="F442"/>
    </row>
    <row r="443" spans="1:6">
      <c r="A443" t="s">
        <v>219</v>
      </c>
      <c r="B443" s="4">
        <v>10.6</v>
      </c>
      <c r="C443" t="s">
        <v>146</v>
      </c>
      <c r="D443" t="s">
        <v>156</v>
      </c>
      <c r="E443" t="s">
        <v>227</v>
      </c>
      <c r="F443"/>
    </row>
    <row r="444" spans="1:6">
      <c r="A444" t="s">
        <v>220</v>
      </c>
      <c r="B444" s="4">
        <v>10.9</v>
      </c>
      <c r="C444" t="s">
        <v>146</v>
      </c>
      <c r="D444" t="s">
        <v>156</v>
      </c>
      <c r="E444" t="s">
        <v>228</v>
      </c>
      <c r="F444"/>
    </row>
    <row r="445" spans="1:6">
      <c r="A445" t="s">
        <v>221</v>
      </c>
      <c r="B445" s="4">
        <v>9.9</v>
      </c>
      <c r="C445" t="s">
        <v>146</v>
      </c>
      <c r="D445" t="s">
        <v>156</v>
      </c>
      <c r="E445" t="s">
        <v>229</v>
      </c>
      <c r="F445"/>
    </row>
    <row r="446" spans="1:6">
      <c r="A446" t="s">
        <v>222</v>
      </c>
      <c r="B446" s="4">
        <v>16.5</v>
      </c>
      <c r="C446" t="s">
        <v>146</v>
      </c>
      <c r="D446" t="s">
        <v>156</v>
      </c>
      <c r="E446" t="s">
        <v>226</v>
      </c>
      <c r="F446"/>
    </row>
    <row r="447" spans="1:6">
      <c r="A447" t="s">
        <v>223</v>
      </c>
      <c r="B447" s="4">
        <v>15</v>
      </c>
      <c r="C447" t="s">
        <v>146</v>
      </c>
      <c r="D447" t="s">
        <v>156</v>
      </c>
      <c r="E447" t="s">
        <v>227</v>
      </c>
      <c r="F447"/>
    </row>
    <row r="448" spans="1:6">
      <c r="A448" t="s">
        <v>224</v>
      </c>
      <c r="B448" s="4">
        <v>16.899999999999999</v>
      </c>
      <c r="C448" t="s">
        <v>146</v>
      </c>
      <c r="D448" t="s">
        <v>156</v>
      </c>
      <c r="E448" t="s">
        <v>228</v>
      </c>
      <c r="F448"/>
    </row>
    <row r="449" spans="1:6">
      <c r="A449" t="s">
        <v>225</v>
      </c>
      <c r="B449" s="4">
        <v>15.9</v>
      </c>
      <c r="C449" t="s">
        <v>146</v>
      </c>
      <c r="D449" t="s">
        <v>156</v>
      </c>
      <c r="E449" t="s">
        <v>229</v>
      </c>
      <c r="F449"/>
    </row>
    <row r="450" spans="1:6">
      <c r="A450" t="s">
        <v>230</v>
      </c>
      <c r="B450" s="4">
        <v>25.1</v>
      </c>
      <c r="C450" t="s">
        <v>146</v>
      </c>
      <c r="D450" t="s">
        <v>156</v>
      </c>
      <c r="E450" t="s">
        <v>226</v>
      </c>
      <c r="F450"/>
    </row>
    <row r="451" spans="1:6">
      <c r="A451" t="s">
        <v>504</v>
      </c>
      <c r="B451" s="4">
        <v>21.5</v>
      </c>
      <c r="C451" t="s">
        <v>146</v>
      </c>
      <c r="D451" t="s">
        <v>156</v>
      </c>
      <c r="E451" t="s">
        <v>227</v>
      </c>
      <c r="F451"/>
    </row>
    <row r="452" spans="1:6">
      <c r="A452" t="s">
        <v>505</v>
      </c>
      <c r="B452" s="4">
        <v>26.3</v>
      </c>
      <c r="C452" t="s">
        <v>146</v>
      </c>
      <c r="D452" t="s">
        <v>156</v>
      </c>
      <c r="E452" t="s">
        <v>228</v>
      </c>
      <c r="F452"/>
    </row>
    <row r="453" spans="1:6">
      <c r="A453" t="s">
        <v>506</v>
      </c>
      <c r="B453" s="4">
        <v>23.9</v>
      </c>
      <c r="C453" t="s">
        <v>146</v>
      </c>
      <c r="D453" t="s">
        <v>156</v>
      </c>
      <c r="E453" t="s">
        <v>229</v>
      </c>
      <c r="F453"/>
    </row>
    <row r="454" spans="1:6">
      <c r="A454" t="s">
        <v>231</v>
      </c>
      <c r="B454" s="4">
        <v>28.7</v>
      </c>
      <c r="C454" t="s">
        <v>146</v>
      </c>
      <c r="D454" t="s">
        <v>156</v>
      </c>
      <c r="E454" t="s">
        <v>226</v>
      </c>
      <c r="F454"/>
    </row>
    <row r="455" spans="1:6">
      <c r="A455" t="s">
        <v>507</v>
      </c>
      <c r="B455" s="4">
        <v>23.7</v>
      </c>
      <c r="C455" t="s">
        <v>146</v>
      </c>
      <c r="D455" t="s">
        <v>156</v>
      </c>
      <c r="E455" t="s">
        <v>227</v>
      </c>
      <c r="F455"/>
    </row>
    <row r="456" spans="1:6">
      <c r="A456" t="s">
        <v>508</v>
      </c>
      <c r="B456" s="4">
        <v>29.2</v>
      </c>
      <c r="C456" t="s">
        <v>146</v>
      </c>
      <c r="D456" t="s">
        <v>156</v>
      </c>
      <c r="E456" t="s">
        <v>228</v>
      </c>
      <c r="F456"/>
    </row>
    <row r="457" spans="1:6">
      <c r="A457" t="s">
        <v>509</v>
      </c>
      <c r="B457" s="4">
        <v>26.5</v>
      </c>
      <c r="C457" t="s">
        <v>146</v>
      </c>
      <c r="D457" t="s">
        <v>156</v>
      </c>
      <c r="E457" t="s">
        <v>229</v>
      </c>
      <c r="F457"/>
    </row>
    <row r="458" spans="1:6">
      <c r="A458" t="s">
        <v>232</v>
      </c>
      <c r="B458" s="4">
        <v>12</v>
      </c>
      <c r="C458" t="s">
        <v>146</v>
      </c>
      <c r="D458" t="s">
        <v>156</v>
      </c>
      <c r="E458" t="s">
        <v>226</v>
      </c>
      <c r="F458"/>
    </row>
    <row r="459" spans="1:6">
      <c r="A459" t="s">
        <v>510</v>
      </c>
      <c r="B459" s="4">
        <v>11.7</v>
      </c>
      <c r="C459" t="s">
        <v>146</v>
      </c>
      <c r="D459" t="s">
        <v>156</v>
      </c>
      <c r="E459" t="s">
        <v>227</v>
      </c>
      <c r="F459"/>
    </row>
    <row r="460" spans="1:6">
      <c r="A460" t="s">
        <v>511</v>
      </c>
      <c r="B460" s="4">
        <v>12</v>
      </c>
      <c r="C460" t="s">
        <v>146</v>
      </c>
      <c r="D460" t="s">
        <v>156</v>
      </c>
      <c r="E460" t="s">
        <v>228</v>
      </c>
      <c r="F460"/>
    </row>
    <row r="461" spans="1:6">
      <c r="A461" t="s">
        <v>512</v>
      </c>
      <c r="B461" s="4">
        <v>11.2</v>
      </c>
      <c r="C461" t="s">
        <v>146</v>
      </c>
      <c r="D461" t="s">
        <v>156</v>
      </c>
      <c r="E461" t="s">
        <v>229</v>
      </c>
      <c r="F461"/>
    </row>
    <row r="462" spans="1:6">
      <c r="A462" t="s">
        <v>233</v>
      </c>
      <c r="B462" s="4">
        <v>19.7</v>
      </c>
      <c r="C462" t="s">
        <v>146</v>
      </c>
      <c r="D462" t="s">
        <v>156</v>
      </c>
      <c r="E462" t="s">
        <v>226</v>
      </c>
      <c r="F462"/>
    </row>
    <row r="463" spans="1:6">
      <c r="A463" t="s">
        <v>513</v>
      </c>
      <c r="B463" s="4">
        <v>17.2</v>
      </c>
      <c r="C463" t="s">
        <v>146</v>
      </c>
      <c r="D463" t="s">
        <v>156</v>
      </c>
      <c r="E463" t="s">
        <v>227</v>
      </c>
      <c r="F463"/>
    </row>
    <row r="464" spans="1:6">
      <c r="A464" t="s">
        <v>514</v>
      </c>
      <c r="B464" s="4">
        <v>20.5</v>
      </c>
      <c r="C464" t="s">
        <v>146</v>
      </c>
      <c r="D464" t="s">
        <v>156</v>
      </c>
      <c r="E464" t="s">
        <v>228</v>
      </c>
      <c r="F464"/>
    </row>
    <row r="465" spans="1:6">
      <c r="A465" t="s">
        <v>515</v>
      </c>
      <c r="B465" s="4">
        <v>19</v>
      </c>
      <c r="C465" t="s">
        <v>146</v>
      </c>
      <c r="D465" t="s">
        <v>156</v>
      </c>
      <c r="E465" t="s">
        <v>229</v>
      </c>
      <c r="F465"/>
    </row>
    <row r="466" spans="1:6">
      <c r="A466" t="s">
        <v>234</v>
      </c>
      <c r="B466" s="4">
        <v>23.9</v>
      </c>
      <c r="C466" t="s">
        <v>146</v>
      </c>
      <c r="D466" t="s">
        <v>156</v>
      </c>
      <c r="E466" t="s">
        <v>226</v>
      </c>
      <c r="F466"/>
    </row>
    <row r="467" spans="1:6">
      <c r="A467" t="s">
        <v>516</v>
      </c>
      <c r="B467" s="4">
        <v>20.9</v>
      </c>
      <c r="C467" t="s">
        <v>146</v>
      </c>
      <c r="D467" t="s">
        <v>156</v>
      </c>
      <c r="E467" t="s">
        <v>227</v>
      </c>
      <c r="F467"/>
    </row>
    <row r="468" spans="1:6">
      <c r="A468" t="s">
        <v>517</v>
      </c>
      <c r="B468" s="4">
        <v>26.9</v>
      </c>
      <c r="C468" t="s">
        <v>146</v>
      </c>
      <c r="D468" t="s">
        <v>156</v>
      </c>
      <c r="E468" t="s">
        <v>228</v>
      </c>
      <c r="F468"/>
    </row>
    <row r="469" spans="1:6">
      <c r="A469" t="s">
        <v>518</v>
      </c>
      <c r="B469" s="4">
        <v>23.1</v>
      </c>
      <c r="C469" t="s">
        <v>146</v>
      </c>
      <c r="D469" t="s">
        <v>156</v>
      </c>
      <c r="E469" t="s">
        <v>229</v>
      </c>
      <c r="F469"/>
    </row>
    <row r="470" spans="1:6">
      <c r="A470" t="s">
        <v>235</v>
      </c>
      <c r="B470" s="4">
        <v>31</v>
      </c>
      <c r="C470" t="s">
        <v>146</v>
      </c>
      <c r="D470" t="s">
        <v>156</v>
      </c>
      <c r="E470" t="s">
        <v>226</v>
      </c>
      <c r="F470"/>
    </row>
    <row r="471" spans="1:6">
      <c r="A471" t="s">
        <v>519</v>
      </c>
      <c r="B471" s="4">
        <v>26</v>
      </c>
      <c r="C471" t="s">
        <v>146</v>
      </c>
      <c r="D471" t="s">
        <v>156</v>
      </c>
      <c r="E471" t="s">
        <v>227</v>
      </c>
      <c r="F471"/>
    </row>
    <row r="472" spans="1:6">
      <c r="A472" t="s">
        <v>520</v>
      </c>
      <c r="B472" s="4">
        <v>31.5</v>
      </c>
      <c r="C472" t="s">
        <v>146</v>
      </c>
      <c r="D472" t="s">
        <v>156</v>
      </c>
      <c r="E472" t="s">
        <v>228</v>
      </c>
      <c r="F472"/>
    </row>
    <row r="473" spans="1:6">
      <c r="A473" t="s">
        <v>521</v>
      </c>
      <c r="B473" s="4">
        <v>28.8</v>
      </c>
      <c r="C473" t="s">
        <v>146</v>
      </c>
      <c r="D473" t="s">
        <v>156</v>
      </c>
      <c r="E473" t="s">
        <v>229</v>
      </c>
      <c r="F473"/>
    </row>
    <row r="474" spans="1:6">
      <c r="A474" t="s">
        <v>236</v>
      </c>
      <c r="B474" s="4">
        <v>10.9</v>
      </c>
      <c r="C474" t="s">
        <v>146</v>
      </c>
      <c r="D474" t="s">
        <v>156</v>
      </c>
      <c r="E474" t="s">
        <v>226</v>
      </c>
      <c r="F474"/>
    </row>
    <row r="475" spans="1:6">
      <c r="A475" t="s">
        <v>522</v>
      </c>
      <c r="B475" s="4">
        <v>10.6</v>
      </c>
      <c r="C475" t="s">
        <v>146</v>
      </c>
      <c r="D475" t="s">
        <v>156</v>
      </c>
      <c r="E475" t="s">
        <v>227</v>
      </c>
      <c r="F475"/>
    </row>
    <row r="476" spans="1:6">
      <c r="A476" t="s">
        <v>523</v>
      </c>
      <c r="B476" s="4">
        <v>10.9</v>
      </c>
      <c r="C476" t="s">
        <v>146</v>
      </c>
      <c r="D476" t="s">
        <v>156</v>
      </c>
      <c r="E476" t="s">
        <v>228</v>
      </c>
      <c r="F476"/>
    </row>
    <row r="477" spans="1:6">
      <c r="A477" t="s">
        <v>524</v>
      </c>
      <c r="B477" s="4">
        <v>10</v>
      </c>
      <c r="C477" t="s">
        <v>146</v>
      </c>
      <c r="D477" t="s">
        <v>156</v>
      </c>
      <c r="E477" t="s">
        <v>229</v>
      </c>
      <c r="F477"/>
    </row>
    <row r="478" spans="1:6">
      <c r="A478" t="s">
        <v>237</v>
      </c>
      <c r="B478" s="4">
        <v>16.899999999999999</v>
      </c>
      <c r="C478" t="s">
        <v>146</v>
      </c>
      <c r="D478" t="s">
        <v>156</v>
      </c>
      <c r="E478" t="s">
        <v>226</v>
      </c>
      <c r="F478"/>
    </row>
    <row r="479" spans="1:6">
      <c r="A479" t="s">
        <v>525</v>
      </c>
      <c r="B479" s="4">
        <v>15.4</v>
      </c>
      <c r="C479" t="s">
        <v>146</v>
      </c>
      <c r="D479" t="s">
        <v>156</v>
      </c>
      <c r="E479" t="s">
        <v>227</v>
      </c>
      <c r="F479"/>
    </row>
    <row r="480" spans="1:6">
      <c r="A480" t="s">
        <v>526</v>
      </c>
      <c r="B480" s="4">
        <v>17.3</v>
      </c>
      <c r="C480" t="s">
        <v>146</v>
      </c>
      <c r="D480" t="s">
        <v>156</v>
      </c>
      <c r="E480" t="s">
        <v>228</v>
      </c>
      <c r="F480"/>
    </row>
    <row r="481" spans="1:6">
      <c r="A481" t="s">
        <v>527</v>
      </c>
      <c r="B481" s="4">
        <v>16.3</v>
      </c>
      <c r="C481" t="s">
        <v>146</v>
      </c>
      <c r="D481" t="s">
        <v>156</v>
      </c>
      <c r="E481" t="s">
        <v>229</v>
      </c>
      <c r="F481"/>
    </row>
    <row r="482" spans="1:6">
      <c r="A482" t="s">
        <v>238</v>
      </c>
      <c r="B482" s="4">
        <v>23.9</v>
      </c>
      <c r="C482" t="s">
        <v>146</v>
      </c>
      <c r="D482" t="s">
        <v>156</v>
      </c>
      <c r="E482" t="s">
        <v>226</v>
      </c>
      <c r="F482"/>
    </row>
    <row r="483" spans="1:6">
      <c r="A483" t="s">
        <v>528</v>
      </c>
      <c r="B483" s="4">
        <v>20.9</v>
      </c>
      <c r="C483" t="s">
        <v>146</v>
      </c>
      <c r="D483" t="s">
        <v>156</v>
      </c>
      <c r="E483" t="s">
        <v>227</v>
      </c>
      <c r="F483"/>
    </row>
    <row r="484" spans="1:6">
      <c r="A484" t="s">
        <v>529</v>
      </c>
      <c r="B484" s="4">
        <v>26.9</v>
      </c>
      <c r="C484" t="s">
        <v>146</v>
      </c>
      <c r="D484" t="s">
        <v>156</v>
      </c>
      <c r="E484" t="s">
        <v>228</v>
      </c>
      <c r="F484"/>
    </row>
    <row r="485" spans="1:6">
      <c r="A485" t="s">
        <v>530</v>
      </c>
      <c r="B485" s="4">
        <v>23.1</v>
      </c>
      <c r="C485" t="s">
        <v>146</v>
      </c>
      <c r="D485" t="s">
        <v>156</v>
      </c>
      <c r="E485" t="s">
        <v>229</v>
      </c>
      <c r="F485"/>
    </row>
    <row r="486" spans="1:6">
      <c r="A486" t="s">
        <v>239</v>
      </c>
      <c r="B486" s="4">
        <v>26.9</v>
      </c>
      <c r="C486" t="s">
        <v>146</v>
      </c>
      <c r="D486" t="s">
        <v>156</v>
      </c>
      <c r="E486" t="s">
        <v>226</v>
      </c>
      <c r="F486"/>
    </row>
    <row r="487" spans="1:6">
      <c r="A487" t="s">
        <v>531</v>
      </c>
      <c r="B487" s="4">
        <v>22.9</v>
      </c>
      <c r="C487" t="s">
        <v>146</v>
      </c>
      <c r="D487" t="s">
        <v>156</v>
      </c>
      <c r="E487" t="s">
        <v>227</v>
      </c>
      <c r="F487"/>
    </row>
    <row r="488" spans="1:6">
      <c r="A488" t="s">
        <v>532</v>
      </c>
      <c r="B488" s="4">
        <v>28.4</v>
      </c>
      <c r="C488" t="s">
        <v>146</v>
      </c>
      <c r="D488" t="s">
        <v>156</v>
      </c>
      <c r="E488" t="s">
        <v>228</v>
      </c>
      <c r="F488"/>
    </row>
    <row r="489" spans="1:6">
      <c r="A489" t="s">
        <v>533</v>
      </c>
      <c r="B489" s="4">
        <v>25.7</v>
      </c>
      <c r="C489" t="s">
        <v>146</v>
      </c>
      <c r="D489" t="s">
        <v>156</v>
      </c>
      <c r="E489" t="s">
        <v>229</v>
      </c>
      <c r="F489"/>
    </row>
    <row r="490" spans="1:6">
      <c r="A490" t="s">
        <v>240</v>
      </c>
      <c r="B490" s="4">
        <v>11.2</v>
      </c>
      <c r="C490" t="s">
        <v>146</v>
      </c>
      <c r="D490" t="s">
        <v>156</v>
      </c>
      <c r="E490" t="s">
        <v>226</v>
      </c>
      <c r="F490"/>
    </row>
    <row r="491" spans="1:6">
      <c r="A491" t="s">
        <v>534</v>
      </c>
      <c r="B491" s="4">
        <v>9.9</v>
      </c>
      <c r="C491" t="s">
        <v>146</v>
      </c>
      <c r="D491" t="s">
        <v>156</v>
      </c>
      <c r="E491" t="s">
        <v>227</v>
      </c>
      <c r="F491"/>
    </row>
    <row r="492" spans="1:6">
      <c r="A492" t="s">
        <v>535</v>
      </c>
      <c r="B492" s="4">
        <v>10.199999999999999</v>
      </c>
      <c r="C492" t="s">
        <v>146</v>
      </c>
      <c r="D492" t="s">
        <v>156</v>
      </c>
      <c r="E492" t="s">
        <v>228</v>
      </c>
      <c r="F492"/>
    </row>
    <row r="493" spans="1:6">
      <c r="A493" t="s">
        <v>536</v>
      </c>
      <c r="B493" s="4">
        <v>9.1999999999999993</v>
      </c>
      <c r="C493" t="s">
        <v>146</v>
      </c>
      <c r="D493" t="s">
        <v>156</v>
      </c>
      <c r="E493" t="s">
        <v>229</v>
      </c>
      <c r="F493"/>
    </row>
    <row r="494" spans="1:6">
      <c r="A494" t="s">
        <v>241</v>
      </c>
      <c r="B494" s="4">
        <v>16.7</v>
      </c>
      <c r="C494" t="s">
        <v>146</v>
      </c>
      <c r="D494" t="s">
        <v>156</v>
      </c>
      <c r="E494" t="s">
        <v>226</v>
      </c>
      <c r="F494"/>
    </row>
    <row r="495" spans="1:6">
      <c r="A495" t="s">
        <v>537</v>
      </c>
      <c r="B495" s="4">
        <v>15.2</v>
      </c>
      <c r="C495" t="s">
        <v>146</v>
      </c>
      <c r="D495" t="s">
        <v>156</v>
      </c>
      <c r="E495" t="s">
        <v>227</v>
      </c>
      <c r="F495"/>
    </row>
    <row r="496" spans="1:6">
      <c r="A496" t="s">
        <v>538</v>
      </c>
      <c r="B496" s="4">
        <v>17.3</v>
      </c>
      <c r="C496" t="s">
        <v>146</v>
      </c>
      <c r="D496" t="s">
        <v>156</v>
      </c>
      <c r="E496" t="s">
        <v>228</v>
      </c>
      <c r="F496"/>
    </row>
    <row r="497" spans="1:54">
      <c r="A497" t="s">
        <v>539</v>
      </c>
      <c r="B497" s="4">
        <v>16.100000000000001</v>
      </c>
      <c r="C497" t="s">
        <v>146</v>
      </c>
      <c r="D497" t="s">
        <v>156</v>
      </c>
      <c r="E497" t="s">
        <v>229</v>
      </c>
      <c r="F497"/>
    </row>
    <row r="498" spans="1:54">
      <c r="A498" t="s">
        <v>242</v>
      </c>
      <c r="B498" s="4">
        <v>24.4</v>
      </c>
      <c r="C498" t="s">
        <v>146</v>
      </c>
      <c r="D498" t="s">
        <v>156</v>
      </c>
      <c r="E498" t="s">
        <v>226</v>
      </c>
      <c r="F498"/>
    </row>
    <row r="499" spans="1:54">
      <c r="A499" t="s">
        <v>540</v>
      </c>
      <c r="B499" s="4">
        <v>20.8</v>
      </c>
      <c r="C499" t="s">
        <v>146</v>
      </c>
      <c r="D499" t="s">
        <v>156</v>
      </c>
      <c r="E499" t="s">
        <v>227</v>
      </c>
      <c r="F499"/>
    </row>
    <row r="500" spans="1:54">
      <c r="A500" t="s">
        <v>541</v>
      </c>
      <c r="B500" s="4">
        <v>25.6</v>
      </c>
      <c r="C500" t="s">
        <v>146</v>
      </c>
      <c r="D500" t="s">
        <v>156</v>
      </c>
      <c r="E500" t="s">
        <v>228</v>
      </c>
      <c r="F500"/>
    </row>
    <row r="501" spans="1:54">
      <c r="A501" t="s">
        <v>542</v>
      </c>
      <c r="B501" s="4">
        <v>23.1</v>
      </c>
      <c r="C501" t="s">
        <v>146</v>
      </c>
      <c r="D501" t="s">
        <v>156</v>
      </c>
      <c r="E501" t="s">
        <v>229</v>
      </c>
      <c r="F501"/>
    </row>
    <row r="502" spans="1:54">
      <c r="A502" t="s">
        <v>243</v>
      </c>
      <c r="B502" s="4">
        <v>29.8</v>
      </c>
      <c r="C502" t="s">
        <v>146</v>
      </c>
      <c r="D502" t="s">
        <v>156</v>
      </c>
      <c r="E502" t="s">
        <v>226</v>
      </c>
      <c r="F502"/>
    </row>
    <row r="503" spans="1:54">
      <c r="A503" t="s">
        <v>543</v>
      </c>
      <c r="B503" s="4">
        <v>24.8</v>
      </c>
      <c r="C503" t="s">
        <v>146</v>
      </c>
      <c r="D503" t="s">
        <v>156</v>
      </c>
      <c r="E503" t="s">
        <v>227</v>
      </c>
      <c r="F503"/>
    </row>
    <row r="504" spans="1:54">
      <c r="A504" t="s">
        <v>544</v>
      </c>
      <c r="B504" s="4">
        <v>30.3</v>
      </c>
      <c r="C504" t="s">
        <v>146</v>
      </c>
      <c r="D504" t="s">
        <v>156</v>
      </c>
      <c r="E504" t="s">
        <v>228</v>
      </c>
      <c r="F504"/>
    </row>
    <row r="505" spans="1:54">
      <c r="A505" t="s">
        <v>545</v>
      </c>
      <c r="B505" s="4">
        <v>27.6</v>
      </c>
      <c r="C505" t="s">
        <v>146</v>
      </c>
      <c r="D505" t="s">
        <v>156</v>
      </c>
      <c r="E505" t="s">
        <v>229</v>
      </c>
      <c r="F505"/>
    </row>
    <row r="506" spans="1:54">
      <c r="A506" t="s">
        <v>157</v>
      </c>
      <c r="B506" s="4">
        <v>12.7</v>
      </c>
      <c r="C506" t="s">
        <v>146</v>
      </c>
      <c r="D506" t="s">
        <v>147</v>
      </c>
      <c r="E506"/>
      <c r="F506"/>
    </row>
    <row r="507" spans="1:54">
      <c r="A507" t="s">
        <v>158</v>
      </c>
      <c r="B507" s="4">
        <v>10.3</v>
      </c>
      <c r="C507" t="s">
        <v>146</v>
      </c>
      <c r="D507" t="s">
        <v>147</v>
      </c>
      <c r="E507" t="s">
        <v>212</v>
      </c>
      <c r="F507"/>
    </row>
    <row r="508" spans="1:54" s="57" customFormat="1">
      <c r="A508" s="10" t="s">
        <v>159</v>
      </c>
      <c r="B508" s="91">
        <v>18.5</v>
      </c>
      <c r="C508" s="6" t="s">
        <v>146</v>
      </c>
      <c r="D508" s="6" t="s">
        <v>147</v>
      </c>
      <c r="E508" s="6" t="s">
        <v>212</v>
      </c>
      <c r="F508" s="6"/>
      <c r="G508" s="7"/>
      <c r="H508" s="7"/>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80"/>
      <c r="AH508" s="86"/>
      <c r="AI508" s="92"/>
      <c r="AJ508" s="5"/>
      <c r="AK508" s="80"/>
      <c r="AL508" s="86"/>
      <c r="AM508" s="92"/>
      <c r="AN508" s="93"/>
      <c r="AO508" s="93"/>
      <c r="AP508" s="93"/>
      <c r="AQ508" s="93"/>
      <c r="AR508" s="93"/>
      <c r="AS508" s="93"/>
      <c r="AT508" s="93"/>
      <c r="AU508" s="93"/>
      <c r="AV508" s="93"/>
      <c r="AW508" s="93"/>
      <c r="AX508" s="93"/>
      <c r="AY508" s="93"/>
      <c r="AZ508" s="93"/>
      <c r="BA508" s="93"/>
      <c r="BB508" s="93"/>
    </row>
    <row r="509" spans="1:54">
      <c r="A509" t="s">
        <v>160</v>
      </c>
      <c r="B509" s="4">
        <v>14.8</v>
      </c>
      <c r="C509" t="s">
        <v>146</v>
      </c>
      <c r="D509" t="s">
        <v>147</v>
      </c>
      <c r="E509" t="s">
        <v>211</v>
      </c>
      <c r="F509"/>
    </row>
    <row r="510" spans="1:54">
      <c r="A510" t="s">
        <v>161</v>
      </c>
      <c r="B510" s="94">
        <v>14.5</v>
      </c>
      <c r="C510" t="s">
        <v>146</v>
      </c>
      <c r="D510" t="s">
        <v>214</v>
      </c>
      <c r="E510" t="s">
        <v>216</v>
      </c>
      <c r="F510"/>
    </row>
    <row r="511" spans="1:54">
      <c r="A511" t="s">
        <v>162</v>
      </c>
      <c r="B511" s="94">
        <v>20.5</v>
      </c>
      <c r="C511" t="s">
        <v>146</v>
      </c>
      <c r="D511" t="s">
        <v>214</v>
      </c>
      <c r="E511" t="s">
        <v>216</v>
      </c>
      <c r="F511"/>
    </row>
    <row r="512" spans="1:54">
      <c r="A512" t="s">
        <v>163</v>
      </c>
      <c r="B512" s="94">
        <v>23.6</v>
      </c>
      <c r="C512" t="s">
        <v>146</v>
      </c>
      <c r="D512" t="s">
        <v>214</v>
      </c>
      <c r="E512" t="s">
        <v>216</v>
      </c>
      <c r="F512"/>
    </row>
    <row r="516" spans="1:6">
      <c r="A516" t="s">
        <v>168</v>
      </c>
      <c r="B516" s="4">
        <v>20</v>
      </c>
      <c r="C516" t="s">
        <v>146</v>
      </c>
      <c r="D516" t="s">
        <v>147</v>
      </c>
      <c r="E516" t="s">
        <v>169</v>
      </c>
      <c r="F516"/>
    </row>
    <row r="517" spans="1:6">
      <c r="A517" s="3"/>
      <c r="B517" s="4"/>
      <c r="E517"/>
      <c r="F517"/>
    </row>
    <row r="518" spans="1:6">
      <c r="A518" t="s">
        <v>171</v>
      </c>
      <c r="B518" s="4">
        <v>14.7</v>
      </c>
      <c r="C518" t="s">
        <v>146</v>
      </c>
      <c r="D518" t="s">
        <v>156</v>
      </c>
      <c r="E518" t="s">
        <v>217</v>
      </c>
      <c r="F518"/>
    </row>
    <row r="519" spans="1:6">
      <c r="A519" t="s">
        <v>172</v>
      </c>
      <c r="B519" s="4">
        <v>19.600000000000001</v>
      </c>
      <c r="C519" t="s">
        <v>146</v>
      </c>
      <c r="D519" t="s">
        <v>156</v>
      </c>
      <c r="E519" t="s">
        <v>217</v>
      </c>
      <c r="F519"/>
    </row>
    <row r="520" spans="1:6">
      <c r="A520" t="s">
        <v>173</v>
      </c>
      <c r="B520" s="4">
        <v>23.7</v>
      </c>
      <c r="C520" t="s">
        <v>146</v>
      </c>
      <c r="D520" t="s">
        <v>156</v>
      </c>
      <c r="E520" t="s">
        <v>217</v>
      </c>
      <c r="F520"/>
    </row>
    <row r="521" spans="1:6">
      <c r="A521" t="s">
        <v>174</v>
      </c>
      <c r="B521" s="4" t="s">
        <v>175</v>
      </c>
      <c r="C521" t="s">
        <v>146</v>
      </c>
      <c r="D521" t="s">
        <v>176</v>
      </c>
      <c r="E521" t="s">
        <v>169</v>
      </c>
      <c r="F521"/>
    </row>
    <row r="522" spans="1:6">
      <c r="A522" s="62" t="s">
        <v>180</v>
      </c>
      <c r="B522" s="4">
        <v>13</v>
      </c>
      <c r="C522" t="s">
        <v>146</v>
      </c>
      <c r="D522" t="s">
        <v>156</v>
      </c>
      <c r="E522" t="s">
        <v>169</v>
      </c>
      <c r="F522"/>
    </row>
    <row r="523" spans="1:6">
      <c r="A523" s="62" t="s">
        <v>181</v>
      </c>
      <c r="B523" s="4">
        <v>18.600000000000001</v>
      </c>
      <c r="C523" t="s">
        <v>146</v>
      </c>
      <c r="D523" t="s">
        <v>156</v>
      </c>
      <c r="E523" t="s">
        <v>169</v>
      </c>
      <c r="F523"/>
    </row>
    <row r="524" spans="1:6">
      <c r="A524" s="62" t="s">
        <v>182</v>
      </c>
      <c r="B524" s="4">
        <v>13.1</v>
      </c>
      <c r="C524" t="s">
        <v>146</v>
      </c>
      <c r="D524" t="s">
        <v>156</v>
      </c>
      <c r="E524" t="s">
        <v>169</v>
      </c>
      <c r="F524"/>
    </row>
    <row r="525" spans="1:6">
      <c r="A525" s="62" t="s">
        <v>183</v>
      </c>
      <c r="B525" s="4">
        <v>21.3</v>
      </c>
      <c r="C525" t="s">
        <v>146</v>
      </c>
      <c r="D525" t="s">
        <v>156</v>
      </c>
      <c r="E525" t="s">
        <v>169</v>
      </c>
      <c r="F525"/>
    </row>
    <row r="526" spans="1:6">
      <c r="A526" s="62" t="s">
        <v>184</v>
      </c>
      <c r="B526" s="4">
        <v>10.8</v>
      </c>
      <c r="C526" t="s">
        <v>146</v>
      </c>
      <c r="D526" t="s">
        <v>156</v>
      </c>
      <c r="E526" t="s">
        <v>169</v>
      </c>
      <c r="F526"/>
    </row>
    <row r="527" spans="1:6">
      <c r="A527" s="62" t="s">
        <v>185</v>
      </c>
      <c r="B527" s="4">
        <v>19.600000000000001</v>
      </c>
      <c r="C527" t="s">
        <v>146</v>
      </c>
      <c r="D527" t="s">
        <v>156</v>
      </c>
      <c r="E527" t="s">
        <v>169</v>
      </c>
      <c r="F527"/>
    </row>
    <row r="528" spans="1:6">
      <c r="A528" s="62" t="s">
        <v>186</v>
      </c>
      <c r="B528" s="4">
        <v>10.3</v>
      </c>
      <c r="C528" t="s">
        <v>146</v>
      </c>
      <c r="D528" t="s">
        <v>156</v>
      </c>
      <c r="E528" t="s">
        <v>169</v>
      </c>
      <c r="F528"/>
    </row>
    <row r="529" spans="1:6">
      <c r="A529" s="62" t="s">
        <v>187</v>
      </c>
      <c r="B529" s="4">
        <v>18.600000000000001</v>
      </c>
      <c r="C529" t="s">
        <v>146</v>
      </c>
      <c r="D529" t="s">
        <v>156</v>
      </c>
      <c r="E529" t="s">
        <v>169</v>
      </c>
      <c r="F529"/>
    </row>
    <row r="530" spans="1:6">
      <c r="A530" t="s">
        <v>463</v>
      </c>
      <c r="B530" s="4">
        <v>14.7</v>
      </c>
      <c r="C530" t="s">
        <v>146</v>
      </c>
      <c r="D530" t="s">
        <v>466</v>
      </c>
      <c r="E530" t="s">
        <v>462</v>
      </c>
      <c r="F530"/>
    </row>
    <row r="531" spans="1:6">
      <c r="A531" t="s">
        <v>464</v>
      </c>
      <c r="B531" s="4">
        <v>19.600000000000001</v>
      </c>
      <c r="C531" t="s">
        <v>146</v>
      </c>
      <c r="D531" t="s">
        <v>466</v>
      </c>
      <c r="E531" t="s">
        <v>462</v>
      </c>
      <c r="F531"/>
    </row>
    <row r="532" spans="1:6">
      <c r="A532" t="s">
        <v>465</v>
      </c>
      <c r="B532" s="4">
        <v>23.7</v>
      </c>
      <c r="C532" t="s">
        <v>146</v>
      </c>
      <c r="D532" t="s">
        <v>466</v>
      </c>
      <c r="E532" t="s">
        <v>462</v>
      </c>
      <c r="F532"/>
    </row>
    <row r="533" spans="1:6">
      <c r="A533" t="s">
        <v>188</v>
      </c>
      <c r="B533" s="4">
        <v>14.8</v>
      </c>
      <c r="C533" t="s">
        <v>146</v>
      </c>
      <c r="D533" t="s">
        <v>147</v>
      </c>
      <c r="E533" t="s">
        <v>169</v>
      </c>
      <c r="F533"/>
    </row>
    <row r="534" spans="1:6">
      <c r="A534" t="s">
        <v>473</v>
      </c>
      <c r="B534" s="95">
        <v>14.5</v>
      </c>
      <c r="C534" t="s">
        <v>146</v>
      </c>
      <c r="D534" t="s">
        <v>214</v>
      </c>
      <c r="E534" t="s">
        <v>479</v>
      </c>
      <c r="F534"/>
    </row>
    <row r="535" spans="1:6">
      <c r="A535" t="s">
        <v>474</v>
      </c>
      <c r="B535" s="95">
        <v>20.5</v>
      </c>
      <c r="C535" t="s">
        <v>146</v>
      </c>
      <c r="D535" t="s">
        <v>214</v>
      </c>
      <c r="E535" t="s">
        <v>479</v>
      </c>
      <c r="F535"/>
    </row>
    <row r="536" spans="1:6">
      <c r="A536" t="s">
        <v>475</v>
      </c>
      <c r="B536" s="95">
        <v>23.6</v>
      </c>
      <c r="C536" t="s">
        <v>146</v>
      </c>
      <c r="D536" t="s">
        <v>214</v>
      </c>
      <c r="E536" t="s">
        <v>479</v>
      </c>
      <c r="F536"/>
    </row>
    <row r="537" spans="1:6">
      <c r="A537" t="s">
        <v>476</v>
      </c>
      <c r="B537" s="4">
        <v>14.7</v>
      </c>
      <c r="C537" t="s">
        <v>146</v>
      </c>
      <c r="D537" t="s">
        <v>156</v>
      </c>
      <c r="E537" t="s">
        <v>217</v>
      </c>
      <c r="F537"/>
    </row>
    <row r="538" spans="1:6">
      <c r="A538" t="s">
        <v>477</v>
      </c>
      <c r="B538" s="4">
        <v>19.600000000000001</v>
      </c>
      <c r="C538" t="s">
        <v>146</v>
      </c>
      <c r="D538" t="s">
        <v>156</v>
      </c>
      <c r="E538" t="s">
        <v>217</v>
      </c>
      <c r="F538"/>
    </row>
    <row r="539" spans="1:6">
      <c r="A539" t="s">
        <v>478</v>
      </c>
      <c r="B539" s="4">
        <v>23.7</v>
      </c>
      <c r="C539" t="s">
        <v>146</v>
      </c>
      <c r="D539" t="s">
        <v>156</v>
      </c>
      <c r="E539" t="s">
        <v>217</v>
      </c>
      <c r="F539"/>
    </row>
    <row r="540" spans="1:6">
      <c r="A540" t="s">
        <v>480</v>
      </c>
      <c r="B540" s="4">
        <v>10.9</v>
      </c>
      <c r="C540" t="s">
        <v>146</v>
      </c>
      <c r="D540" t="s">
        <v>156</v>
      </c>
      <c r="E540" t="s">
        <v>467</v>
      </c>
      <c r="F540"/>
    </row>
    <row r="541" spans="1:6">
      <c r="A541" t="s">
        <v>481</v>
      </c>
      <c r="B541" s="4">
        <v>10.6</v>
      </c>
      <c r="C541" t="s">
        <v>146</v>
      </c>
      <c r="D541" t="s">
        <v>156</v>
      </c>
      <c r="E541" t="s">
        <v>467</v>
      </c>
      <c r="F541"/>
    </row>
    <row r="542" spans="1:6">
      <c r="A542" t="s">
        <v>482</v>
      </c>
      <c r="B542" s="4">
        <v>10.9</v>
      </c>
      <c r="C542" t="s">
        <v>146</v>
      </c>
      <c r="D542" t="s">
        <v>156</v>
      </c>
      <c r="E542" t="s">
        <v>467</v>
      </c>
      <c r="F542"/>
    </row>
    <row r="543" spans="1:6">
      <c r="A543" t="s">
        <v>483</v>
      </c>
      <c r="B543" s="4">
        <v>9.9</v>
      </c>
      <c r="C543" t="s">
        <v>146</v>
      </c>
      <c r="D543" t="s">
        <v>156</v>
      </c>
      <c r="E543" t="s">
        <v>467</v>
      </c>
      <c r="F543"/>
    </row>
    <row r="544" spans="1:6">
      <c r="A544" t="s">
        <v>484</v>
      </c>
      <c r="B544" s="4">
        <v>16.5</v>
      </c>
      <c r="C544" t="s">
        <v>146</v>
      </c>
      <c r="D544" t="s">
        <v>156</v>
      </c>
      <c r="E544" t="s">
        <v>467</v>
      </c>
      <c r="F544"/>
    </row>
    <row r="545" spans="1:6">
      <c r="A545" t="s">
        <v>485</v>
      </c>
      <c r="B545" s="4">
        <v>15</v>
      </c>
      <c r="C545" t="s">
        <v>146</v>
      </c>
      <c r="D545" t="s">
        <v>156</v>
      </c>
      <c r="E545" t="s">
        <v>467</v>
      </c>
      <c r="F545"/>
    </row>
    <row r="546" spans="1:6">
      <c r="A546" t="s">
        <v>486</v>
      </c>
      <c r="B546" s="4">
        <v>16.899999999999999</v>
      </c>
      <c r="C546" t="s">
        <v>146</v>
      </c>
      <c r="D546" t="s">
        <v>156</v>
      </c>
      <c r="E546" t="s">
        <v>467</v>
      </c>
      <c r="F546"/>
    </row>
    <row r="547" spans="1:6">
      <c r="A547" t="s">
        <v>487</v>
      </c>
      <c r="B547" s="4">
        <v>15.9</v>
      </c>
      <c r="C547" t="s">
        <v>146</v>
      </c>
      <c r="D547" t="s">
        <v>156</v>
      </c>
      <c r="E547" t="s">
        <v>467</v>
      </c>
      <c r="F547"/>
    </row>
    <row r="548" spans="1:6">
      <c r="A548" t="s">
        <v>488</v>
      </c>
      <c r="B548" s="4">
        <v>25.1</v>
      </c>
      <c r="C548" t="s">
        <v>146</v>
      </c>
      <c r="D548" t="s">
        <v>156</v>
      </c>
      <c r="E548" t="s">
        <v>467</v>
      </c>
      <c r="F548"/>
    </row>
    <row r="549" spans="1:6">
      <c r="A549" t="s">
        <v>546</v>
      </c>
      <c r="B549" s="4">
        <v>21.5</v>
      </c>
      <c r="C549" t="s">
        <v>146</v>
      </c>
      <c r="D549" t="s">
        <v>156</v>
      </c>
      <c r="E549"/>
      <c r="F549"/>
    </row>
    <row r="550" spans="1:6">
      <c r="A550" t="s">
        <v>547</v>
      </c>
      <c r="B550" s="4">
        <v>26.3</v>
      </c>
      <c r="C550" t="s">
        <v>146</v>
      </c>
      <c r="D550" t="s">
        <v>156</v>
      </c>
      <c r="E550"/>
      <c r="F550"/>
    </row>
    <row r="551" spans="1:6">
      <c r="A551" t="s">
        <v>548</v>
      </c>
      <c r="B551" s="4">
        <v>23.9</v>
      </c>
      <c r="C551" t="s">
        <v>146</v>
      </c>
      <c r="D551" t="s">
        <v>156</v>
      </c>
      <c r="E551" t="s">
        <v>467</v>
      </c>
      <c r="F551"/>
    </row>
    <row r="552" spans="1:6">
      <c r="A552" t="s">
        <v>489</v>
      </c>
      <c r="B552" s="4">
        <v>28.7</v>
      </c>
      <c r="C552" t="s">
        <v>146</v>
      </c>
      <c r="D552" t="s">
        <v>156</v>
      </c>
      <c r="E552"/>
      <c r="F552"/>
    </row>
    <row r="553" spans="1:6">
      <c r="A553" t="s">
        <v>606</v>
      </c>
      <c r="B553" s="4">
        <v>23.7</v>
      </c>
      <c r="C553" t="s">
        <v>146</v>
      </c>
      <c r="D553" t="s">
        <v>156</v>
      </c>
      <c r="E553"/>
      <c r="F553"/>
    </row>
    <row r="554" spans="1:6">
      <c r="A554" t="s">
        <v>607</v>
      </c>
      <c r="B554" s="4">
        <v>29.2</v>
      </c>
      <c r="C554" t="s">
        <v>146</v>
      </c>
      <c r="D554" t="s">
        <v>156</v>
      </c>
      <c r="E554"/>
      <c r="F554"/>
    </row>
    <row r="555" spans="1:6">
      <c r="A555" t="s">
        <v>608</v>
      </c>
      <c r="B555" s="4">
        <v>26.5</v>
      </c>
      <c r="C555" t="s">
        <v>146</v>
      </c>
      <c r="D555" t="s">
        <v>156</v>
      </c>
      <c r="E555"/>
      <c r="F555"/>
    </row>
    <row r="556" spans="1:6">
      <c r="A556" t="s">
        <v>490</v>
      </c>
      <c r="B556" s="4">
        <v>12</v>
      </c>
      <c r="C556" t="s">
        <v>146</v>
      </c>
      <c r="D556" t="s">
        <v>156</v>
      </c>
      <c r="E556" t="s">
        <v>467</v>
      </c>
      <c r="F556"/>
    </row>
    <row r="557" spans="1:6">
      <c r="A557" t="s">
        <v>609</v>
      </c>
      <c r="B557" s="4">
        <v>11.7</v>
      </c>
      <c r="C557" t="s">
        <v>146</v>
      </c>
      <c r="D557" t="s">
        <v>156</v>
      </c>
      <c r="E557"/>
      <c r="F557"/>
    </row>
    <row r="558" spans="1:6">
      <c r="A558" t="s">
        <v>610</v>
      </c>
      <c r="B558" s="4">
        <v>12</v>
      </c>
      <c r="C558" t="s">
        <v>146</v>
      </c>
      <c r="D558" t="s">
        <v>156</v>
      </c>
      <c r="E558"/>
      <c r="F558"/>
    </row>
    <row r="559" spans="1:6">
      <c r="A559" t="s">
        <v>611</v>
      </c>
      <c r="B559" s="4">
        <v>11.2</v>
      </c>
      <c r="C559" t="s">
        <v>146</v>
      </c>
      <c r="D559" t="s">
        <v>156</v>
      </c>
      <c r="E559"/>
      <c r="F559"/>
    </row>
    <row r="560" spans="1:6">
      <c r="A560" t="s">
        <v>491</v>
      </c>
      <c r="B560" s="4">
        <v>19.7</v>
      </c>
      <c r="C560" t="s">
        <v>146</v>
      </c>
      <c r="D560" t="s">
        <v>156</v>
      </c>
      <c r="E560" t="s">
        <v>467</v>
      </c>
      <c r="F560"/>
    </row>
    <row r="561" spans="1:6">
      <c r="A561" t="s">
        <v>612</v>
      </c>
      <c r="B561" s="4">
        <v>17.2</v>
      </c>
      <c r="C561" t="s">
        <v>146</v>
      </c>
      <c r="D561" t="s">
        <v>156</v>
      </c>
      <c r="E561"/>
      <c r="F561"/>
    </row>
    <row r="562" spans="1:6">
      <c r="A562" t="s">
        <v>613</v>
      </c>
      <c r="B562" s="4">
        <v>20.5</v>
      </c>
      <c r="C562" t="s">
        <v>146</v>
      </c>
      <c r="D562" t="s">
        <v>156</v>
      </c>
      <c r="E562"/>
      <c r="F562"/>
    </row>
    <row r="563" spans="1:6">
      <c r="A563" t="s">
        <v>614</v>
      </c>
      <c r="B563" s="4">
        <v>19</v>
      </c>
      <c r="C563" t="s">
        <v>146</v>
      </c>
      <c r="D563" t="s">
        <v>156</v>
      </c>
      <c r="E563"/>
      <c r="F563"/>
    </row>
    <row r="564" spans="1:6">
      <c r="A564" t="s">
        <v>492</v>
      </c>
      <c r="B564" s="4">
        <v>23.9</v>
      </c>
      <c r="C564" t="s">
        <v>146</v>
      </c>
      <c r="D564" t="s">
        <v>156</v>
      </c>
      <c r="E564"/>
      <c r="F564"/>
    </row>
    <row r="565" spans="1:6">
      <c r="A565" t="s">
        <v>615</v>
      </c>
      <c r="B565" s="4">
        <v>20.9</v>
      </c>
      <c r="C565" t="s">
        <v>146</v>
      </c>
      <c r="D565" t="s">
        <v>156</v>
      </c>
      <c r="E565"/>
      <c r="F565"/>
    </row>
    <row r="566" spans="1:6">
      <c r="A566" t="s">
        <v>616</v>
      </c>
      <c r="B566" s="4">
        <v>26.9</v>
      </c>
      <c r="C566" t="s">
        <v>146</v>
      </c>
      <c r="D566" t="s">
        <v>156</v>
      </c>
      <c r="E566"/>
      <c r="F566"/>
    </row>
    <row r="567" spans="1:6">
      <c r="A567" t="s">
        <v>617</v>
      </c>
      <c r="B567" s="4">
        <v>23.1</v>
      </c>
      <c r="C567" t="s">
        <v>146</v>
      </c>
      <c r="D567" t="s">
        <v>156</v>
      </c>
      <c r="E567"/>
      <c r="F567"/>
    </row>
    <row r="568" spans="1:6">
      <c r="A568" t="s">
        <v>493</v>
      </c>
      <c r="B568" s="4">
        <v>31</v>
      </c>
      <c r="C568" t="s">
        <v>146</v>
      </c>
      <c r="D568" t="s">
        <v>156</v>
      </c>
      <c r="E568" t="s">
        <v>467</v>
      </c>
      <c r="F568"/>
    </row>
    <row r="569" spans="1:6">
      <c r="A569" t="s">
        <v>618</v>
      </c>
      <c r="B569" s="4">
        <v>26</v>
      </c>
      <c r="C569" t="s">
        <v>146</v>
      </c>
      <c r="D569" t="s">
        <v>156</v>
      </c>
      <c r="E569"/>
      <c r="F569"/>
    </row>
    <row r="570" spans="1:6">
      <c r="A570" t="s">
        <v>619</v>
      </c>
      <c r="B570" s="4">
        <v>31.5</v>
      </c>
      <c r="C570" t="s">
        <v>146</v>
      </c>
      <c r="D570" t="s">
        <v>156</v>
      </c>
      <c r="E570"/>
      <c r="F570"/>
    </row>
    <row r="571" spans="1:6">
      <c r="A571" t="s">
        <v>620</v>
      </c>
      <c r="B571" s="4">
        <v>28.8</v>
      </c>
      <c r="C571" t="s">
        <v>146</v>
      </c>
      <c r="D571" t="s">
        <v>156</v>
      </c>
      <c r="E571"/>
      <c r="F571"/>
    </row>
    <row r="572" spans="1:6">
      <c r="A572" t="s">
        <v>494</v>
      </c>
      <c r="B572" s="4">
        <v>10.9</v>
      </c>
      <c r="C572" t="s">
        <v>146</v>
      </c>
      <c r="D572" t="s">
        <v>156</v>
      </c>
      <c r="E572" t="s">
        <v>467</v>
      </c>
      <c r="F572"/>
    </row>
    <row r="573" spans="1:6">
      <c r="A573" t="s">
        <v>621</v>
      </c>
      <c r="B573" s="4">
        <v>10.6</v>
      </c>
      <c r="C573" t="s">
        <v>146</v>
      </c>
      <c r="D573" t="s">
        <v>156</v>
      </c>
      <c r="E573"/>
      <c r="F573"/>
    </row>
    <row r="574" spans="1:6">
      <c r="A574" t="s">
        <v>622</v>
      </c>
      <c r="B574" s="4">
        <v>10.9</v>
      </c>
      <c r="C574" t="s">
        <v>146</v>
      </c>
      <c r="D574" t="s">
        <v>156</v>
      </c>
      <c r="E574"/>
      <c r="F574"/>
    </row>
    <row r="575" spans="1:6">
      <c r="A575" t="s">
        <v>623</v>
      </c>
      <c r="B575" s="4">
        <v>10</v>
      </c>
      <c r="C575" t="s">
        <v>146</v>
      </c>
      <c r="D575" t="s">
        <v>156</v>
      </c>
      <c r="E575"/>
      <c r="F575"/>
    </row>
    <row r="576" spans="1:6">
      <c r="A576" t="s">
        <v>495</v>
      </c>
      <c r="B576" s="4">
        <v>16.899999999999999</v>
      </c>
      <c r="C576" t="s">
        <v>146</v>
      </c>
      <c r="D576" t="s">
        <v>156</v>
      </c>
      <c r="E576" t="s">
        <v>467</v>
      </c>
      <c r="F576"/>
    </row>
    <row r="577" spans="1:6">
      <c r="A577" t="s">
        <v>624</v>
      </c>
      <c r="B577" s="4">
        <v>15.4</v>
      </c>
      <c r="C577" t="s">
        <v>146</v>
      </c>
      <c r="D577" t="s">
        <v>156</v>
      </c>
      <c r="E577"/>
      <c r="F577"/>
    </row>
    <row r="578" spans="1:6">
      <c r="A578" t="s">
        <v>625</v>
      </c>
      <c r="B578" s="4">
        <v>17.3</v>
      </c>
      <c r="C578" t="s">
        <v>146</v>
      </c>
      <c r="D578" t="s">
        <v>156</v>
      </c>
      <c r="E578"/>
      <c r="F578"/>
    </row>
    <row r="579" spans="1:6">
      <c r="A579" t="s">
        <v>626</v>
      </c>
      <c r="B579" s="4">
        <v>16.3</v>
      </c>
      <c r="C579" t="s">
        <v>146</v>
      </c>
      <c r="D579" t="s">
        <v>156</v>
      </c>
      <c r="E579"/>
      <c r="F579"/>
    </row>
    <row r="580" spans="1:6">
      <c r="A580" t="s">
        <v>496</v>
      </c>
      <c r="B580" s="4">
        <v>23.9</v>
      </c>
      <c r="C580" t="s">
        <v>146</v>
      </c>
      <c r="D580" t="s">
        <v>156</v>
      </c>
      <c r="E580" t="s">
        <v>467</v>
      </c>
      <c r="F580"/>
    </row>
    <row r="581" spans="1:6">
      <c r="A581" t="s">
        <v>627</v>
      </c>
      <c r="B581" s="4">
        <v>20.9</v>
      </c>
      <c r="C581" t="s">
        <v>146</v>
      </c>
      <c r="D581" t="s">
        <v>156</v>
      </c>
      <c r="E581"/>
      <c r="F581"/>
    </row>
    <row r="582" spans="1:6">
      <c r="A582" t="s">
        <v>628</v>
      </c>
      <c r="B582" s="4">
        <v>26.9</v>
      </c>
      <c r="C582" t="s">
        <v>146</v>
      </c>
      <c r="D582" t="s">
        <v>156</v>
      </c>
      <c r="E582"/>
      <c r="F582"/>
    </row>
    <row r="583" spans="1:6">
      <c r="A583" t="s">
        <v>629</v>
      </c>
      <c r="B583" s="4">
        <v>23.1</v>
      </c>
      <c r="C583" t="s">
        <v>146</v>
      </c>
      <c r="D583" t="s">
        <v>156</v>
      </c>
    </row>
    <row r="584" spans="1:6">
      <c r="A584" t="s">
        <v>497</v>
      </c>
      <c r="B584" s="4">
        <v>26.9</v>
      </c>
      <c r="C584" t="s">
        <v>146</v>
      </c>
      <c r="D584" t="s">
        <v>156</v>
      </c>
      <c r="E584" t="s">
        <v>467</v>
      </c>
      <c r="F584"/>
    </row>
    <row r="585" spans="1:6">
      <c r="A585" t="s">
        <v>630</v>
      </c>
      <c r="B585" s="4">
        <v>22.9</v>
      </c>
      <c r="C585" t="s">
        <v>146</v>
      </c>
      <c r="D585" t="s">
        <v>156</v>
      </c>
    </row>
    <row r="586" spans="1:6">
      <c r="A586" t="s">
        <v>631</v>
      </c>
      <c r="B586" s="4">
        <v>28.4</v>
      </c>
      <c r="C586" t="s">
        <v>146</v>
      </c>
      <c r="D586" t="s">
        <v>156</v>
      </c>
    </row>
    <row r="587" spans="1:6">
      <c r="A587" t="s">
        <v>632</v>
      </c>
      <c r="B587" s="4">
        <v>25.7</v>
      </c>
      <c r="C587" t="s">
        <v>146</v>
      </c>
      <c r="D587" t="s">
        <v>156</v>
      </c>
    </row>
    <row r="588" spans="1:6">
      <c r="A588" t="s">
        <v>498</v>
      </c>
      <c r="B588" s="4">
        <v>11.2</v>
      </c>
      <c r="C588" t="s">
        <v>146</v>
      </c>
      <c r="D588" t="s">
        <v>156</v>
      </c>
      <c r="E588" t="s">
        <v>467</v>
      </c>
      <c r="F588"/>
    </row>
    <row r="589" spans="1:6">
      <c r="A589" t="s">
        <v>633</v>
      </c>
      <c r="B589" s="4">
        <v>9.9</v>
      </c>
      <c r="C589" t="s">
        <v>146</v>
      </c>
      <c r="D589" t="s">
        <v>156</v>
      </c>
    </row>
    <row r="590" spans="1:6">
      <c r="A590" t="s">
        <v>634</v>
      </c>
      <c r="B590" s="4">
        <v>10.199999999999999</v>
      </c>
      <c r="C590" t="s">
        <v>146</v>
      </c>
      <c r="D590" t="s">
        <v>156</v>
      </c>
    </row>
    <row r="591" spans="1:6">
      <c r="A591" t="s">
        <v>635</v>
      </c>
      <c r="B591" s="4">
        <v>9.1999999999999993</v>
      </c>
      <c r="C591" t="s">
        <v>146</v>
      </c>
      <c r="D591" t="s">
        <v>156</v>
      </c>
    </row>
    <row r="592" spans="1:6">
      <c r="A592" t="s">
        <v>499</v>
      </c>
      <c r="B592" s="4">
        <v>16.7</v>
      </c>
      <c r="C592" t="s">
        <v>146</v>
      </c>
      <c r="D592" t="s">
        <v>156</v>
      </c>
      <c r="E592" t="s">
        <v>467</v>
      </c>
      <c r="F592"/>
    </row>
    <row r="593" spans="1:8">
      <c r="A593" t="s">
        <v>636</v>
      </c>
      <c r="B593" s="4">
        <v>15.2</v>
      </c>
      <c r="C593" t="s">
        <v>146</v>
      </c>
      <c r="D593" t="s">
        <v>156</v>
      </c>
    </row>
    <row r="594" spans="1:8">
      <c r="A594" t="s">
        <v>637</v>
      </c>
      <c r="B594" s="4">
        <v>17.3</v>
      </c>
      <c r="C594" t="s">
        <v>146</v>
      </c>
      <c r="D594" t="s">
        <v>156</v>
      </c>
    </row>
    <row r="595" spans="1:8">
      <c r="A595" t="s">
        <v>638</v>
      </c>
      <c r="B595" s="4">
        <v>16.100000000000001</v>
      </c>
      <c r="C595" t="s">
        <v>146</v>
      </c>
      <c r="D595" t="s">
        <v>156</v>
      </c>
    </row>
    <row r="596" spans="1:8">
      <c r="A596" t="s">
        <v>500</v>
      </c>
      <c r="B596" s="4">
        <v>24.4</v>
      </c>
      <c r="C596" t="s">
        <v>146</v>
      </c>
      <c r="D596" t="s">
        <v>156</v>
      </c>
      <c r="E596" t="s">
        <v>467</v>
      </c>
      <c r="F596"/>
    </row>
    <row r="597" spans="1:8">
      <c r="A597" t="s">
        <v>639</v>
      </c>
      <c r="B597" s="4">
        <v>20.8</v>
      </c>
      <c r="C597" t="s">
        <v>146</v>
      </c>
      <c r="D597" t="s">
        <v>156</v>
      </c>
    </row>
    <row r="598" spans="1:8">
      <c r="A598" t="s">
        <v>640</v>
      </c>
      <c r="B598" s="4">
        <v>25.6</v>
      </c>
      <c r="C598" t="s">
        <v>146</v>
      </c>
      <c r="D598" t="s">
        <v>156</v>
      </c>
    </row>
    <row r="599" spans="1:8">
      <c r="A599" t="s">
        <v>641</v>
      </c>
      <c r="B599" s="4">
        <v>23.1</v>
      </c>
      <c r="C599" t="s">
        <v>146</v>
      </c>
      <c r="D599" t="s">
        <v>156</v>
      </c>
    </row>
    <row r="600" spans="1:8">
      <c r="A600" t="s">
        <v>501</v>
      </c>
      <c r="B600" s="4">
        <v>29.8</v>
      </c>
      <c r="C600" t="s">
        <v>146</v>
      </c>
      <c r="D600" t="s">
        <v>156</v>
      </c>
      <c r="E600" t="s">
        <v>467</v>
      </c>
      <c r="F600"/>
    </row>
    <row r="601" spans="1:8">
      <c r="A601" t="s">
        <v>642</v>
      </c>
      <c r="B601" s="4">
        <v>24.8</v>
      </c>
      <c r="C601" t="s">
        <v>146</v>
      </c>
      <c r="D601" t="s">
        <v>156</v>
      </c>
    </row>
    <row r="602" spans="1:8">
      <c r="A602" t="s">
        <v>643</v>
      </c>
      <c r="B602" s="4">
        <v>30.3</v>
      </c>
      <c r="C602" t="s">
        <v>146</v>
      </c>
      <c r="D602" t="s">
        <v>156</v>
      </c>
    </row>
    <row r="603" spans="1:8">
      <c r="A603" t="s">
        <v>644</v>
      </c>
      <c r="B603" s="4">
        <v>27.6</v>
      </c>
      <c r="C603" t="s">
        <v>146</v>
      </c>
      <c r="D603" t="s">
        <v>156</v>
      </c>
    </row>
    <row r="604" spans="1:8">
      <c r="A604" t="s">
        <v>468</v>
      </c>
      <c r="B604" s="4">
        <v>18.600000000000001</v>
      </c>
      <c r="C604" t="s">
        <v>146</v>
      </c>
      <c r="D604" t="s">
        <v>156</v>
      </c>
    </row>
    <row r="605" spans="1:8">
      <c r="A605" t="s">
        <v>469</v>
      </c>
      <c r="B605" s="4">
        <v>18.2</v>
      </c>
      <c r="C605" t="s">
        <v>146</v>
      </c>
      <c r="D605" t="s">
        <v>156</v>
      </c>
      <c r="E605" s="921" t="s">
        <v>502</v>
      </c>
      <c r="F605" s="921"/>
      <c r="G605" s="921"/>
      <c r="H605" s="921"/>
    </row>
    <row r="606" spans="1:8">
      <c r="A606" t="s">
        <v>470</v>
      </c>
      <c r="B606" s="4">
        <v>18.2</v>
      </c>
      <c r="C606" t="s">
        <v>146</v>
      </c>
      <c r="D606" t="s">
        <v>156</v>
      </c>
      <c r="E606" s="921" t="s">
        <v>502</v>
      </c>
      <c r="F606" s="921"/>
      <c r="G606" s="921"/>
      <c r="H606" s="921"/>
    </row>
    <row r="607" spans="1:8">
      <c r="A607" t="s">
        <v>471</v>
      </c>
      <c r="B607" s="4">
        <v>18.7</v>
      </c>
      <c r="C607" t="s">
        <v>146</v>
      </c>
      <c r="D607" t="s">
        <v>156</v>
      </c>
      <c r="E607" s="921" t="s">
        <v>502</v>
      </c>
      <c r="F607" s="921"/>
      <c r="G607" s="921"/>
      <c r="H607" s="921"/>
    </row>
    <row r="608" spans="1:8">
      <c r="A608" t="s">
        <v>472</v>
      </c>
      <c r="B608" s="4">
        <v>18.5</v>
      </c>
      <c r="C608" t="s">
        <v>146</v>
      </c>
      <c r="D608" t="s">
        <v>156</v>
      </c>
      <c r="E608" s="921" t="s">
        <v>503</v>
      </c>
      <c r="F608" s="921"/>
      <c r="G608" s="921"/>
      <c r="H608" s="921"/>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5" spans="1:6">
      <c r="A625" s="3" t="s">
        <v>164</v>
      </c>
      <c r="B625" s="4">
        <v>14.6</v>
      </c>
      <c r="C625" t="s">
        <v>207</v>
      </c>
      <c r="D625" t="s">
        <v>147</v>
      </c>
      <c r="E625" t="s">
        <v>165</v>
      </c>
      <c r="F625"/>
    </row>
    <row r="626" spans="1:6">
      <c r="A626" s="3" t="s">
        <v>166</v>
      </c>
      <c r="B626" s="4">
        <v>16.2</v>
      </c>
      <c r="C626" t="s">
        <v>207</v>
      </c>
      <c r="D626" t="s">
        <v>147</v>
      </c>
      <c r="E626" t="s">
        <v>165</v>
      </c>
      <c r="F626"/>
    </row>
    <row r="627" spans="1:6">
      <c r="A627" s="3" t="s">
        <v>167</v>
      </c>
      <c r="B627" s="4">
        <v>21.5</v>
      </c>
      <c r="C627" t="s">
        <v>207</v>
      </c>
      <c r="D627" t="s">
        <v>147</v>
      </c>
      <c r="E627" t="s">
        <v>165</v>
      </c>
      <c r="F627"/>
    </row>
    <row r="628" spans="1:6">
      <c r="B628" s="4"/>
    </row>
    <row r="629" spans="1:6">
      <c r="A629" s="3" t="s">
        <v>189</v>
      </c>
      <c r="B629" s="4">
        <v>14.4</v>
      </c>
      <c r="C629" t="s">
        <v>207</v>
      </c>
      <c r="D629" t="s">
        <v>156</v>
      </c>
    </row>
    <row r="630" spans="1:6">
      <c r="A630" s="3" t="s">
        <v>190</v>
      </c>
      <c r="B630" s="4">
        <v>24</v>
      </c>
      <c r="C630" t="s">
        <v>207</v>
      </c>
      <c r="D630" t="s">
        <v>156</v>
      </c>
    </row>
    <row r="631" spans="1:6">
      <c r="A631" s="3" t="s">
        <v>191</v>
      </c>
      <c r="B631" s="4">
        <v>25.8</v>
      </c>
      <c r="C631" t="s">
        <v>207</v>
      </c>
      <c r="D631" t="s">
        <v>156</v>
      </c>
    </row>
    <row r="632" spans="1:6">
      <c r="A632" s="3" t="s">
        <v>192</v>
      </c>
      <c r="B632" s="4">
        <v>27.4</v>
      </c>
      <c r="C632" t="s">
        <v>207</v>
      </c>
      <c r="D632" t="s">
        <v>156</v>
      </c>
    </row>
    <row r="633" spans="1:6">
      <c r="A633" s="3" t="s">
        <v>193</v>
      </c>
      <c r="B633" s="4">
        <v>14.2</v>
      </c>
      <c r="C633" t="s">
        <v>207</v>
      </c>
      <c r="D633" t="s">
        <v>156</v>
      </c>
    </row>
    <row r="634" spans="1:6">
      <c r="A634" s="3" t="s">
        <v>194</v>
      </c>
      <c r="B634" s="4">
        <v>21.5</v>
      </c>
      <c r="C634" t="s">
        <v>207</v>
      </c>
      <c r="D634" t="s">
        <v>156</v>
      </c>
    </row>
    <row r="635" spans="1:6">
      <c r="A635" s="3" t="s">
        <v>195</v>
      </c>
      <c r="B635" s="4">
        <v>27</v>
      </c>
      <c r="C635" t="s">
        <v>207</v>
      </c>
      <c r="D635" t="s">
        <v>156</v>
      </c>
    </row>
    <row r="636" spans="1:6">
      <c r="A636" s="3" t="s">
        <v>196</v>
      </c>
      <c r="B636" s="4">
        <v>27.6</v>
      </c>
      <c r="C636" t="s">
        <v>207</v>
      </c>
      <c r="D636" t="s">
        <v>156</v>
      </c>
    </row>
    <row r="637" spans="1:6">
      <c r="A637" s="3" t="s">
        <v>197</v>
      </c>
      <c r="B637" s="4">
        <v>11.7</v>
      </c>
      <c r="C637" t="s">
        <v>207</v>
      </c>
      <c r="D637" t="s">
        <v>156</v>
      </c>
    </row>
    <row r="638" spans="1:6">
      <c r="A638" s="3" t="s">
        <v>198</v>
      </c>
      <c r="B638" s="4">
        <v>17.5</v>
      </c>
      <c r="C638" t="s">
        <v>207</v>
      </c>
      <c r="D638" t="s">
        <v>156</v>
      </c>
    </row>
    <row r="639" spans="1:6">
      <c r="A639" s="3" t="s">
        <v>199</v>
      </c>
      <c r="B639" s="4">
        <v>25.2</v>
      </c>
      <c r="C639" t="s">
        <v>207</v>
      </c>
      <c r="D639" t="s">
        <v>156</v>
      </c>
    </row>
    <row r="640" spans="1:6">
      <c r="A640" s="3" t="s">
        <v>200</v>
      </c>
      <c r="B640" s="4">
        <v>26.5</v>
      </c>
      <c r="C640" t="s">
        <v>207</v>
      </c>
      <c r="D640" t="s">
        <v>156</v>
      </c>
    </row>
    <row r="641" spans="1:9">
      <c r="A641" s="3" t="s">
        <v>201</v>
      </c>
      <c r="B641" s="4">
        <v>13.1</v>
      </c>
      <c r="C641" t="s">
        <v>207</v>
      </c>
      <c r="D641" t="s">
        <v>156</v>
      </c>
    </row>
    <row r="642" spans="1:9">
      <c r="A642" s="3" t="s">
        <v>202</v>
      </c>
      <c r="B642" s="4">
        <v>20.7</v>
      </c>
      <c r="C642" t="s">
        <v>207</v>
      </c>
      <c r="D642" t="s">
        <v>156</v>
      </c>
    </row>
    <row r="643" spans="1:9">
      <c r="A643" s="3" t="s">
        <v>203</v>
      </c>
      <c r="B643" s="4">
        <v>26</v>
      </c>
      <c r="C643" t="s">
        <v>207</v>
      </c>
      <c r="D643" t="s">
        <v>156</v>
      </c>
    </row>
    <row r="644" spans="1:9">
      <c r="A644" s="3" t="s">
        <v>204</v>
      </c>
      <c r="B644" s="4">
        <v>27.1</v>
      </c>
      <c r="C644" t="s">
        <v>207</v>
      </c>
      <c r="D644" t="s">
        <v>156</v>
      </c>
    </row>
    <row r="645" spans="1:9">
      <c r="A645" s="3" t="s">
        <v>581</v>
      </c>
      <c r="B645" s="4">
        <v>9.4</v>
      </c>
      <c r="C645" t="s">
        <v>207</v>
      </c>
      <c r="D645" t="s">
        <v>156</v>
      </c>
      <c r="E645" s="921" t="s">
        <v>582</v>
      </c>
      <c r="F645" s="921"/>
      <c r="G645" s="921"/>
      <c r="H645" s="921"/>
      <c r="I645" s="921"/>
    </row>
    <row r="646" spans="1:9">
      <c r="A646" s="3" t="s">
        <v>583</v>
      </c>
      <c r="B646" s="4">
        <v>15.6</v>
      </c>
      <c r="C646" t="s">
        <v>207</v>
      </c>
      <c r="D646" t="s">
        <v>156</v>
      </c>
      <c r="E646" s="921" t="s">
        <v>582</v>
      </c>
      <c r="F646" s="921"/>
      <c r="G646" s="921"/>
      <c r="H646" s="921"/>
      <c r="I646" s="921"/>
    </row>
    <row r="647" spans="1:9">
      <c r="A647" s="3" t="s">
        <v>584</v>
      </c>
      <c r="B647" s="4">
        <v>16.7</v>
      </c>
      <c r="C647" t="s">
        <v>207</v>
      </c>
      <c r="D647" t="s">
        <v>156</v>
      </c>
      <c r="E647" s="921" t="s">
        <v>582</v>
      </c>
      <c r="F647" s="921"/>
      <c r="G647" s="921"/>
      <c r="H647" s="921"/>
      <c r="I647" s="921"/>
    </row>
    <row r="648" spans="1:9">
      <c r="A648" s="3" t="s">
        <v>585</v>
      </c>
      <c r="B648" s="4">
        <v>17.8</v>
      </c>
      <c r="C648" t="s">
        <v>207</v>
      </c>
      <c r="D648" t="s">
        <v>156</v>
      </c>
      <c r="E648" s="921" t="s">
        <v>582</v>
      </c>
      <c r="F648" s="921"/>
      <c r="G648" s="921"/>
      <c r="H648" s="921"/>
      <c r="I648" s="921"/>
    </row>
    <row r="649" spans="1:9">
      <c r="A649" s="3" t="s">
        <v>586</v>
      </c>
      <c r="B649" s="4">
        <v>9.1999999999999993</v>
      </c>
      <c r="C649" t="s">
        <v>207</v>
      </c>
      <c r="D649" t="s">
        <v>156</v>
      </c>
      <c r="E649" s="921" t="s">
        <v>582</v>
      </c>
      <c r="F649" s="921"/>
      <c r="G649" s="921"/>
      <c r="H649" s="921"/>
      <c r="I649" s="921"/>
    </row>
    <row r="650" spans="1:9">
      <c r="A650" s="3" t="s">
        <v>587</v>
      </c>
      <c r="B650" s="4">
        <v>14</v>
      </c>
      <c r="C650" t="s">
        <v>207</v>
      </c>
      <c r="D650" t="s">
        <v>156</v>
      </c>
      <c r="E650" s="921" t="s">
        <v>582</v>
      </c>
      <c r="F650" s="921"/>
      <c r="G650" s="921"/>
      <c r="H650" s="921"/>
      <c r="I650" s="921"/>
    </row>
    <row r="651" spans="1:9">
      <c r="A651" s="3" t="s">
        <v>588</v>
      </c>
      <c r="B651" s="4">
        <v>17.5</v>
      </c>
      <c r="C651" t="s">
        <v>207</v>
      </c>
      <c r="D651" t="s">
        <v>156</v>
      </c>
      <c r="E651" s="921" t="s">
        <v>582</v>
      </c>
      <c r="F651" s="921"/>
      <c r="G651" s="921"/>
      <c r="H651" s="921"/>
      <c r="I651" s="921"/>
    </row>
    <row r="652" spans="1:9">
      <c r="A652" s="3" t="s">
        <v>589</v>
      </c>
      <c r="B652" s="4">
        <v>17.899999999999999</v>
      </c>
      <c r="C652" t="s">
        <v>207</v>
      </c>
      <c r="D652" t="s">
        <v>156</v>
      </c>
      <c r="E652" s="921" t="s">
        <v>582</v>
      </c>
      <c r="F652" s="921"/>
      <c r="G652" s="921"/>
      <c r="H652" s="921"/>
      <c r="I652" s="921"/>
    </row>
    <row r="653" spans="1:9">
      <c r="A653" s="3" t="s">
        <v>590</v>
      </c>
      <c r="B653" s="4">
        <v>7.6</v>
      </c>
      <c r="C653" t="s">
        <v>207</v>
      </c>
      <c r="D653" t="s">
        <v>156</v>
      </c>
      <c r="E653" s="921" t="s">
        <v>582</v>
      </c>
      <c r="F653" s="921"/>
      <c r="G653" s="921"/>
      <c r="H653" s="921"/>
      <c r="I653" s="921"/>
    </row>
    <row r="654" spans="1:9">
      <c r="A654" s="3" t="s">
        <v>591</v>
      </c>
      <c r="B654" s="4">
        <v>11.3</v>
      </c>
      <c r="C654" t="s">
        <v>207</v>
      </c>
      <c r="D654" t="s">
        <v>156</v>
      </c>
      <c r="E654" s="921" t="s">
        <v>582</v>
      </c>
      <c r="F654" s="921"/>
      <c r="G654" s="921"/>
      <c r="H654" s="921"/>
      <c r="I654" s="921"/>
    </row>
    <row r="655" spans="1:9">
      <c r="A655" s="3" t="s">
        <v>592</v>
      </c>
      <c r="B655" s="4">
        <v>16.3</v>
      </c>
      <c r="C655" t="s">
        <v>207</v>
      </c>
      <c r="D655" t="s">
        <v>156</v>
      </c>
      <c r="E655" s="921" t="s">
        <v>582</v>
      </c>
      <c r="F655" s="921"/>
      <c r="G655" s="921"/>
      <c r="H655" s="921"/>
      <c r="I655" s="921"/>
    </row>
    <row r="656" spans="1:9">
      <c r="A656" s="3" t="s">
        <v>593</v>
      </c>
      <c r="B656" s="4">
        <v>17.2</v>
      </c>
      <c r="C656" t="s">
        <v>207</v>
      </c>
      <c r="D656" t="s">
        <v>156</v>
      </c>
      <c r="E656" s="921" t="s">
        <v>582</v>
      </c>
      <c r="F656" s="921"/>
      <c r="G656" s="921"/>
      <c r="H656" s="921"/>
      <c r="I656" s="921"/>
    </row>
    <row r="657" spans="1:9">
      <c r="A657" s="3" t="s">
        <v>594</v>
      </c>
      <c r="B657" s="4">
        <v>8.5</v>
      </c>
      <c r="C657" t="s">
        <v>207</v>
      </c>
      <c r="D657" t="s">
        <v>156</v>
      </c>
      <c r="E657" s="921" t="s">
        <v>582</v>
      </c>
      <c r="F657" s="921"/>
      <c r="G657" s="921"/>
      <c r="H657" s="921"/>
      <c r="I657" s="921"/>
    </row>
    <row r="658" spans="1:9">
      <c r="A658" s="3" t="s">
        <v>595</v>
      </c>
      <c r="B658" s="4">
        <v>13.4</v>
      </c>
      <c r="C658" t="s">
        <v>207</v>
      </c>
      <c r="D658" t="s">
        <v>156</v>
      </c>
      <c r="E658" s="921" t="s">
        <v>582</v>
      </c>
      <c r="F658" s="921"/>
      <c r="G658" s="921"/>
      <c r="H658" s="921"/>
      <c r="I658" s="921"/>
    </row>
    <row r="659" spans="1:9">
      <c r="A659" s="3" t="s">
        <v>596</v>
      </c>
      <c r="B659" s="4">
        <v>16.899999999999999</v>
      </c>
      <c r="C659" t="s">
        <v>207</v>
      </c>
      <c r="D659" t="s">
        <v>156</v>
      </c>
      <c r="E659" s="921" t="s">
        <v>582</v>
      </c>
      <c r="F659" s="921"/>
      <c r="G659" s="921"/>
      <c r="H659" s="921"/>
      <c r="I659" s="921"/>
    </row>
    <row r="660" spans="1:9">
      <c r="A660" s="3" t="s">
        <v>597</v>
      </c>
      <c r="B660" s="4">
        <v>17.600000000000001</v>
      </c>
      <c r="C660" t="s">
        <v>207</v>
      </c>
      <c r="D660" t="s">
        <v>156</v>
      </c>
      <c r="E660" s="921" t="s">
        <v>582</v>
      </c>
      <c r="F660" s="921"/>
      <c r="G660" s="921"/>
      <c r="H660" s="921"/>
      <c r="I660" s="921"/>
    </row>
    <row r="661" spans="1:9">
      <c r="A661" s="3" t="s">
        <v>205</v>
      </c>
      <c r="B661" s="4">
        <v>14.3</v>
      </c>
      <c r="C661" t="s">
        <v>207</v>
      </c>
      <c r="D661" t="s">
        <v>147</v>
      </c>
      <c r="E661" s="15" t="s">
        <v>502</v>
      </c>
      <c r="F661" s="15"/>
      <c r="G661" s="15"/>
      <c r="H661" s="15"/>
    </row>
    <row r="662" spans="1:9">
      <c r="A662" s="3" t="s">
        <v>206</v>
      </c>
      <c r="B662" s="4">
        <v>21.1</v>
      </c>
      <c r="C662" t="s">
        <v>207</v>
      </c>
      <c r="D662" t="s">
        <v>147</v>
      </c>
      <c r="E662" s="15" t="s">
        <v>502</v>
      </c>
      <c r="F662" s="15"/>
      <c r="G662" s="15"/>
      <c r="H662" s="15"/>
    </row>
    <row r="663" spans="1:9">
      <c r="A663" s="3" t="s">
        <v>571</v>
      </c>
      <c r="B663" s="4">
        <v>11.4</v>
      </c>
      <c r="C663" t="s">
        <v>207</v>
      </c>
      <c r="D663" t="s">
        <v>147</v>
      </c>
    </row>
    <row r="664" spans="1:9">
      <c r="A664" s="3" t="s">
        <v>572</v>
      </c>
      <c r="B664" s="4">
        <v>13.9</v>
      </c>
      <c r="C664" t="s">
        <v>207</v>
      </c>
      <c r="D664" t="s">
        <v>147</v>
      </c>
    </row>
    <row r="665" spans="1:9">
      <c r="A665" s="3" t="s">
        <v>573</v>
      </c>
      <c r="B665" s="4">
        <v>16.5</v>
      </c>
      <c r="C665" t="s">
        <v>207</v>
      </c>
      <c r="D665" t="s">
        <v>147</v>
      </c>
    </row>
    <row r="666" spans="1:9">
      <c r="A666" s="3" t="s">
        <v>574</v>
      </c>
      <c r="B666" s="4">
        <v>20.9</v>
      </c>
      <c r="C666" t="s">
        <v>207</v>
      </c>
      <c r="D666" t="s">
        <v>147</v>
      </c>
    </row>
    <row r="667" spans="1:9">
      <c r="A667" s="3" t="s">
        <v>575</v>
      </c>
      <c r="B667" s="4">
        <v>13.5</v>
      </c>
      <c r="C667" t="s">
        <v>207</v>
      </c>
      <c r="D667" t="s">
        <v>156</v>
      </c>
      <c r="E667" t="s">
        <v>479</v>
      </c>
    </row>
    <row r="668" spans="1:9">
      <c r="A668" s="3" t="s">
        <v>576</v>
      </c>
      <c r="B668" s="4">
        <v>18.399999999999999</v>
      </c>
      <c r="C668" t="s">
        <v>207</v>
      </c>
      <c r="D668" t="s">
        <v>156</v>
      </c>
      <c r="E668" t="s">
        <v>479</v>
      </c>
    </row>
    <row r="669" spans="1:9">
      <c r="A669" s="3" t="s">
        <v>577</v>
      </c>
      <c r="B669" s="4">
        <v>23.4</v>
      </c>
      <c r="C669" t="s">
        <v>207</v>
      </c>
      <c r="D669" t="s">
        <v>156</v>
      </c>
      <c r="E669" t="s">
        <v>479</v>
      </c>
    </row>
    <row r="670" spans="1:9">
      <c r="A670" s="3" t="s">
        <v>578</v>
      </c>
      <c r="B670" s="4">
        <v>14.5</v>
      </c>
      <c r="C670" t="s">
        <v>207</v>
      </c>
      <c r="D670" t="s">
        <v>156</v>
      </c>
      <c r="E670" t="s">
        <v>479</v>
      </c>
    </row>
    <row r="671" spans="1:9">
      <c r="A671" s="3" t="s">
        <v>579</v>
      </c>
      <c r="B671" s="4">
        <v>18.3</v>
      </c>
      <c r="C671" t="s">
        <v>207</v>
      </c>
      <c r="D671" t="s">
        <v>156</v>
      </c>
      <c r="E671" t="s">
        <v>479</v>
      </c>
    </row>
    <row r="672" spans="1:9">
      <c r="A672" s="3" t="s">
        <v>580</v>
      </c>
      <c r="B672" s="4">
        <v>22.8</v>
      </c>
      <c r="C672" t="s">
        <v>207</v>
      </c>
      <c r="D672" t="s">
        <v>156</v>
      </c>
      <c r="E672" t="s">
        <v>479</v>
      </c>
    </row>
    <row r="673" spans="1:11">
      <c r="A673" s="3" t="s">
        <v>598</v>
      </c>
      <c r="B673" s="4">
        <v>11.2</v>
      </c>
      <c r="C673" t="s">
        <v>207</v>
      </c>
      <c r="D673" t="s">
        <v>147</v>
      </c>
      <c r="E673" s="15" t="s">
        <v>599</v>
      </c>
      <c r="F673" s="15"/>
      <c r="G673" s="15"/>
      <c r="H673" s="15"/>
      <c r="I673" s="15"/>
      <c r="J673" s="15"/>
    </row>
    <row r="674" spans="1:11">
      <c r="A674" s="3" t="s">
        <v>601</v>
      </c>
      <c r="B674" s="4">
        <v>13.7</v>
      </c>
      <c r="C674" t="s">
        <v>207</v>
      </c>
      <c r="D674" t="s">
        <v>147</v>
      </c>
      <c r="E674" t="s">
        <v>600</v>
      </c>
      <c r="F674"/>
      <c r="G674"/>
      <c r="H674"/>
      <c r="I674"/>
      <c r="J674"/>
      <c r="K674"/>
    </row>
    <row r="675" spans="1:11">
      <c r="A675" s="3" t="s">
        <v>602</v>
      </c>
      <c r="B675" s="4">
        <v>14.1</v>
      </c>
      <c r="C675" t="s">
        <v>207</v>
      </c>
      <c r="D675" t="s">
        <v>147</v>
      </c>
      <c r="E675" t="s">
        <v>600</v>
      </c>
    </row>
    <row r="676" spans="1:11">
      <c r="A676" s="3" t="s">
        <v>603</v>
      </c>
      <c r="B676" s="4">
        <v>13.2</v>
      </c>
      <c r="C676" t="s">
        <v>207</v>
      </c>
      <c r="D676" t="s">
        <v>147</v>
      </c>
      <c r="E676" t="s">
        <v>600</v>
      </c>
    </row>
  </sheetData>
  <mergeCells count="38">
    <mergeCell ref="AG3:AI3"/>
    <mergeCell ref="AD1:AI1"/>
    <mergeCell ref="AX1:BB1"/>
    <mergeCell ref="AJ1:AM1"/>
    <mergeCell ref="AK3:AM3"/>
    <mergeCell ref="AN1:AW1"/>
    <mergeCell ref="AS3:AW3"/>
    <mergeCell ref="AN3:AR3"/>
    <mergeCell ref="A78:B79"/>
    <mergeCell ref="A161:A162"/>
    <mergeCell ref="E605:H605"/>
    <mergeCell ref="E606:H606"/>
    <mergeCell ref="E607:H607"/>
    <mergeCell ref="AA1:AC1"/>
    <mergeCell ref="E3:I3"/>
    <mergeCell ref="K3:O3"/>
    <mergeCell ref="E1:P1"/>
    <mergeCell ref="Q1:S1"/>
    <mergeCell ref="T1:X1"/>
    <mergeCell ref="U3:V3"/>
    <mergeCell ref="Y1:Z1"/>
    <mergeCell ref="E608:H608"/>
    <mergeCell ref="E654:I654"/>
    <mergeCell ref="E655:I655"/>
    <mergeCell ref="E652:I652"/>
    <mergeCell ref="E653:I653"/>
    <mergeCell ref="E648:I648"/>
    <mergeCell ref="E649:I649"/>
    <mergeCell ref="E650:I650"/>
    <mergeCell ref="E651:I651"/>
    <mergeCell ref="E645:I645"/>
    <mergeCell ref="E646:I646"/>
    <mergeCell ref="E647:I647"/>
    <mergeCell ref="E660:I660"/>
    <mergeCell ref="E656:I656"/>
    <mergeCell ref="E657:I657"/>
    <mergeCell ref="E658:I658"/>
    <mergeCell ref="E659:I659"/>
  </mergeCells>
  <phoneticPr fontId="8" type="noConversion"/>
  <pageMargins left="0.26" right="0.28000000000000003" top="1" bottom="1" header="0.5" footer="0.5"/>
  <pageSetup paperSize="8" scale="55" fitToWidth="2" orientation="landscape" r:id="rId1"/>
  <headerFooter alignWithMargins="0"/>
  <colBreaks count="2" manualBreakCount="2">
    <brk id="29" max="63" man="1"/>
    <brk id="44" max="63"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9"/>
  <dimension ref="A1:D6"/>
  <sheetViews>
    <sheetView workbookViewId="0">
      <selection activeCell="A5" sqref="A5"/>
    </sheetView>
  </sheetViews>
  <sheetFormatPr defaultRowHeight="13.2"/>
  <cols>
    <col min="1" max="1" width="50.44140625" customWidth="1"/>
    <col min="2" max="2" width="27" customWidth="1"/>
    <col min="3" max="3" width="39.5546875" customWidth="1"/>
    <col min="4" max="4" width="52.109375" customWidth="1"/>
  </cols>
  <sheetData>
    <row r="1" spans="1:4">
      <c r="A1" s="9" t="s">
        <v>1047</v>
      </c>
      <c r="B1" s="339" t="s">
        <v>1048</v>
      </c>
      <c r="C1" s="9" t="s">
        <v>1049</v>
      </c>
      <c r="D1" s="9" t="s">
        <v>1051</v>
      </c>
    </row>
    <row r="2" spans="1:4">
      <c r="A2" s="340" t="s">
        <v>723</v>
      </c>
      <c r="B2" s="10" t="s">
        <v>737</v>
      </c>
      <c r="C2" s="10" t="s">
        <v>743</v>
      </c>
      <c r="D2" t="s">
        <v>744</v>
      </c>
    </row>
    <row r="3" spans="1:4">
      <c r="A3" s="340" t="s">
        <v>722</v>
      </c>
      <c r="B3" s="341" t="s">
        <v>208</v>
      </c>
      <c r="C3" s="10" t="s">
        <v>1050</v>
      </c>
      <c r="D3" t="s">
        <v>1052</v>
      </c>
    </row>
    <row r="4" spans="1:4">
      <c r="A4" s="340" t="s">
        <v>721</v>
      </c>
      <c r="B4" s="341" t="s">
        <v>719</v>
      </c>
    </row>
    <row r="5" spans="1:4">
      <c r="A5" s="340" t="s">
        <v>724</v>
      </c>
      <c r="B5" s="341" t="s">
        <v>146</v>
      </c>
    </row>
    <row r="6" spans="1:4">
      <c r="B6" s="341" t="s">
        <v>720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30</vt:i4>
      </vt:variant>
    </vt:vector>
  </HeadingPairs>
  <TitlesOfParts>
    <vt:vector size="47" baseType="lpstr">
      <vt:lpstr>ventilatie overige ruimten</vt:lpstr>
      <vt:lpstr>Grote dakkapellen</vt:lpstr>
      <vt:lpstr>Grote dakkapellen klein kantoor</vt:lpstr>
      <vt:lpstr>Kleine dakkapellen</vt:lpstr>
      <vt:lpstr>Klein voor, groot achter</vt:lpstr>
      <vt:lpstr>Klein voor, groot achter (2)</vt:lpstr>
      <vt:lpstr>1 grote dakkapel achter</vt:lpstr>
      <vt:lpstr>Twee dakkapellen achter</vt:lpstr>
      <vt:lpstr>Woningtype B</vt:lpstr>
      <vt:lpstr>Hulp daglicht</vt:lpstr>
      <vt:lpstr>Raam A</vt:lpstr>
      <vt:lpstr>Things to do</vt:lpstr>
      <vt:lpstr>datablad tbv Cb factor</vt:lpstr>
      <vt:lpstr>Gegevensblad</vt:lpstr>
      <vt:lpstr>data roosters</vt:lpstr>
      <vt:lpstr>verzamelblad</vt:lpstr>
      <vt:lpstr>data pulldown</vt:lpstr>
      <vt:lpstr>Alusta</vt:lpstr>
      <vt:lpstr>Buva</vt:lpstr>
      <vt:lpstr>Duco</vt:lpstr>
      <vt:lpstr>PD_70procent</vt:lpstr>
      <vt:lpstr>PD_RoosterFabrikant</vt:lpstr>
      <vt:lpstr>PD_TypeVentilatie</vt:lpstr>
      <vt:lpstr>PD_Uitgangspunten</vt:lpstr>
      <vt:lpstr>'1 grote dakkapel achter'!Print_Area</vt:lpstr>
      <vt:lpstr>'datablad tbv Cb factor'!Print_Area</vt:lpstr>
      <vt:lpstr>Gegevensblad!Print_Area</vt:lpstr>
      <vt:lpstr>'Grote dakkapellen'!Print_Area</vt:lpstr>
      <vt:lpstr>'Grote dakkapellen klein kantoor'!Print_Area</vt:lpstr>
      <vt:lpstr>'Klein voor, groot achter'!Print_Area</vt:lpstr>
      <vt:lpstr>'Klein voor, groot achter (2)'!Print_Area</vt:lpstr>
      <vt:lpstr>'Kleine dakkapellen'!Print_Area</vt:lpstr>
      <vt:lpstr>'Twee dakkapellen achter'!Print_Area</vt:lpstr>
      <vt:lpstr>'ventilatie overige ruimten'!Print_Area</vt:lpstr>
      <vt:lpstr>verzamelblad!Print_Area</vt:lpstr>
      <vt:lpstr>'Woningtype B'!Print_Area</vt:lpstr>
      <vt:lpstr>'1 grote dakkapel achter'!Print_Titles</vt:lpstr>
      <vt:lpstr>'datablad tbv Cb factor'!Print_Titles</vt:lpstr>
      <vt:lpstr>'Grote dakkapellen'!Print_Titles</vt:lpstr>
      <vt:lpstr>'Grote dakkapellen klein kantoor'!Print_Titles</vt:lpstr>
      <vt:lpstr>'Klein voor, groot achter'!Print_Titles</vt:lpstr>
      <vt:lpstr>'Klein voor, groot achter (2)'!Print_Titles</vt:lpstr>
      <vt:lpstr>'Kleine dakkapellen'!Print_Titles</vt:lpstr>
      <vt:lpstr>'Twee dakkapellen achter'!Print_Titles</vt:lpstr>
      <vt:lpstr>'ventilatie overige ruimten'!Print_Titles</vt:lpstr>
      <vt:lpstr>verzamelblad!Print_Titles</vt:lpstr>
      <vt:lpstr>'Woningtype B'!Print_Titles</vt:lpstr>
    </vt:vector>
  </TitlesOfParts>
  <Company>Adviesburo Nieman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Dunnink</dc:creator>
  <cp:lastModifiedBy>Local Beheerder</cp:lastModifiedBy>
  <cp:lastPrinted>2019-06-19T10:15:36Z</cp:lastPrinted>
  <dcterms:created xsi:type="dcterms:W3CDTF">2008-06-16T08:26:46Z</dcterms:created>
  <dcterms:modified xsi:type="dcterms:W3CDTF">2023-04-17T10:10:49Z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eegblad_1" visible="true" label="Nieuw leeg blad" imageMso="CreateReportBlankReport" onAction="leegblad"/>
        <mso:button idQ="doc:naam_1" visible="true" label="Bladnaam wijzigen" imageMso="MailMergeResultsPreview" onAction="naam"/>
        <mso:button idQ="doc:bladkopieren_1" visible="true" label="Blad kopieren" imageMso="FormulaMoreFunctionsMenu" onAction="bladkopieren"/>
        <mso:button idQ="doc:delblad_1" visible="true" label="Blad verwijderen" imageMso="InkEraseMode" onAction="delblad"/>
        <mso:button idQ="doc:hiderows_1" visible="true" label="Niet ingevoerde rijen verbergen" imageMso="VisibilityHidden" onAction="hiderows"/>
        <mso:button idQ="doc:showrows_1" visible="true" label="Niet ingevoerde rijen zichtbaar" imageMso="VisibilityVisible" onAction="showrows"/>
        <mso:button idQ="doc:beveiligaan_1" visible="true" label="beveiligaan" imageMso="Lock" onAction="beveiligaan"/>
        <mso:button idQ="doc:beveiliguit_1" visible="true" label="beveiliguit" imageMso="AdpPrimaryKey" onAction="beveiliguit"/>
      </mso:documentControls>
    </mso:qat>
  </mso:ribbon>
</mso:customUI>
</file>